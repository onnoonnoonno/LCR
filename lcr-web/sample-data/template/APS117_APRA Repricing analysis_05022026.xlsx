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D:\이하영(work)\일보\IRRBB\"/>
    </mc:Choice>
  </mc:AlternateContent>
  <xr:revisionPtr revIDLastSave="0" documentId="13_ncr:1_{1F8BFBC1-7CB9-4144-A9FC-C8EB626BFA33}" xr6:coauthVersionLast="47" xr6:coauthVersionMax="47" xr10:uidLastSave="{00000000-0000-0000-0000-000000000000}"/>
  <bookViews>
    <workbookView xWindow="1427" yWindow="5933" windowWidth="29773" windowHeight="12200" firstSheet="1" activeTab="2" xr2:uid="{00000000-000D-0000-FFFF-FFFF00000000}"/>
  </bookViews>
  <sheets>
    <sheet name="Reviews" sheetId="11" state="hidden" r:id="rId1"/>
    <sheet name="RE33(IRRBB)" sheetId="29" r:id="rId2"/>
    <sheet name="Summary_IRRBB" sheetId="30" r:id="rId3"/>
    <sheet name="IRBB Weighting factors" sheetId="32" r:id="rId4"/>
    <sheet name="Repricing Maturity Adj." sheetId="21" r:id="rId5"/>
    <sheet name="IRRBB Mapping" sheetId="28" state="hidden" r:id="rId6"/>
    <sheet name="Change Control" sheetId="12" state="hidden" r:id="rId7"/>
  </sheets>
  <externalReferences>
    <externalReference r:id="rId8"/>
    <externalReference r:id="rId9"/>
    <externalReference r:id="rId10"/>
    <externalReference r:id="rId11"/>
    <externalReference r:id="rId12"/>
  </externalReferences>
  <definedNames>
    <definedName name="_xlnm._FilterDatabase" localSheetId="1" hidden="1">'RE33(IRRBB)'!$A$11:$AH$626</definedName>
    <definedName name="_xlnm._FilterDatabase" localSheetId="4" hidden="1">'Repricing Maturity Adj.'!$A$2:$C$170</definedName>
    <definedName name="a" localSheetId="5">#REF!</definedName>
    <definedName name="a" localSheetId="1">#REF!</definedName>
    <definedName name="a" localSheetId="4">#REF!</definedName>
    <definedName name="a">#REF!</definedName>
    <definedName name="AGGREGATION" localSheetId="5">#REF!</definedName>
    <definedName name="AGGREGATION" localSheetId="1">#REF!</definedName>
    <definedName name="AGGREGATION" localSheetId="4">#REF!</definedName>
    <definedName name="AGGREGATION">#REF!</definedName>
    <definedName name="AS2DocOpenMode" hidden="1">"AS2DocumentEdit"</definedName>
    <definedName name="BankCode">[1]Cover!$E$3</definedName>
    <definedName name="CHECK" localSheetId="5">#REF!</definedName>
    <definedName name="CHECK" localSheetId="1">#REF!</definedName>
    <definedName name="CHECK" localSheetId="4">#REF!</definedName>
    <definedName name="CHECK">#REF!</definedName>
    <definedName name="CurrencyCode">OFFSET([1]wksCurrency!$B$2:$B$27,1,0,ROWS([1]wksCurrency!$B$2:$B$27)-2)</definedName>
    <definedName name="CurrencyName">OFFSET([1]wksCurrency!$A$2:$A$27,1,0,ROWS([1]wksCurrency!$A$2:$A$27)-2)</definedName>
    <definedName name="date" localSheetId="5">[2]BSY_현지화!#REF!</definedName>
    <definedName name="date" localSheetId="1">[2]BSY_현지화!#REF!</definedName>
    <definedName name="date" localSheetId="4">[2]BSY_현지화!#REF!</definedName>
    <definedName name="date">[2]BSY_현지화!#REF!</definedName>
    <definedName name="DOMAIN" localSheetId="5">#REF!</definedName>
    <definedName name="DOMAIN" localSheetId="1">#REF!</definedName>
    <definedName name="DOMAIN" localSheetId="4">#REF!</definedName>
    <definedName name="DOMAIN">#REF!</definedName>
    <definedName name="ENTITY" localSheetId="5">#REF!</definedName>
    <definedName name="ENTITY" localSheetId="1">#REF!</definedName>
    <definedName name="ENTITY" localSheetId="4">#REF!</definedName>
    <definedName name="ENTITY">#REF!</definedName>
    <definedName name="FORMAT" localSheetId="5">#REF!</definedName>
    <definedName name="FORMAT" localSheetId="1">#REF!</definedName>
    <definedName name="FORMAT" localSheetId="4">#REF!</definedName>
    <definedName name="FORMAT">#REF!</definedName>
    <definedName name="half" localSheetId="5">[2]BSY_현지화!#REF!</definedName>
    <definedName name="half" localSheetId="1">[2]BSY_현지화!#REF!</definedName>
    <definedName name="half" localSheetId="4">[2]BSY_현지화!#REF!</definedName>
    <definedName name="half">[2]BSY_현지화!#REF!</definedName>
    <definedName name="ODB_DATA_TYPE" localSheetId="5">#REF!</definedName>
    <definedName name="ODB_DATA_TYPE" localSheetId="1">#REF!</definedName>
    <definedName name="ODB_DATA_TYPE" localSheetId="4">#REF!</definedName>
    <definedName name="ODB_DATA_TYPE">#REF!</definedName>
    <definedName name="PREPOPULATE" localSheetId="5">#REF!</definedName>
    <definedName name="PREPOPULATE" localSheetId="1">#REF!</definedName>
    <definedName name="PREPOPULATE" localSheetId="4">#REF!</definedName>
    <definedName name="PREPOPULATE">#REF!</definedName>
    <definedName name="REPORTING_CONS">[3]Lists!$J$2:$J$7</definedName>
    <definedName name="SEVERITY" localSheetId="5">#REF!</definedName>
    <definedName name="SEVERITY" localSheetId="1">#REF!</definedName>
    <definedName name="SEVERITY" localSheetId="4">#REF!</definedName>
    <definedName name="SEVERITY">#REF!</definedName>
    <definedName name="STATUS" localSheetId="5">#REF!</definedName>
    <definedName name="STATUS" localSheetId="1">#REF!</definedName>
    <definedName name="STATUS" localSheetId="4">#REF!</definedName>
    <definedName name="STATUS">#REF!</definedName>
    <definedName name="term" localSheetId="5">[2]BSY_현지화!#REF!</definedName>
    <definedName name="term" localSheetId="1">[2]BSY_현지화!#REF!</definedName>
    <definedName name="term" localSheetId="4">[2]BSY_현지화!#REF!</definedName>
    <definedName name="term">[2]BSY_현지화!#REF!</definedName>
    <definedName name="YD" localSheetId="5">[2]BSY_현지화!#REF!</definedName>
    <definedName name="YD" localSheetId="1">[2]BSY_현지화!#REF!</definedName>
    <definedName name="YD" localSheetId="4">[2]BSY_현지화!#REF!</definedName>
    <definedName name="YD">[2]BSY_현지화!#REF!</definedName>
    <definedName name="통화코드">'[4]@공통코드'!$G$2:$G$11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30" i="29" l="1"/>
  <c r="M630" i="29"/>
  <c r="L630" i="29"/>
  <c r="N630" i="29" s="1"/>
  <c r="P629" i="29"/>
  <c r="M629" i="29"/>
  <c r="L629" i="29"/>
  <c r="N629" i="29" s="1"/>
  <c r="P628" i="29"/>
  <c r="M628" i="29"/>
  <c r="L628" i="29"/>
  <c r="N628" i="29" s="1"/>
  <c r="P627" i="29"/>
  <c r="M627" i="29"/>
  <c r="L627" i="29"/>
  <c r="N627" i="29" s="1"/>
  <c r="P626" i="29"/>
  <c r="M626" i="29"/>
  <c r="L626" i="29"/>
  <c r="N626" i="29" s="1"/>
  <c r="L28" i="29"/>
  <c r="N28" i="29" s="1"/>
  <c r="AG28" i="29" s="1"/>
  <c r="M28" i="29"/>
  <c r="P28" i="29"/>
  <c r="L25" i="29"/>
  <c r="N25" i="29" s="1"/>
  <c r="M25" i="29"/>
  <c r="P25" i="29"/>
  <c r="P624" i="29"/>
  <c r="M624" i="29"/>
  <c r="L624" i="29"/>
  <c r="N624" i="29" s="1"/>
  <c r="P623" i="29"/>
  <c r="M623" i="29"/>
  <c r="L623" i="29"/>
  <c r="N623" i="29" s="1"/>
  <c r="P618" i="29"/>
  <c r="M618" i="29"/>
  <c r="L618" i="29"/>
  <c r="N618" i="29" s="1"/>
  <c r="P617" i="29"/>
  <c r="M617" i="29"/>
  <c r="L617" i="29"/>
  <c r="N617" i="29" s="1"/>
  <c r="P616" i="29"/>
  <c r="M616" i="29"/>
  <c r="L616" i="29"/>
  <c r="N616" i="29" s="1"/>
  <c r="P612" i="29"/>
  <c r="M612" i="29"/>
  <c r="L612" i="29"/>
  <c r="N612" i="29" s="1"/>
  <c r="P610" i="29"/>
  <c r="M610" i="29"/>
  <c r="L610" i="29"/>
  <c r="N610" i="29" s="1"/>
  <c r="P609" i="29"/>
  <c r="M609" i="29"/>
  <c r="L609" i="29"/>
  <c r="N609" i="29" s="1"/>
  <c r="P608" i="29"/>
  <c r="M608" i="29"/>
  <c r="L608" i="29"/>
  <c r="N608" i="29" s="1"/>
  <c r="P607" i="29"/>
  <c r="M607" i="29"/>
  <c r="L607" i="29"/>
  <c r="N607" i="29" s="1"/>
  <c r="P606" i="29"/>
  <c r="M606" i="29"/>
  <c r="L606" i="29"/>
  <c r="N606" i="29" s="1"/>
  <c r="P600" i="29"/>
  <c r="M600" i="29"/>
  <c r="L600" i="29"/>
  <c r="N600" i="29" s="1"/>
  <c r="P599" i="29"/>
  <c r="M599" i="29"/>
  <c r="L599" i="29"/>
  <c r="N599" i="29" s="1"/>
  <c r="P598" i="29"/>
  <c r="M598" i="29"/>
  <c r="L598" i="29"/>
  <c r="N598" i="29" s="1"/>
  <c r="P594" i="29"/>
  <c r="M594" i="29"/>
  <c r="L594" i="29"/>
  <c r="N594" i="29" s="1"/>
  <c r="P593" i="29"/>
  <c r="M593" i="29"/>
  <c r="L593" i="29"/>
  <c r="N593" i="29" s="1"/>
  <c r="P592" i="29"/>
  <c r="M592" i="29"/>
  <c r="L592" i="29"/>
  <c r="N592" i="29" s="1"/>
  <c r="P591" i="29"/>
  <c r="M591" i="29"/>
  <c r="L591" i="29"/>
  <c r="N591" i="29" s="1"/>
  <c r="P590" i="29"/>
  <c r="M590" i="29"/>
  <c r="L590" i="29"/>
  <c r="N590" i="29" s="1"/>
  <c r="P589" i="29"/>
  <c r="M589" i="29"/>
  <c r="L589" i="29"/>
  <c r="N589" i="29" s="1"/>
  <c r="P588" i="29"/>
  <c r="M588" i="29"/>
  <c r="L588" i="29"/>
  <c r="N588" i="29" s="1"/>
  <c r="P587" i="29"/>
  <c r="M587" i="29"/>
  <c r="L587" i="29"/>
  <c r="N587" i="29" s="1"/>
  <c r="P586" i="29"/>
  <c r="M586" i="29"/>
  <c r="L586" i="29"/>
  <c r="N586" i="29" s="1"/>
  <c r="P585" i="29"/>
  <c r="M585" i="29"/>
  <c r="L585" i="29"/>
  <c r="N585" i="29" s="1"/>
  <c r="P584" i="29"/>
  <c r="M584" i="29"/>
  <c r="L584" i="29"/>
  <c r="N584" i="29" s="1"/>
  <c r="P625" i="29"/>
  <c r="M625" i="29"/>
  <c r="L625" i="29"/>
  <c r="N625" i="29" s="1"/>
  <c r="P622" i="29"/>
  <c r="M622" i="29"/>
  <c r="L622" i="29"/>
  <c r="N622" i="29" s="1"/>
  <c r="P621" i="29"/>
  <c r="M621" i="29"/>
  <c r="L621" i="29"/>
  <c r="N621" i="29" s="1"/>
  <c r="P620" i="29"/>
  <c r="M620" i="29"/>
  <c r="L620" i="29"/>
  <c r="N620" i="29" s="1"/>
  <c r="P619" i="29"/>
  <c r="M619" i="29"/>
  <c r="L619" i="29"/>
  <c r="N619" i="29" s="1"/>
  <c r="P615" i="29"/>
  <c r="M615" i="29"/>
  <c r="L615" i="29"/>
  <c r="N615" i="29" s="1"/>
  <c r="P614" i="29"/>
  <c r="M614" i="29"/>
  <c r="L614" i="29"/>
  <c r="N614" i="29" s="1"/>
  <c r="P613" i="29"/>
  <c r="M613" i="29"/>
  <c r="L613" i="29"/>
  <c r="N613" i="29" s="1"/>
  <c r="P611" i="29"/>
  <c r="M611" i="29"/>
  <c r="L611" i="29"/>
  <c r="N611" i="29" s="1"/>
  <c r="P605" i="29"/>
  <c r="M605" i="29"/>
  <c r="L605" i="29"/>
  <c r="N605" i="29" s="1"/>
  <c r="P604" i="29"/>
  <c r="M604" i="29"/>
  <c r="L604" i="29"/>
  <c r="N604" i="29" s="1"/>
  <c r="P603" i="29"/>
  <c r="M603" i="29"/>
  <c r="L603" i="29"/>
  <c r="N603" i="29" s="1"/>
  <c r="P602" i="29"/>
  <c r="M602" i="29"/>
  <c r="L602" i="29"/>
  <c r="N602" i="29" s="1"/>
  <c r="P601" i="29"/>
  <c r="M601" i="29"/>
  <c r="L601" i="29"/>
  <c r="N601" i="29" s="1"/>
  <c r="AG628" i="29" l="1"/>
  <c r="AG627" i="29"/>
  <c r="AG630" i="29"/>
  <c r="AG629" i="29"/>
  <c r="AG626" i="29"/>
  <c r="AG25" i="29"/>
  <c r="AG623" i="29"/>
  <c r="AG624" i="29"/>
  <c r="AG618" i="29"/>
  <c r="AG617" i="29"/>
  <c r="AG616" i="29"/>
  <c r="AG610" i="29"/>
  <c r="AG612" i="29"/>
  <c r="AG609" i="29"/>
  <c r="AG606" i="29"/>
  <c r="AG608" i="29"/>
  <c r="AG600" i="29"/>
  <c r="AG607" i="29"/>
  <c r="AG601" i="29"/>
  <c r="AG584" i="29"/>
  <c r="AG591" i="29"/>
  <c r="AG613" i="29"/>
  <c r="AG615" i="29"/>
  <c r="AG622" i="29"/>
  <c r="AG587" i="29"/>
  <c r="AG605" i="29"/>
  <c r="AG585" i="29"/>
  <c r="AG619" i="29"/>
  <c r="AG604" i="29"/>
  <c r="AG603" i="29"/>
  <c r="AG598" i="29"/>
  <c r="AG589" i="29"/>
  <c r="AG620" i="29"/>
  <c r="AG593" i="29"/>
  <c r="AG599" i="29"/>
  <c r="AG590" i="29"/>
  <c r="AG602" i="29"/>
  <c r="AG614" i="29"/>
  <c r="AG625" i="29"/>
  <c r="AG588" i="29"/>
  <c r="AG594" i="29"/>
  <c r="AG611" i="29"/>
  <c r="AG621" i="29"/>
  <c r="AG586" i="29"/>
  <c r="AG592" i="29"/>
  <c r="P597" i="29"/>
  <c r="M597" i="29"/>
  <c r="L597" i="29"/>
  <c r="N597" i="29" s="1"/>
  <c r="P596" i="29"/>
  <c r="M596" i="29"/>
  <c r="L596" i="29"/>
  <c r="N596" i="29" s="1"/>
  <c r="L12" i="29"/>
  <c r="L13" i="29"/>
  <c r="L14" i="29"/>
  <c r="L15" i="29"/>
  <c r="L16" i="29"/>
  <c r="L17" i="29"/>
  <c r="L18" i="29"/>
  <c r="L19" i="29"/>
  <c r="L20" i="29"/>
  <c r="L21" i="29"/>
  <c r="L22" i="29"/>
  <c r="L23" i="29"/>
  <c r="L24" i="29"/>
  <c r="L26" i="29"/>
  <c r="L27" i="29"/>
  <c r="L29" i="29"/>
  <c r="L30" i="29"/>
  <c r="L31" i="29"/>
  <c r="L32" i="29"/>
  <c r="L33" i="29"/>
  <c r="L34" i="29"/>
  <c r="L35" i="29"/>
  <c r="L36" i="29"/>
  <c r="L37" i="29"/>
  <c r="L38" i="29"/>
  <c r="L39" i="29"/>
  <c r="L40" i="29"/>
  <c r="L41" i="29"/>
  <c r="L42" i="29"/>
  <c r="L43" i="29"/>
  <c r="L44" i="29"/>
  <c r="L45" i="29"/>
  <c r="L46" i="29"/>
  <c r="L47" i="29"/>
  <c r="L48" i="29"/>
  <c r="L49" i="29"/>
  <c r="L50" i="29"/>
  <c r="L51" i="29"/>
  <c r="L52" i="29"/>
  <c r="L53" i="29"/>
  <c r="L54" i="29"/>
  <c r="L55" i="29"/>
  <c r="L56" i="29"/>
  <c r="L57" i="29"/>
  <c r="L58" i="29"/>
  <c r="L59" i="29"/>
  <c r="L60" i="29"/>
  <c r="L61" i="29"/>
  <c r="L62" i="29"/>
  <c r="L63" i="29"/>
  <c r="L64" i="29"/>
  <c r="L65" i="29"/>
  <c r="L66" i="29"/>
  <c r="L67" i="29"/>
  <c r="L68" i="29"/>
  <c r="L69" i="29"/>
  <c r="L70" i="29"/>
  <c r="L71" i="29"/>
  <c r="L72" i="29"/>
  <c r="L73" i="29"/>
  <c r="L74" i="29"/>
  <c r="L75" i="29"/>
  <c r="L76" i="29"/>
  <c r="L77" i="29"/>
  <c r="L78" i="29"/>
  <c r="L79" i="29"/>
  <c r="L80" i="29"/>
  <c r="L81" i="29"/>
  <c r="L82" i="29"/>
  <c r="L83" i="29"/>
  <c r="L84" i="29"/>
  <c r="L85" i="29"/>
  <c r="L86" i="29"/>
  <c r="L87" i="29"/>
  <c r="L88" i="29"/>
  <c r="L89" i="29"/>
  <c r="L90" i="29"/>
  <c r="L91" i="29"/>
  <c r="L92" i="29"/>
  <c r="L93" i="29"/>
  <c r="L94" i="29"/>
  <c r="L95" i="29"/>
  <c r="L96" i="29"/>
  <c r="L97" i="29"/>
  <c r="L98" i="29"/>
  <c r="L99" i="29"/>
  <c r="L100" i="29"/>
  <c r="L101" i="29"/>
  <c r="L102" i="29"/>
  <c r="L103" i="29"/>
  <c r="L104" i="29"/>
  <c r="L105" i="29"/>
  <c r="L106" i="29"/>
  <c r="L107" i="29"/>
  <c r="L108" i="29"/>
  <c r="L109" i="29"/>
  <c r="L110" i="29"/>
  <c r="L111" i="29"/>
  <c r="L112" i="29"/>
  <c r="L113" i="29"/>
  <c r="L114" i="29"/>
  <c r="L115" i="29"/>
  <c r="L116" i="29"/>
  <c r="L117" i="29"/>
  <c r="L118" i="29"/>
  <c r="L119" i="29"/>
  <c r="L120" i="29"/>
  <c r="L121" i="29"/>
  <c r="L122" i="29"/>
  <c r="L123" i="29"/>
  <c r="L124" i="29"/>
  <c r="L125" i="29"/>
  <c r="L126" i="29"/>
  <c r="L127" i="29"/>
  <c r="L128" i="29"/>
  <c r="L129" i="29"/>
  <c r="L130" i="29"/>
  <c r="L131" i="29"/>
  <c r="L132" i="29"/>
  <c r="L133" i="29"/>
  <c r="L134" i="29"/>
  <c r="L135" i="29"/>
  <c r="L136" i="29"/>
  <c r="L137" i="29"/>
  <c r="L138" i="29"/>
  <c r="L139" i="29"/>
  <c r="L140" i="29"/>
  <c r="L141" i="29"/>
  <c r="L142" i="29"/>
  <c r="L143" i="29"/>
  <c r="L144" i="29"/>
  <c r="L145" i="29"/>
  <c r="L146" i="29"/>
  <c r="L147" i="29"/>
  <c r="L148" i="29"/>
  <c r="L149" i="29"/>
  <c r="L150" i="29"/>
  <c r="L151" i="29"/>
  <c r="L152" i="29"/>
  <c r="L153" i="29"/>
  <c r="L154" i="29"/>
  <c r="L155" i="29"/>
  <c r="L156" i="29"/>
  <c r="L157" i="29"/>
  <c r="L158" i="29"/>
  <c r="L159" i="29"/>
  <c r="L160" i="29"/>
  <c r="L161" i="29"/>
  <c r="L162" i="29"/>
  <c r="L163" i="29"/>
  <c r="L164" i="29"/>
  <c r="L165" i="29"/>
  <c r="L166" i="29"/>
  <c r="L167" i="29"/>
  <c r="L168" i="29"/>
  <c r="L169" i="29"/>
  <c r="L170" i="29"/>
  <c r="L171" i="29"/>
  <c r="L172" i="29"/>
  <c r="L173" i="29"/>
  <c r="L174" i="29"/>
  <c r="L175" i="29"/>
  <c r="L176" i="29"/>
  <c r="L177" i="29"/>
  <c r="L178" i="29"/>
  <c r="L179" i="29"/>
  <c r="L180" i="29"/>
  <c r="L181" i="29"/>
  <c r="L182" i="29"/>
  <c r="L183" i="29"/>
  <c r="L184" i="29"/>
  <c r="L185" i="29"/>
  <c r="L186" i="29"/>
  <c r="L187" i="29"/>
  <c r="L188" i="29"/>
  <c r="L189" i="29"/>
  <c r="L190" i="29"/>
  <c r="L191" i="29"/>
  <c r="L192" i="29"/>
  <c r="L193" i="29"/>
  <c r="L194" i="29"/>
  <c r="L195" i="29"/>
  <c r="L196" i="29"/>
  <c r="L197" i="29"/>
  <c r="L198" i="29"/>
  <c r="L199" i="29"/>
  <c r="L200" i="29"/>
  <c r="L201" i="29"/>
  <c r="L202" i="29"/>
  <c r="L203" i="29"/>
  <c r="L204" i="29"/>
  <c r="L205" i="29"/>
  <c r="L206" i="29"/>
  <c r="L207" i="29"/>
  <c r="L208" i="29"/>
  <c r="L209" i="29"/>
  <c r="L210" i="29"/>
  <c r="L211" i="29"/>
  <c r="L212" i="29"/>
  <c r="L213" i="29"/>
  <c r="L214" i="29"/>
  <c r="L215" i="29"/>
  <c r="L216" i="29"/>
  <c r="L217" i="29"/>
  <c r="L218" i="29"/>
  <c r="L219" i="29"/>
  <c r="L220" i="29"/>
  <c r="L221" i="29"/>
  <c r="L222" i="29"/>
  <c r="L223" i="29"/>
  <c r="L224" i="29"/>
  <c r="L225" i="29"/>
  <c r="L226" i="29"/>
  <c r="L227" i="29"/>
  <c r="L228" i="29"/>
  <c r="L229" i="29"/>
  <c r="L230" i="29"/>
  <c r="L231" i="29"/>
  <c r="L232" i="29"/>
  <c r="L233" i="29"/>
  <c r="L234" i="29"/>
  <c r="L235" i="29"/>
  <c r="L236" i="29"/>
  <c r="L237" i="29"/>
  <c r="L238" i="29"/>
  <c r="L239" i="29"/>
  <c r="L240" i="29"/>
  <c r="L241" i="29"/>
  <c r="L242" i="29"/>
  <c r="L243" i="29"/>
  <c r="L244" i="29"/>
  <c r="L245" i="29"/>
  <c r="L246" i="29"/>
  <c r="L247" i="29"/>
  <c r="L248" i="29"/>
  <c r="L249" i="29"/>
  <c r="L250" i="29"/>
  <c r="L251" i="29"/>
  <c r="L252" i="29"/>
  <c r="L253" i="29"/>
  <c r="L254" i="29"/>
  <c r="L255" i="29"/>
  <c r="L256" i="29"/>
  <c r="L257" i="29"/>
  <c r="L258" i="29"/>
  <c r="L259" i="29"/>
  <c r="L260" i="29"/>
  <c r="L261" i="29"/>
  <c r="L262" i="29"/>
  <c r="L263" i="29"/>
  <c r="L264" i="29"/>
  <c r="L265" i="29"/>
  <c r="L266" i="29"/>
  <c r="L267" i="29"/>
  <c r="L268" i="29"/>
  <c r="L269" i="29"/>
  <c r="L270" i="29"/>
  <c r="L271" i="29"/>
  <c r="L272" i="29"/>
  <c r="L273" i="29"/>
  <c r="L274" i="29"/>
  <c r="L275" i="29"/>
  <c r="L276" i="29"/>
  <c r="L277" i="29"/>
  <c r="L278" i="29"/>
  <c r="L279" i="29"/>
  <c r="L280" i="29"/>
  <c r="L281" i="29"/>
  <c r="L282" i="29"/>
  <c r="L283" i="29"/>
  <c r="L284" i="29"/>
  <c r="L285" i="29"/>
  <c r="L286" i="29"/>
  <c r="L287" i="29"/>
  <c r="L288" i="29"/>
  <c r="L289" i="29"/>
  <c r="L290" i="29"/>
  <c r="L291" i="29"/>
  <c r="L292" i="29"/>
  <c r="L293" i="29"/>
  <c r="L294" i="29"/>
  <c r="L295" i="29"/>
  <c r="L296" i="29"/>
  <c r="L297" i="29"/>
  <c r="L298" i="29"/>
  <c r="L299" i="29"/>
  <c r="L300" i="29"/>
  <c r="L301" i="29"/>
  <c r="L302" i="29"/>
  <c r="L303" i="29"/>
  <c r="L304" i="29"/>
  <c r="L305" i="29"/>
  <c r="L306" i="29"/>
  <c r="L307" i="29"/>
  <c r="L308" i="29"/>
  <c r="L309" i="29"/>
  <c r="L310" i="29"/>
  <c r="L311" i="29"/>
  <c r="L312" i="29"/>
  <c r="L313" i="29"/>
  <c r="L314" i="29"/>
  <c r="L315" i="29"/>
  <c r="L316" i="29"/>
  <c r="L317" i="29"/>
  <c r="L318" i="29"/>
  <c r="L319" i="29"/>
  <c r="L320" i="29"/>
  <c r="L321" i="29"/>
  <c r="L322" i="29"/>
  <c r="L323" i="29"/>
  <c r="L324" i="29"/>
  <c r="L325" i="29"/>
  <c r="L326" i="29"/>
  <c r="L327" i="29"/>
  <c r="L328" i="29"/>
  <c r="L329" i="29"/>
  <c r="L330" i="29"/>
  <c r="L331" i="29"/>
  <c r="L332" i="29"/>
  <c r="L333" i="29"/>
  <c r="L334" i="29"/>
  <c r="L335" i="29"/>
  <c r="L336" i="29"/>
  <c r="L337" i="29"/>
  <c r="L338" i="29"/>
  <c r="L339" i="29"/>
  <c r="L340" i="29"/>
  <c r="L341" i="29"/>
  <c r="L342" i="29"/>
  <c r="L343" i="29"/>
  <c r="L344" i="29"/>
  <c r="L345" i="29"/>
  <c r="L346" i="29"/>
  <c r="L347" i="29"/>
  <c r="L348" i="29"/>
  <c r="L349" i="29"/>
  <c r="L350" i="29"/>
  <c r="L351" i="29"/>
  <c r="L352" i="29"/>
  <c r="L353" i="29"/>
  <c r="L354" i="29"/>
  <c r="L355" i="29"/>
  <c r="L356" i="29"/>
  <c r="L357" i="29"/>
  <c r="L358" i="29"/>
  <c r="L359" i="29"/>
  <c r="L360" i="29"/>
  <c r="L361" i="29"/>
  <c r="L362" i="29"/>
  <c r="L363" i="29"/>
  <c r="L364" i="29"/>
  <c r="L365" i="29"/>
  <c r="L366" i="29"/>
  <c r="L367" i="29"/>
  <c r="L368" i="29"/>
  <c r="L369" i="29"/>
  <c r="L370" i="29"/>
  <c r="L371" i="29"/>
  <c r="L372" i="29"/>
  <c r="L373" i="29"/>
  <c r="L374" i="29"/>
  <c r="L375" i="29"/>
  <c r="L376" i="29"/>
  <c r="L377" i="29"/>
  <c r="L378" i="29"/>
  <c r="L379" i="29"/>
  <c r="L380" i="29"/>
  <c r="L381" i="29"/>
  <c r="L382" i="29"/>
  <c r="L383" i="29"/>
  <c r="L384" i="29"/>
  <c r="L385" i="29"/>
  <c r="L386" i="29"/>
  <c r="L387" i="29"/>
  <c r="L388" i="29"/>
  <c r="L389" i="29"/>
  <c r="L390" i="29"/>
  <c r="L391" i="29"/>
  <c r="L392" i="29"/>
  <c r="L393" i="29"/>
  <c r="L394" i="29"/>
  <c r="L395" i="29"/>
  <c r="L396" i="29"/>
  <c r="L397" i="29"/>
  <c r="L398" i="29"/>
  <c r="L399" i="29"/>
  <c r="L400" i="29"/>
  <c r="L401" i="29"/>
  <c r="L402" i="29"/>
  <c r="L403" i="29"/>
  <c r="L404" i="29"/>
  <c r="L405" i="29"/>
  <c r="L406" i="29"/>
  <c r="L407" i="29"/>
  <c r="L408" i="29"/>
  <c r="L409" i="29"/>
  <c r="L410" i="29"/>
  <c r="L411" i="29"/>
  <c r="L412" i="29"/>
  <c r="L413" i="29"/>
  <c r="L414" i="29"/>
  <c r="L415" i="29"/>
  <c r="L416" i="29"/>
  <c r="L417" i="29"/>
  <c r="L418" i="29"/>
  <c r="L419" i="29"/>
  <c r="L420" i="29"/>
  <c r="L421" i="29"/>
  <c r="L422" i="29"/>
  <c r="L423" i="29"/>
  <c r="L424" i="29"/>
  <c r="L425" i="29"/>
  <c r="L426" i="29"/>
  <c r="L427" i="29"/>
  <c r="L428" i="29"/>
  <c r="L429" i="29"/>
  <c r="L430" i="29"/>
  <c r="L431" i="29"/>
  <c r="L432" i="29"/>
  <c r="L433" i="29"/>
  <c r="L434" i="29"/>
  <c r="L435" i="29"/>
  <c r="L436" i="29"/>
  <c r="L437" i="29"/>
  <c r="L438" i="29"/>
  <c r="L439" i="29"/>
  <c r="L440" i="29"/>
  <c r="L441" i="29"/>
  <c r="L442" i="29"/>
  <c r="L443" i="29"/>
  <c r="L444" i="29"/>
  <c r="L445" i="29"/>
  <c r="L446" i="29"/>
  <c r="L447" i="29"/>
  <c r="L448" i="29"/>
  <c r="L449" i="29"/>
  <c r="L450" i="29"/>
  <c r="L451" i="29"/>
  <c r="L452" i="29"/>
  <c r="L453" i="29"/>
  <c r="L454" i="29"/>
  <c r="L455" i="29"/>
  <c r="L456" i="29"/>
  <c r="L457" i="29"/>
  <c r="L458" i="29"/>
  <c r="L459" i="29"/>
  <c r="L460" i="29"/>
  <c r="L461" i="29"/>
  <c r="L462" i="29"/>
  <c r="L463" i="29"/>
  <c r="L464" i="29"/>
  <c r="L465" i="29"/>
  <c r="L466" i="29"/>
  <c r="L467" i="29"/>
  <c r="L468" i="29"/>
  <c r="L469" i="29"/>
  <c r="L470" i="29"/>
  <c r="L471" i="29"/>
  <c r="L472" i="29"/>
  <c r="L473" i="29"/>
  <c r="L474" i="29"/>
  <c r="L475" i="29"/>
  <c r="L476" i="29"/>
  <c r="L477" i="29"/>
  <c r="L478" i="29"/>
  <c r="L479" i="29"/>
  <c r="L480" i="29"/>
  <c r="L481" i="29"/>
  <c r="L482" i="29"/>
  <c r="L483" i="29"/>
  <c r="L484" i="29"/>
  <c r="L485" i="29"/>
  <c r="L486" i="29"/>
  <c r="L487" i="29"/>
  <c r="L488" i="29"/>
  <c r="L489" i="29"/>
  <c r="L490" i="29"/>
  <c r="L491" i="29"/>
  <c r="L492" i="29"/>
  <c r="L493" i="29"/>
  <c r="L494" i="29"/>
  <c r="L495" i="29"/>
  <c r="L496" i="29"/>
  <c r="L497" i="29"/>
  <c r="L498" i="29"/>
  <c r="L499" i="29"/>
  <c r="L500" i="29"/>
  <c r="L501" i="29"/>
  <c r="L502" i="29"/>
  <c r="L503" i="29"/>
  <c r="L504" i="29"/>
  <c r="L505" i="29"/>
  <c r="L506" i="29"/>
  <c r="L507" i="29"/>
  <c r="L508" i="29"/>
  <c r="L509" i="29"/>
  <c r="L510" i="29"/>
  <c r="L511" i="29"/>
  <c r="L512" i="29"/>
  <c r="L513" i="29"/>
  <c r="L514" i="29"/>
  <c r="L515" i="29"/>
  <c r="L516" i="29"/>
  <c r="L517" i="29"/>
  <c r="L518" i="29"/>
  <c r="L519" i="29"/>
  <c r="L520" i="29"/>
  <c r="L521" i="29"/>
  <c r="L522" i="29"/>
  <c r="L523" i="29"/>
  <c r="L524" i="29"/>
  <c r="L525" i="29"/>
  <c r="L526" i="29"/>
  <c r="L527" i="29"/>
  <c r="L528" i="29"/>
  <c r="L529" i="29"/>
  <c r="L530" i="29"/>
  <c r="L531" i="29"/>
  <c r="L532" i="29"/>
  <c r="L533" i="29"/>
  <c r="L534" i="29"/>
  <c r="L535" i="29"/>
  <c r="L536" i="29"/>
  <c r="L537" i="29"/>
  <c r="L538" i="29"/>
  <c r="L539" i="29"/>
  <c r="L540" i="29"/>
  <c r="L541" i="29"/>
  <c r="L542" i="29"/>
  <c r="L543" i="29"/>
  <c r="L544" i="29"/>
  <c r="L545" i="29"/>
  <c r="L546" i="29"/>
  <c r="L547" i="29"/>
  <c r="L548" i="29"/>
  <c r="L549" i="29"/>
  <c r="L550" i="29"/>
  <c r="L551" i="29"/>
  <c r="L552" i="29"/>
  <c r="L553" i="29"/>
  <c r="L554" i="29"/>
  <c r="L555" i="29"/>
  <c r="L556" i="29"/>
  <c r="L557" i="29"/>
  <c r="L558" i="29"/>
  <c r="L559" i="29"/>
  <c r="L560" i="29"/>
  <c r="L561" i="29"/>
  <c r="L562" i="29"/>
  <c r="L563" i="29"/>
  <c r="L564" i="29"/>
  <c r="L565" i="29"/>
  <c r="L566" i="29"/>
  <c r="L567" i="29"/>
  <c r="L568" i="29"/>
  <c r="L569" i="29"/>
  <c r="L570" i="29"/>
  <c r="L571" i="29"/>
  <c r="L572" i="29"/>
  <c r="L573" i="29"/>
  <c r="L574" i="29"/>
  <c r="L575" i="29"/>
  <c r="L576" i="29"/>
  <c r="L577" i="29"/>
  <c r="L578" i="29"/>
  <c r="L579" i="29"/>
  <c r="L580" i="29"/>
  <c r="L581" i="29"/>
  <c r="L582" i="29"/>
  <c r="L583" i="29"/>
  <c r="L595" i="29"/>
  <c r="AG597" i="29" l="1"/>
  <c r="AG596" i="29"/>
  <c r="M140" i="29"/>
  <c r="N595" i="29"/>
  <c r="N583" i="29"/>
  <c r="N582" i="29"/>
  <c r="N581" i="29"/>
  <c r="N580" i="29"/>
  <c r="N579" i="29"/>
  <c r="N578" i="29"/>
  <c r="N577" i="29"/>
  <c r="N576" i="29"/>
  <c r="N575" i="29"/>
  <c r="N574" i="29"/>
  <c r="N573" i="29"/>
  <c r="N572" i="29"/>
  <c r="N571" i="29"/>
  <c r="N570" i="29"/>
  <c r="N569" i="29"/>
  <c r="N568" i="29"/>
  <c r="N567" i="29"/>
  <c r="N566" i="29"/>
  <c r="N565" i="29"/>
  <c r="N564" i="29"/>
  <c r="N563" i="29"/>
  <c r="N562" i="29"/>
  <c r="N561" i="29"/>
  <c r="N560" i="29"/>
  <c r="N559" i="29"/>
  <c r="N558" i="29"/>
  <c r="N557" i="29"/>
  <c r="N556" i="29"/>
  <c r="N555" i="29"/>
  <c r="N554" i="29"/>
  <c r="N553" i="29"/>
  <c r="N552" i="29"/>
  <c r="N551" i="29"/>
  <c r="N550" i="29"/>
  <c r="N549" i="29"/>
  <c r="N547" i="29"/>
  <c r="N546" i="29"/>
  <c r="N545" i="29"/>
  <c r="N544" i="29"/>
  <c r="N543" i="29"/>
  <c r="N542" i="29"/>
  <c r="N541" i="29"/>
  <c r="N540" i="29"/>
  <c r="N539" i="29"/>
  <c r="N538" i="29"/>
  <c r="N537" i="29"/>
  <c r="N536" i="29"/>
  <c r="N535" i="29"/>
  <c r="N534" i="29"/>
  <c r="N533" i="29"/>
  <c r="N532" i="29"/>
  <c r="N531" i="29"/>
  <c r="N530" i="29"/>
  <c r="N529" i="29"/>
  <c r="N528" i="29"/>
  <c r="N527" i="29"/>
  <c r="N526" i="29"/>
  <c r="N525" i="29"/>
  <c r="N524" i="29"/>
  <c r="N523" i="29"/>
  <c r="N522" i="29"/>
  <c r="N521" i="29"/>
  <c r="N520" i="29"/>
  <c r="N519" i="29"/>
  <c r="N518" i="29"/>
  <c r="N517" i="29"/>
  <c r="N516" i="29"/>
  <c r="N515" i="29"/>
  <c r="N514" i="29"/>
  <c r="N513" i="29"/>
  <c r="N512" i="29"/>
  <c r="N511" i="29"/>
  <c r="N510" i="29"/>
  <c r="N509" i="29"/>
  <c r="N508" i="29"/>
  <c r="N507" i="29"/>
  <c r="N506" i="29"/>
  <c r="N505" i="29"/>
  <c r="N504" i="29"/>
  <c r="N503" i="29"/>
  <c r="N502" i="29"/>
  <c r="N501" i="29"/>
  <c r="N500" i="29"/>
  <c r="N499" i="29"/>
  <c r="N498" i="29"/>
  <c r="N497" i="29"/>
  <c r="N496" i="29"/>
  <c r="N495" i="29"/>
  <c r="N494" i="29"/>
  <c r="N493" i="29"/>
  <c r="N492" i="29"/>
  <c r="N491" i="29"/>
  <c r="N490" i="29"/>
  <c r="N489" i="29"/>
  <c r="N488" i="29"/>
  <c r="N487" i="29"/>
  <c r="N486" i="29"/>
  <c r="N485" i="29"/>
  <c r="N484" i="29"/>
  <c r="N483" i="29"/>
  <c r="N476" i="29"/>
  <c r="N471" i="29"/>
  <c r="N470" i="29"/>
  <c r="N469" i="29"/>
  <c r="N467" i="29"/>
  <c r="N466" i="29"/>
  <c r="N465" i="29"/>
  <c r="N464" i="29"/>
  <c r="N463" i="29"/>
  <c r="N462" i="29"/>
  <c r="N461" i="29"/>
  <c r="N460" i="29"/>
  <c r="N459" i="29"/>
  <c r="N457" i="29"/>
  <c r="N456" i="29"/>
  <c r="N455" i="29"/>
  <c r="N454" i="29"/>
  <c r="N453" i="29"/>
  <c r="N452" i="29"/>
  <c r="N451" i="29"/>
  <c r="N450" i="29"/>
  <c r="N449" i="29"/>
  <c r="N448" i="29"/>
  <c r="N447" i="29"/>
  <c r="N446" i="29"/>
  <c r="N445" i="29"/>
  <c r="N444" i="29"/>
  <c r="N443" i="29"/>
  <c r="N441" i="29"/>
  <c r="N440" i="29"/>
  <c r="N439" i="29"/>
  <c r="N438" i="29"/>
  <c r="N437" i="29"/>
  <c r="N436" i="29"/>
  <c r="N435" i="29"/>
  <c r="N433" i="29"/>
  <c r="N432" i="29"/>
  <c r="N431" i="29"/>
  <c r="N430" i="29"/>
  <c r="N429" i="29"/>
  <c r="N427" i="29"/>
  <c r="N426" i="29"/>
  <c r="N425" i="29"/>
  <c r="N424" i="29"/>
  <c r="N423" i="29"/>
  <c r="N422" i="29"/>
  <c r="N421" i="29"/>
  <c r="N420" i="29"/>
  <c r="N419" i="29"/>
  <c r="N418" i="29"/>
  <c r="N417" i="29"/>
  <c r="N416" i="29"/>
  <c r="N415" i="29"/>
  <c r="N414" i="29"/>
  <c r="N413" i="29"/>
  <c r="N412" i="29"/>
  <c r="N411" i="29"/>
  <c r="N410" i="29"/>
  <c r="N409" i="29"/>
  <c r="N408" i="29"/>
  <c r="N407" i="29"/>
  <c r="N406" i="29"/>
  <c r="N405" i="29"/>
  <c r="N404" i="29"/>
  <c r="N403" i="29"/>
  <c r="N402" i="29"/>
  <c r="N401" i="29"/>
  <c r="N400" i="29"/>
  <c r="N399" i="29"/>
  <c r="N398" i="29"/>
  <c r="N397" i="29"/>
  <c r="N396" i="29"/>
  <c r="N395" i="29"/>
  <c r="N394" i="29"/>
  <c r="N393" i="29"/>
  <c r="N392" i="29"/>
  <c r="N391" i="29"/>
  <c r="N390" i="29"/>
  <c r="N389" i="29"/>
  <c r="N388" i="29"/>
  <c r="N387" i="29"/>
  <c r="N386" i="29"/>
  <c r="N385" i="29"/>
  <c r="N384" i="29"/>
  <c r="N383" i="29"/>
  <c r="N382" i="29"/>
  <c r="N381" i="29"/>
  <c r="N380" i="29"/>
  <c r="N379" i="29"/>
  <c r="N378" i="29"/>
  <c r="N377" i="29"/>
  <c r="N376" i="29"/>
  <c r="N375" i="29"/>
  <c r="N374" i="29"/>
  <c r="N373" i="29"/>
  <c r="N372" i="29"/>
  <c r="N371" i="29"/>
  <c r="N370" i="29"/>
  <c r="N369" i="29"/>
  <c r="N368" i="29"/>
  <c r="N367" i="29"/>
  <c r="N366" i="29"/>
  <c r="N365" i="29"/>
  <c r="N364" i="29"/>
  <c r="N363" i="29"/>
  <c r="N362" i="29"/>
  <c r="N361" i="29"/>
  <c r="N360" i="29"/>
  <c r="N359" i="29"/>
  <c r="N358" i="29"/>
  <c r="N357" i="29"/>
  <c r="N356" i="29"/>
  <c r="N355" i="29"/>
  <c r="N354" i="29"/>
  <c r="N353" i="29"/>
  <c r="N352" i="29"/>
  <c r="N351" i="29"/>
  <c r="N350" i="29"/>
  <c r="N349" i="29"/>
  <c r="N348" i="29"/>
  <c r="N347" i="29"/>
  <c r="N346" i="29"/>
  <c r="N345" i="29"/>
  <c r="N344" i="29"/>
  <c r="N343" i="29"/>
  <c r="N342" i="29"/>
  <c r="N341" i="29"/>
  <c r="N340" i="29"/>
  <c r="N339" i="29"/>
  <c r="N338" i="29"/>
  <c r="N337" i="29"/>
  <c r="N336" i="29"/>
  <c r="N335" i="29"/>
  <c r="N334" i="29"/>
  <c r="N333" i="29"/>
  <c r="N332" i="29"/>
  <c r="N331" i="29"/>
  <c r="N330" i="29"/>
  <c r="N329" i="29"/>
  <c r="N328" i="29"/>
  <c r="N327" i="29"/>
  <c r="N326" i="29"/>
  <c r="N325" i="29"/>
  <c r="N324" i="29"/>
  <c r="N323" i="29"/>
  <c r="N322" i="29"/>
  <c r="N321" i="29"/>
  <c r="N320" i="29"/>
  <c r="N319" i="29"/>
  <c r="N318" i="29"/>
  <c r="N317" i="29"/>
  <c r="N316" i="29"/>
  <c r="N315" i="29"/>
  <c r="N314" i="29"/>
  <c r="N313" i="29"/>
  <c r="N312" i="29"/>
  <c r="N311" i="29"/>
  <c r="N310" i="29"/>
  <c r="N309" i="29"/>
  <c r="N308" i="29"/>
  <c r="N307" i="29"/>
  <c r="N306" i="29"/>
  <c r="N305" i="29"/>
  <c r="N304" i="29"/>
  <c r="N303" i="29"/>
  <c r="N302" i="29"/>
  <c r="N301" i="29"/>
  <c r="N300" i="29"/>
  <c r="N299" i="29"/>
  <c r="N298" i="29"/>
  <c r="N297" i="29"/>
  <c r="N296" i="29"/>
  <c r="N295" i="29"/>
  <c r="N294" i="29"/>
  <c r="N293" i="29"/>
  <c r="N292" i="29"/>
  <c r="N291" i="29"/>
  <c r="N290" i="29"/>
  <c r="N289" i="29"/>
  <c r="N288" i="29"/>
  <c r="N287" i="29"/>
  <c r="N286" i="29"/>
  <c r="N285" i="29"/>
  <c r="N284" i="29"/>
  <c r="N283" i="29"/>
  <c r="N282" i="29"/>
  <c r="N281" i="29"/>
  <c r="N280" i="29"/>
  <c r="N279" i="29"/>
  <c r="N278" i="29"/>
  <c r="N277" i="29"/>
  <c r="N276" i="29"/>
  <c r="N275" i="29"/>
  <c r="N274" i="29"/>
  <c r="N273" i="29"/>
  <c r="N272" i="29"/>
  <c r="N271" i="29"/>
  <c r="N270" i="29"/>
  <c r="N269" i="29"/>
  <c r="N268" i="29"/>
  <c r="N267" i="29"/>
  <c r="N266" i="29"/>
  <c r="N265" i="29"/>
  <c r="N264" i="29"/>
  <c r="N263" i="29"/>
  <c r="N262" i="29"/>
  <c r="N261" i="29"/>
  <c r="N260" i="29"/>
  <c r="N259" i="29"/>
  <c r="N258" i="29"/>
  <c r="N257" i="29"/>
  <c r="N256" i="29"/>
  <c r="N255" i="29"/>
  <c r="N254" i="29"/>
  <c r="N253" i="29"/>
  <c r="N252" i="29"/>
  <c r="N251" i="29"/>
  <c r="N250" i="29"/>
  <c r="N249" i="29"/>
  <c r="N248" i="29"/>
  <c r="N247" i="29"/>
  <c r="N246" i="29"/>
  <c r="N245" i="29"/>
  <c r="N244" i="29"/>
  <c r="N243" i="29"/>
  <c r="N242" i="29"/>
  <c r="N241" i="29"/>
  <c r="N240" i="29"/>
  <c r="N239" i="29"/>
  <c r="N238" i="29"/>
  <c r="N237" i="29"/>
  <c r="N236" i="29"/>
  <c r="N235" i="29"/>
  <c r="N234" i="29"/>
  <c r="N233" i="29"/>
  <c r="N232" i="29"/>
  <c r="N231" i="29"/>
  <c r="N230" i="29"/>
  <c r="N229" i="29"/>
  <c r="N228" i="29"/>
  <c r="N227" i="29"/>
  <c r="N226" i="29"/>
  <c r="N225" i="29"/>
  <c r="N224" i="29"/>
  <c r="N223" i="29"/>
  <c r="N222" i="29"/>
  <c r="N221" i="29"/>
  <c r="N220" i="29"/>
  <c r="N219" i="29"/>
  <c r="N218" i="29"/>
  <c r="N217" i="29"/>
  <c r="N216" i="29"/>
  <c r="N215" i="29"/>
  <c r="N214" i="29"/>
  <c r="N213" i="29"/>
  <c r="N212" i="29"/>
  <c r="N211" i="29"/>
  <c r="N210" i="29"/>
  <c r="N209" i="29"/>
  <c r="N208" i="29"/>
  <c r="N207" i="29"/>
  <c r="N206" i="29"/>
  <c r="N205" i="29"/>
  <c r="N204" i="29"/>
  <c r="N203" i="29"/>
  <c r="N202" i="29"/>
  <c r="N201" i="29"/>
  <c r="N200" i="29"/>
  <c r="N199" i="29"/>
  <c r="N198" i="29"/>
  <c r="N197" i="29"/>
  <c r="N196" i="29"/>
  <c r="N195" i="29"/>
  <c r="N194" i="29"/>
  <c r="N193" i="29"/>
  <c r="N192" i="29"/>
  <c r="N191" i="29"/>
  <c r="N190" i="29"/>
  <c r="N189" i="29"/>
  <c r="N188" i="29"/>
  <c r="N187" i="29"/>
  <c r="N186" i="29"/>
  <c r="N185" i="29"/>
  <c r="N184" i="29"/>
  <c r="N183" i="29"/>
  <c r="N182" i="29"/>
  <c r="N181" i="29"/>
  <c r="N180" i="29"/>
  <c r="N179" i="29"/>
  <c r="N178" i="29"/>
  <c r="N177" i="29"/>
  <c r="N176" i="29"/>
  <c r="N175" i="29"/>
  <c r="N174" i="29"/>
  <c r="N173" i="29"/>
  <c r="N172" i="29"/>
  <c r="N171" i="29"/>
  <c r="N170" i="29"/>
  <c r="N169" i="29"/>
  <c r="N168" i="29"/>
  <c r="N167" i="29"/>
  <c r="N166" i="29"/>
  <c r="N165" i="29"/>
  <c r="N164" i="29"/>
  <c r="N163" i="29"/>
  <c r="N162" i="29"/>
  <c r="N161" i="29"/>
  <c r="N160" i="29"/>
  <c r="N159" i="29"/>
  <c r="N158" i="29"/>
  <c r="N157" i="29"/>
  <c r="N156" i="29"/>
  <c r="N155" i="29"/>
  <c r="N154" i="29"/>
  <c r="N153" i="29"/>
  <c r="N152" i="29"/>
  <c r="N151" i="29"/>
  <c r="N150" i="29"/>
  <c r="N149" i="29"/>
  <c r="N148" i="29"/>
  <c r="N147" i="29"/>
  <c r="N146" i="29"/>
  <c r="N145" i="29"/>
  <c r="N144" i="29"/>
  <c r="N143" i="29"/>
  <c r="N142" i="29"/>
  <c r="N141" i="29"/>
  <c r="N140" i="29"/>
  <c r="N139" i="29"/>
  <c r="N138" i="29"/>
  <c r="N137" i="29"/>
  <c r="N136" i="29"/>
  <c r="N135" i="29"/>
  <c r="N134" i="29"/>
  <c r="N133" i="29"/>
  <c r="N132" i="29"/>
  <c r="N131" i="29"/>
  <c r="N130" i="29"/>
  <c r="N129" i="29"/>
  <c r="N128" i="29"/>
  <c r="N127" i="29"/>
  <c r="N126" i="29"/>
  <c r="N125" i="29"/>
  <c r="N124" i="29"/>
  <c r="N123" i="29"/>
  <c r="N122" i="29"/>
  <c r="N121" i="29"/>
  <c r="N120" i="29"/>
  <c r="N119" i="29"/>
  <c r="N118" i="29"/>
  <c r="N117" i="29"/>
  <c r="N116" i="29"/>
  <c r="N115" i="29"/>
  <c r="N114" i="29"/>
  <c r="N113" i="29"/>
  <c r="N112" i="29"/>
  <c r="N111" i="29"/>
  <c r="N110" i="29"/>
  <c r="N109" i="29"/>
  <c r="N108" i="29"/>
  <c r="N107" i="29"/>
  <c r="N106" i="29"/>
  <c r="N105" i="29"/>
  <c r="N104" i="29"/>
  <c r="N103" i="29"/>
  <c r="N102" i="29"/>
  <c r="N101" i="29"/>
  <c r="N100" i="29"/>
  <c r="N99" i="29"/>
  <c r="N98" i="29"/>
  <c r="N97" i="29"/>
  <c r="N96" i="29"/>
  <c r="N95" i="29"/>
  <c r="N94" i="29"/>
  <c r="N93" i="29"/>
  <c r="N92" i="29"/>
  <c r="N91" i="29"/>
  <c r="N90" i="29"/>
  <c r="N89" i="29"/>
  <c r="N88" i="29"/>
  <c r="N87" i="29"/>
  <c r="N86" i="29"/>
  <c r="N85" i="29"/>
  <c r="N84" i="29"/>
  <c r="N83" i="29"/>
  <c r="N82" i="29"/>
  <c r="N81" i="29"/>
  <c r="N80" i="29"/>
  <c r="N79" i="29"/>
  <c r="N78" i="29"/>
  <c r="N77" i="29"/>
  <c r="N76" i="29"/>
  <c r="N75" i="29"/>
  <c r="N74" i="29"/>
  <c r="N73" i="29"/>
  <c r="N72" i="29"/>
  <c r="N71" i="29"/>
  <c r="N70" i="29"/>
  <c r="N69" i="29"/>
  <c r="N68" i="29"/>
  <c r="N67" i="29"/>
  <c r="N66" i="29"/>
  <c r="N65" i="29"/>
  <c r="N64" i="29"/>
  <c r="N63" i="29"/>
  <c r="N62" i="29"/>
  <c r="N61" i="29"/>
  <c r="N60" i="29"/>
  <c r="N59" i="29"/>
  <c r="N58" i="29"/>
  <c r="N57" i="29"/>
  <c r="N56" i="29"/>
  <c r="N55" i="29"/>
  <c r="N54" i="29"/>
  <c r="N53" i="29"/>
  <c r="N52" i="29"/>
  <c r="N51" i="29"/>
  <c r="N50" i="29"/>
  <c r="N49" i="29"/>
  <c r="N48" i="29"/>
  <c r="N47" i="29"/>
  <c r="N46" i="29"/>
  <c r="N45" i="29"/>
  <c r="N44" i="29"/>
  <c r="N43" i="29"/>
  <c r="N42" i="29"/>
  <c r="N41" i="29"/>
  <c r="N40" i="29"/>
  <c r="N39" i="29"/>
  <c r="N38" i="29"/>
  <c r="N37" i="29"/>
  <c r="N36" i="29"/>
  <c r="N35" i="29"/>
  <c r="N34" i="29"/>
  <c r="N33" i="29"/>
  <c r="N32" i="29"/>
  <c r="N31" i="29"/>
  <c r="N30" i="29"/>
  <c r="N29" i="29"/>
  <c r="N27" i="29"/>
  <c r="N26" i="29"/>
  <c r="N24" i="29"/>
  <c r="N23" i="29"/>
  <c r="N22" i="29"/>
  <c r="N21" i="29"/>
  <c r="N20" i="29"/>
  <c r="N19" i="29"/>
  <c r="N18" i="29"/>
  <c r="M12" i="29" l="1"/>
  <c r="C7" i="21" l="1"/>
  <c r="N17" i="29" s="1"/>
  <c r="C6" i="21"/>
  <c r="N12" i="29" s="1"/>
  <c r="C5" i="21"/>
  <c r="N13" i="29" l="1"/>
  <c r="N16" i="29"/>
  <c r="N15" i="29"/>
  <c r="N14" i="29"/>
  <c r="C92" i="21"/>
  <c r="N458" i="29" s="1"/>
  <c r="N481" i="29" l="1"/>
  <c r="N482" i="29"/>
  <c r="N479" i="29"/>
  <c r="N480" i="29"/>
  <c r="N477" i="29"/>
  <c r="N478" i="29"/>
  <c r="N473" i="29"/>
  <c r="N475" i="29"/>
  <c r="N472" i="29"/>
  <c r="N474" i="29"/>
  <c r="N442" i="29"/>
  <c r="N468" i="29"/>
  <c r="N428" i="29"/>
  <c r="N434" i="29"/>
  <c r="G32" i="32"/>
  <c r="P595" i="29"/>
  <c r="M595" i="29"/>
  <c r="P583" i="29"/>
  <c r="M583" i="29"/>
  <c r="AG583" i="29" s="1"/>
  <c r="P582" i="29"/>
  <c r="M582" i="29"/>
  <c r="P581" i="29"/>
  <c r="M581" i="29"/>
  <c r="P580" i="29"/>
  <c r="M580" i="29"/>
  <c r="P579" i="29"/>
  <c r="M579" i="29"/>
  <c r="P578" i="29"/>
  <c r="M578" i="29"/>
  <c r="AG578" i="29" s="1"/>
  <c r="P577" i="29"/>
  <c r="M577" i="29"/>
  <c r="P576" i="29"/>
  <c r="P575" i="29"/>
  <c r="P574" i="29"/>
  <c r="P573" i="29"/>
  <c r="P572" i="29"/>
  <c r="P571" i="29"/>
  <c r="P570" i="29"/>
  <c r="P569" i="29"/>
  <c r="P568" i="29"/>
  <c r="P567" i="29"/>
  <c r="P566" i="29"/>
  <c r="P565" i="29"/>
  <c r="P564" i="29"/>
  <c r="P563" i="29"/>
  <c r="P562" i="29"/>
  <c r="P561" i="29"/>
  <c r="P560" i="29"/>
  <c r="P559" i="29"/>
  <c r="P558" i="29"/>
  <c r="P557" i="29"/>
  <c r="P556" i="29"/>
  <c r="P555" i="29"/>
  <c r="P554" i="29"/>
  <c r="P553" i="29"/>
  <c r="P552" i="29"/>
  <c r="P551" i="29"/>
  <c r="P550" i="29"/>
  <c r="P549" i="29"/>
  <c r="P548" i="29"/>
  <c r="P547" i="29"/>
  <c r="P546" i="29"/>
  <c r="P545" i="29"/>
  <c r="P544" i="29"/>
  <c r="P543" i="29"/>
  <c r="P542" i="29"/>
  <c r="P541" i="29"/>
  <c r="P540" i="29"/>
  <c r="P539" i="29"/>
  <c r="P538" i="29"/>
  <c r="P537" i="29"/>
  <c r="P536" i="29"/>
  <c r="P535" i="29"/>
  <c r="P534" i="29"/>
  <c r="P533" i="29"/>
  <c r="P532" i="29"/>
  <c r="P531" i="29"/>
  <c r="P530" i="29"/>
  <c r="P529" i="29"/>
  <c r="P528" i="29"/>
  <c r="P527" i="29"/>
  <c r="P526" i="29"/>
  <c r="P525" i="29"/>
  <c r="P524" i="29"/>
  <c r="P523" i="29"/>
  <c r="P522" i="29"/>
  <c r="P521" i="29"/>
  <c r="P520" i="29"/>
  <c r="P519" i="29"/>
  <c r="P518" i="29"/>
  <c r="P517" i="29"/>
  <c r="P516" i="29"/>
  <c r="P515" i="29"/>
  <c r="P514" i="29"/>
  <c r="P513" i="29"/>
  <c r="P512" i="29"/>
  <c r="P511" i="29"/>
  <c r="P510" i="29"/>
  <c r="P509" i="29"/>
  <c r="P508" i="29"/>
  <c r="P507" i="29"/>
  <c r="P506" i="29"/>
  <c r="P505" i="29"/>
  <c r="P504" i="29"/>
  <c r="P503" i="29"/>
  <c r="P502" i="29"/>
  <c r="P501" i="29"/>
  <c r="P500" i="29"/>
  <c r="P499" i="29"/>
  <c r="P498" i="29"/>
  <c r="P497" i="29"/>
  <c r="P496" i="29"/>
  <c r="P495" i="29"/>
  <c r="P494" i="29"/>
  <c r="P493" i="29"/>
  <c r="P492" i="29"/>
  <c r="P491" i="29"/>
  <c r="P490" i="29"/>
  <c r="P489" i="29"/>
  <c r="P488" i="29"/>
  <c r="P487" i="29"/>
  <c r="P486" i="29"/>
  <c r="P485" i="29"/>
  <c r="P484" i="29"/>
  <c r="P483" i="29"/>
  <c r="P482" i="29"/>
  <c r="P481" i="29"/>
  <c r="P480" i="29"/>
  <c r="P479" i="29"/>
  <c r="P478" i="29"/>
  <c r="P477" i="29"/>
  <c r="P476" i="29"/>
  <c r="P475" i="29"/>
  <c r="P474" i="29"/>
  <c r="P473" i="29"/>
  <c r="P472" i="29"/>
  <c r="P471" i="29"/>
  <c r="P470" i="29"/>
  <c r="P469" i="29"/>
  <c r="P468" i="29"/>
  <c r="P467" i="29"/>
  <c r="P466" i="29"/>
  <c r="P465" i="29"/>
  <c r="P464" i="29"/>
  <c r="P463" i="29"/>
  <c r="P462" i="29"/>
  <c r="P461" i="29"/>
  <c r="P460" i="29"/>
  <c r="P459" i="29"/>
  <c r="P458" i="29"/>
  <c r="P457" i="29"/>
  <c r="P456" i="29"/>
  <c r="P455" i="29"/>
  <c r="P454" i="29"/>
  <c r="P453" i="29"/>
  <c r="P452" i="29"/>
  <c r="P451" i="29"/>
  <c r="P450" i="29"/>
  <c r="P449" i="29"/>
  <c r="P448" i="29"/>
  <c r="P447" i="29"/>
  <c r="P446" i="29"/>
  <c r="P445" i="29"/>
  <c r="P444" i="29"/>
  <c r="P443" i="29"/>
  <c r="P442" i="29"/>
  <c r="P441" i="29"/>
  <c r="P440" i="29"/>
  <c r="P439" i="29"/>
  <c r="P438" i="29"/>
  <c r="P437" i="29"/>
  <c r="P436" i="29"/>
  <c r="P435" i="29"/>
  <c r="P434" i="29"/>
  <c r="P433" i="29"/>
  <c r="P432" i="29"/>
  <c r="P431" i="29"/>
  <c r="P430" i="29"/>
  <c r="P429" i="29"/>
  <c r="P428" i="29"/>
  <c r="P427" i="29"/>
  <c r="P426" i="29"/>
  <c r="P425" i="29"/>
  <c r="P424" i="29"/>
  <c r="P423" i="29"/>
  <c r="P422" i="29"/>
  <c r="P421" i="29"/>
  <c r="P420" i="29"/>
  <c r="P419" i="29"/>
  <c r="P418" i="29"/>
  <c r="P417" i="29"/>
  <c r="P416" i="29"/>
  <c r="P415" i="29"/>
  <c r="P414" i="29"/>
  <c r="P413" i="29"/>
  <c r="P412" i="29"/>
  <c r="P411" i="29"/>
  <c r="P410" i="29"/>
  <c r="P409" i="29"/>
  <c r="P408" i="29"/>
  <c r="P407" i="29"/>
  <c r="P406" i="29"/>
  <c r="P405" i="29"/>
  <c r="P404" i="29"/>
  <c r="P403" i="29"/>
  <c r="P402" i="29"/>
  <c r="P401" i="29"/>
  <c r="P400" i="29"/>
  <c r="P399" i="29"/>
  <c r="P398" i="29"/>
  <c r="P397" i="29"/>
  <c r="P396" i="29"/>
  <c r="P395" i="29"/>
  <c r="P394" i="29"/>
  <c r="P393" i="29"/>
  <c r="P392" i="29"/>
  <c r="P391" i="29"/>
  <c r="P390" i="29"/>
  <c r="P389" i="29"/>
  <c r="P388" i="29"/>
  <c r="P387" i="29"/>
  <c r="P386" i="29"/>
  <c r="P385" i="29"/>
  <c r="P384" i="29"/>
  <c r="P383" i="29"/>
  <c r="P382" i="29"/>
  <c r="P381" i="29"/>
  <c r="P380" i="29"/>
  <c r="P379" i="29"/>
  <c r="P378" i="29"/>
  <c r="P377" i="29"/>
  <c r="P376" i="29"/>
  <c r="P375" i="29"/>
  <c r="P374" i="29"/>
  <c r="P373" i="29"/>
  <c r="P372" i="29"/>
  <c r="P371" i="29"/>
  <c r="P370" i="29"/>
  <c r="P369" i="29"/>
  <c r="P368" i="29"/>
  <c r="P367" i="29"/>
  <c r="P366" i="29"/>
  <c r="P365" i="29"/>
  <c r="P364" i="29"/>
  <c r="P363" i="29"/>
  <c r="P362" i="29"/>
  <c r="P361" i="29"/>
  <c r="P360" i="29"/>
  <c r="P359" i="29"/>
  <c r="P358" i="29"/>
  <c r="P357" i="29"/>
  <c r="P356" i="29"/>
  <c r="P355" i="29"/>
  <c r="P354" i="29"/>
  <c r="P353" i="29"/>
  <c r="P352" i="29"/>
  <c r="P351" i="29"/>
  <c r="P350" i="29"/>
  <c r="P349" i="29"/>
  <c r="P348" i="29"/>
  <c r="P347" i="29"/>
  <c r="P346" i="29"/>
  <c r="P345" i="29"/>
  <c r="P344" i="29"/>
  <c r="P343" i="29"/>
  <c r="P342" i="29"/>
  <c r="P341" i="29"/>
  <c r="P340" i="29"/>
  <c r="P339" i="29"/>
  <c r="P338" i="29"/>
  <c r="P337" i="29"/>
  <c r="P336" i="29"/>
  <c r="P335" i="29"/>
  <c r="P334" i="29"/>
  <c r="P333" i="29"/>
  <c r="P332" i="29"/>
  <c r="P331" i="29"/>
  <c r="P330" i="29"/>
  <c r="P329" i="29"/>
  <c r="P328" i="29"/>
  <c r="P327" i="29"/>
  <c r="P326" i="29"/>
  <c r="P325" i="29"/>
  <c r="P324" i="29"/>
  <c r="P323" i="29"/>
  <c r="P322" i="29"/>
  <c r="P321" i="29"/>
  <c r="P320" i="29"/>
  <c r="P319" i="29"/>
  <c r="P318" i="29"/>
  <c r="P317" i="29"/>
  <c r="P316" i="29"/>
  <c r="P315" i="29"/>
  <c r="P314" i="29"/>
  <c r="P313" i="29"/>
  <c r="P312" i="29"/>
  <c r="P311" i="29"/>
  <c r="P310" i="29"/>
  <c r="P309" i="29"/>
  <c r="P308" i="29"/>
  <c r="P307" i="29"/>
  <c r="P306" i="29"/>
  <c r="P305" i="29"/>
  <c r="P304" i="29"/>
  <c r="P303" i="29"/>
  <c r="P302" i="29"/>
  <c r="P301" i="29"/>
  <c r="P300" i="29"/>
  <c r="P299" i="29"/>
  <c r="P298" i="29"/>
  <c r="P297" i="29"/>
  <c r="P296" i="29"/>
  <c r="P295" i="29"/>
  <c r="P294" i="29"/>
  <c r="P293" i="29"/>
  <c r="P292" i="29"/>
  <c r="P291" i="29"/>
  <c r="P290" i="29"/>
  <c r="P289" i="29"/>
  <c r="P288" i="29"/>
  <c r="P287" i="29"/>
  <c r="P286" i="29"/>
  <c r="P285" i="29"/>
  <c r="P284" i="29"/>
  <c r="P283" i="29"/>
  <c r="P282" i="29"/>
  <c r="P281" i="29"/>
  <c r="P280" i="29"/>
  <c r="P279" i="29"/>
  <c r="P278" i="29"/>
  <c r="P277" i="29"/>
  <c r="P276" i="29"/>
  <c r="P275" i="29"/>
  <c r="P274" i="29"/>
  <c r="P273" i="29"/>
  <c r="P272" i="29"/>
  <c r="P271" i="29"/>
  <c r="P270" i="29"/>
  <c r="P269" i="29"/>
  <c r="P268" i="29"/>
  <c r="P267" i="29"/>
  <c r="P266" i="29"/>
  <c r="P265" i="29"/>
  <c r="P264" i="29"/>
  <c r="P263" i="29"/>
  <c r="P262" i="29"/>
  <c r="P261" i="29"/>
  <c r="P260" i="29"/>
  <c r="P259" i="29"/>
  <c r="P258" i="29"/>
  <c r="P257" i="29"/>
  <c r="P256" i="29"/>
  <c r="P255" i="29"/>
  <c r="P254" i="29"/>
  <c r="P253" i="29"/>
  <c r="P252" i="29"/>
  <c r="P251" i="29"/>
  <c r="P250" i="29"/>
  <c r="P249" i="29"/>
  <c r="P248" i="29"/>
  <c r="P247" i="29"/>
  <c r="P246" i="29"/>
  <c r="P245" i="29"/>
  <c r="P244" i="29"/>
  <c r="P243" i="29"/>
  <c r="P242" i="29"/>
  <c r="P241" i="29"/>
  <c r="P240" i="29"/>
  <c r="P239" i="29"/>
  <c r="P238" i="29"/>
  <c r="P237" i="29"/>
  <c r="P236" i="29"/>
  <c r="P235" i="29"/>
  <c r="P234" i="29"/>
  <c r="P233" i="29"/>
  <c r="P232" i="29"/>
  <c r="P231" i="29"/>
  <c r="P230" i="29"/>
  <c r="P229" i="29"/>
  <c r="P228" i="29"/>
  <c r="P227" i="29"/>
  <c r="P226" i="29"/>
  <c r="P225" i="29"/>
  <c r="P224" i="29"/>
  <c r="P223" i="29"/>
  <c r="P222" i="29"/>
  <c r="P221" i="29"/>
  <c r="P220" i="29"/>
  <c r="P219" i="29"/>
  <c r="P218" i="29"/>
  <c r="P217" i="29"/>
  <c r="P216" i="29"/>
  <c r="P215" i="29"/>
  <c r="P214" i="29"/>
  <c r="P213" i="29"/>
  <c r="P212" i="29"/>
  <c r="P211" i="29"/>
  <c r="P210" i="29"/>
  <c r="P209" i="29"/>
  <c r="P208" i="29"/>
  <c r="P207" i="29"/>
  <c r="P206" i="29"/>
  <c r="P205" i="29"/>
  <c r="P204" i="29"/>
  <c r="P203" i="29"/>
  <c r="P202" i="29"/>
  <c r="P201" i="29"/>
  <c r="P200" i="29"/>
  <c r="P199" i="29"/>
  <c r="P198" i="29"/>
  <c r="P197" i="29"/>
  <c r="P196" i="29"/>
  <c r="P195" i="29"/>
  <c r="P194" i="29"/>
  <c r="P193" i="29"/>
  <c r="P192" i="29"/>
  <c r="P191" i="29"/>
  <c r="P190" i="29"/>
  <c r="P189" i="29"/>
  <c r="P188" i="29"/>
  <c r="P187" i="29"/>
  <c r="P186" i="29"/>
  <c r="P185" i="29"/>
  <c r="P184" i="29"/>
  <c r="P183" i="29"/>
  <c r="P182" i="29"/>
  <c r="P181" i="29"/>
  <c r="P180" i="29"/>
  <c r="P179" i="29"/>
  <c r="P178" i="29"/>
  <c r="P177" i="29"/>
  <c r="P176" i="29"/>
  <c r="P175" i="29"/>
  <c r="P174" i="29"/>
  <c r="P173" i="29"/>
  <c r="P172" i="29"/>
  <c r="P171" i="29"/>
  <c r="P170" i="29"/>
  <c r="P169" i="29"/>
  <c r="P168" i="29"/>
  <c r="P167" i="29"/>
  <c r="P166" i="29"/>
  <c r="P165" i="29"/>
  <c r="P164" i="29"/>
  <c r="P163" i="29"/>
  <c r="P162" i="29"/>
  <c r="P161" i="29"/>
  <c r="P160" i="29"/>
  <c r="P159" i="29"/>
  <c r="P158" i="29"/>
  <c r="P157" i="29"/>
  <c r="P156" i="29"/>
  <c r="P155" i="29"/>
  <c r="P154" i="29"/>
  <c r="P153" i="29"/>
  <c r="P152" i="29"/>
  <c r="P151" i="29"/>
  <c r="P150" i="29"/>
  <c r="P149" i="29"/>
  <c r="P148" i="29"/>
  <c r="P147" i="29"/>
  <c r="P146" i="29"/>
  <c r="P145" i="29"/>
  <c r="P144" i="29"/>
  <c r="P143" i="29"/>
  <c r="P142" i="29"/>
  <c r="P141" i="29"/>
  <c r="P140" i="29"/>
  <c r="P139" i="29"/>
  <c r="P138" i="29"/>
  <c r="P137" i="29"/>
  <c r="P136" i="29"/>
  <c r="P135" i="29"/>
  <c r="P134" i="29"/>
  <c r="P133" i="29"/>
  <c r="P132" i="29"/>
  <c r="P131" i="29"/>
  <c r="P130" i="29"/>
  <c r="P129" i="29"/>
  <c r="P128" i="29"/>
  <c r="P127" i="29"/>
  <c r="P126" i="29"/>
  <c r="P125" i="29"/>
  <c r="P124" i="29"/>
  <c r="P123" i="29"/>
  <c r="P122" i="29"/>
  <c r="P121" i="29"/>
  <c r="P120" i="29"/>
  <c r="P119" i="29"/>
  <c r="P118" i="29"/>
  <c r="P117" i="29"/>
  <c r="P116" i="29"/>
  <c r="P115" i="29"/>
  <c r="P114" i="29"/>
  <c r="P113" i="29"/>
  <c r="P112" i="29"/>
  <c r="P111" i="29"/>
  <c r="P110" i="29"/>
  <c r="P109" i="29"/>
  <c r="P108" i="29"/>
  <c r="P107" i="29"/>
  <c r="P106" i="29"/>
  <c r="P105" i="29"/>
  <c r="P104" i="29"/>
  <c r="P103" i="29"/>
  <c r="P102" i="29"/>
  <c r="P101" i="29"/>
  <c r="P100" i="29"/>
  <c r="P99" i="29"/>
  <c r="P98" i="29"/>
  <c r="P97" i="29"/>
  <c r="P96" i="29"/>
  <c r="P95" i="29"/>
  <c r="P94" i="29"/>
  <c r="P93" i="29"/>
  <c r="P92" i="29"/>
  <c r="P91" i="29"/>
  <c r="P90" i="29"/>
  <c r="P89" i="29"/>
  <c r="P88" i="29"/>
  <c r="P87" i="29"/>
  <c r="P86" i="29"/>
  <c r="P85" i="29"/>
  <c r="P84" i="29"/>
  <c r="P83" i="29"/>
  <c r="P82" i="29"/>
  <c r="P81" i="29"/>
  <c r="P80" i="29"/>
  <c r="P79" i="29"/>
  <c r="P78" i="29"/>
  <c r="P77" i="29"/>
  <c r="P76" i="29"/>
  <c r="P75" i="29"/>
  <c r="P74" i="29"/>
  <c r="P73" i="29"/>
  <c r="P72" i="29"/>
  <c r="P71" i="29"/>
  <c r="P70" i="29"/>
  <c r="P69" i="29"/>
  <c r="P68" i="29"/>
  <c r="P67" i="29"/>
  <c r="P66" i="29"/>
  <c r="P65" i="29"/>
  <c r="P64" i="29"/>
  <c r="P63" i="29"/>
  <c r="P62" i="29"/>
  <c r="P61" i="29"/>
  <c r="P60" i="29"/>
  <c r="P59" i="29"/>
  <c r="P58" i="29"/>
  <c r="P57" i="29"/>
  <c r="P56" i="29"/>
  <c r="P55" i="29"/>
  <c r="P54" i="29"/>
  <c r="P53" i="29"/>
  <c r="P52" i="29"/>
  <c r="P51" i="29"/>
  <c r="P50" i="29"/>
  <c r="P49" i="29"/>
  <c r="P48" i="29"/>
  <c r="P47" i="29"/>
  <c r="P46" i="29"/>
  <c r="P45" i="29"/>
  <c r="P44" i="29"/>
  <c r="P43" i="29"/>
  <c r="P42" i="29"/>
  <c r="P41" i="29"/>
  <c r="P40" i="29"/>
  <c r="P39" i="29"/>
  <c r="P38" i="29"/>
  <c r="P37" i="29"/>
  <c r="P36" i="29"/>
  <c r="P35" i="29"/>
  <c r="P34" i="29"/>
  <c r="P33" i="29"/>
  <c r="P32" i="29"/>
  <c r="P31" i="29"/>
  <c r="P30" i="29"/>
  <c r="P29" i="29"/>
  <c r="P27" i="29"/>
  <c r="P26" i="29"/>
  <c r="P24" i="29"/>
  <c r="P23" i="29"/>
  <c r="P22" i="29"/>
  <c r="P21" i="29"/>
  <c r="P20" i="29"/>
  <c r="P19" i="29"/>
  <c r="P18" i="29"/>
  <c r="P17" i="29"/>
  <c r="P16" i="29"/>
  <c r="P15" i="29"/>
  <c r="P14" i="29"/>
  <c r="P13" i="29"/>
  <c r="P12" i="29"/>
  <c r="C165" i="21"/>
  <c r="N548" i="29" s="1"/>
  <c r="C105" i="21"/>
  <c r="C104" i="21"/>
  <c r="C103" i="21"/>
  <c r="C102" i="21"/>
  <c r="C101" i="21"/>
  <c r="C100" i="21"/>
  <c r="C99" i="21"/>
  <c r="C98" i="21"/>
  <c r="C97" i="21"/>
  <c r="C96" i="21"/>
  <c r="C95" i="21"/>
  <c r="C94" i="21"/>
  <c r="C93" i="21"/>
  <c r="AG577" i="29" l="1"/>
  <c r="AG582" i="29"/>
  <c r="AG581" i="29"/>
  <c r="AG579" i="29"/>
  <c r="AG580" i="29"/>
  <c r="AG595" i="29"/>
  <c r="M576" i="29" l="1"/>
  <c r="M575" i="29"/>
  <c r="M574" i="29"/>
  <c r="M573" i="29"/>
  <c r="M572" i="29"/>
  <c r="M571" i="29"/>
  <c r="M570" i="29"/>
  <c r="M569" i="29"/>
  <c r="M568" i="29"/>
  <c r="M567" i="29"/>
  <c r="M566" i="29"/>
  <c r="M565" i="29"/>
  <c r="M564" i="29"/>
  <c r="M563" i="29"/>
  <c r="M562" i="29"/>
  <c r="M561" i="29"/>
  <c r="M560" i="29"/>
  <c r="M559" i="29"/>
  <c r="M558" i="29"/>
  <c r="M557" i="29"/>
  <c r="M556" i="29"/>
  <c r="M555" i="29"/>
  <c r="M554" i="29"/>
  <c r="M553" i="29"/>
  <c r="M552" i="29"/>
  <c r="M551" i="29"/>
  <c r="M550" i="29"/>
  <c r="M549" i="29"/>
  <c r="M548" i="29"/>
  <c r="M547" i="29"/>
  <c r="M546" i="29"/>
  <c r="M545" i="29"/>
  <c r="M544" i="29"/>
  <c r="M543" i="29"/>
  <c r="M542" i="29"/>
  <c r="M541" i="29"/>
  <c r="M540" i="29"/>
  <c r="M539" i="29"/>
  <c r="M538" i="29"/>
  <c r="M537" i="29"/>
  <c r="M536" i="29"/>
  <c r="M535" i="29"/>
  <c r="M534" i="29"/>
  <c r="M533" i="29"/>
  <c r="M532" i="29"/>
  <c r="M531" i="29"/>
  <c r="M530" i="29"/>
  <c r="M529" i="29"/>
  <c r="M528" i="29"/>
  <c r="M527" i="29"/>
  <c r="M526" i="29"/>
  <c r="M525" i="29"/>
  <c r="M524" i="29"/>
  <c r="M523" i="29"/>
  <c r="M522" i="29"/>
  <c r="M521" i="29"/>
  <c r="M520" i="29"/>
  <c r="M519" i="29"/>
  <c r="M518" i="29"/>
  <c r="M517" i="29"/>
  <c r="M516" i="29"/>
  <c r="M515" i="29"/>
  <c r="M514" i="29"/>
  <c r="M513" i="29"/>
  <c r="M512" i="29"/>
  <c r="M511" i="29"/>
  <c r="M510" i="29"/>
  <c r="M509" i="29"/>
  <c r="M508" i="29"/>
  <c r="M507" i="29"/>
  <c r="M506" i="29"/>
  <c r="M505" i="29"/>
  <c r="M504" i="29"/>
  <c r="M503" i="29"/>
  <c r="M502" i="29"/>
  <c r="M501" i="29"/>
  <c r="M500" i="29"/>
  <c r="M499" i="29"/>
  <c r="M498" i="29"/>
  <c r="M497" i="29"/>
  <c r="M496" i="29"/>
  <c r="M495" i="29"/>
  <c r="M494" i="29"/>
  <c r="M493" i="29"/>
  <c r="M492" i="29"/>
  <c r="M491" i="29"/>
  <c r="M490" i="29"/>
  <c r="M489" i="29"/>
  <c r="M488" i="29"/>
  <c r="M487" i="29"/>
  <c r="M486" i="29"/>
  <c r="M485" i="29"/>
  <c r="M484" i="29"/>
  <c r="M483" i="29"/>
  <c r="M482" i="29"/>
  <c r="M481" i="29"/>
  <c r="M480" i="29"/>
  <c r="M479" i="29"/>
  <c r="M478" i="29"/>
  <c r="M477" i="29"/>
  <c r="M476" i="29"/>
  <c r="M475" i="29"/>
  <c r="M474" i="29"/>
  <c r="M473" i="29"/>
  <c r="M472" i="29"/>
  <c r="M471" i="29"/>
  <c r="M470" i="29"/>
  <c r="M469" i="29"/>
  <c r="M468" i="29"/>
  <c r="M467" i="29"/>
  <c r="M466" i="29"/>
  <c r="M465" i="29"/>
  <c r="M464" i="29"/>
  <c r="M463" i="29"/>
  <c r="M462" i="29"/>
  <c r="M461" i="29"/>
  <c r="M460" i="29"/>
  <c r="M459" i="29"/>
  <c r="M458" i="29"/>
  <c r="M457" i="29"/>
  <c r="M456" i="29"/>
  <c r="M455" i="29"/>
  <c r="M454" i="29"/>
  <c r="M453" i="29"/>
  <c r="M452" i="29"/>
  <c r="M451" i="29"/>
  <c r="M450" i="29"/>
  <c r="M449" i="29"/>
  <c r="M448" i="29"/>
  <c r="M447" i="29"/>
  <c r="M446" i="29"/>
  <c r="M445" i="29"/>
  <c r="M444" i="29"/>
  <c r="M443" i="29"/>
  <c r="M442" i="29"/>
  <c r="M441" i="29"/>
  <c r="M440" i="29"/>
  <c r="M439" i="29"/>
  <c r="M438" i="29"/>
  <c r="M437" i="29"/>
  <c r="M436" i="29"/>
  <c r="M435" i="29"/>
  <c r="M434" i="29"/>
  <c r="M433" i="29"/>
  <c r="M432" i="29"/>
  <c r="M431" i="29"/>
  <c r="M430" i="29"/>
  <c r="M429" i="29"/>
  <c r="M428" i="29"/>
  <c r="M427" i="29"/>
  <c r="M426" i="29"/>
  <c r="M425" i="29"/>
  <c r="M424" i="29"/>
  <c r="M423" i="29"/>
  <c r="M422" i="29"/>
  <c r="M421" i="29"/>
  <c r="M420" i="29"/>
  <c r="M419" i="29"/>
  <c r="M418" i="29"/>
  <c r="M417" i="29"/>
  <c r="M416" i="29"/>
  <c r="M415" i="29"/>
  <c r="M414" i="29"/>
  <c r="M413" i="29"/>
  <c r="M412" i="29"/>
  <c r="M411" i="29"/>
  <c r="M410" i="29"/>
  <c r="M409" i="29"/>
  <c r="M408" i="29"/>
  <c r="M407" i="29"/>
  <c r="M406" i="29"/>
  <c r="M405" i="29"/>
  <c r="M404" i="29"/>
  <c r="M403" i="29"/>
  <c r="M402" i="29"/>
  <c r="M401" i="29"/>
  <c r="M400" i="29"/>
  <c r="M399" i="29"/>
  <c r="M398" i="29"/>
  <c r="M397" i="29"/>
  <c r="M396" i="29"/>
  <c r="M395" i="29"/>
  <c r="M394" i="29"/>
  <c r="M393" i="29"/>
  <c r="M392" i="29"/>
  <c r="M391" i="29"/>
  <c r="M390" i="29"/>
  <c r="M389" i="29"/>
  <c r="M388" i="29"/>
  <c r="M387" i="29"/>
  <c r="M386" i="29"/>
  <c r="M385" i="29"/>
  <c r="M384" i="29"/>
  <c r="M383" i="29"/>
  <c r="M382" i="29"/>
  <c r="M381" i="29"/>
  <c r="M380" i="29"/>
  <c r="M379" i="29"/>
  <c r="M378" i="29"/>
  <c r="M377" i="29"/>
  <c r="M376" i="29"/>
  <c r="M375" i="29"/>
  <c r="M374" i="29"/>
  <c r="M373" i="29"/>
  <c r="M372" i="29"/>
  <c r="M371" i="29"/>
  <c r="M370" i="29"/>
  <c r="M369" i="29"/>
  <c r="M368" i="29"/>
  <c r="M367" i="29"/>
  <c r="M366" i="29"/>
  <c r="M365" i="29"/>
  <c r="M364" i="29"/>
  <c r="M363" i="29"/>
  <c r="M362" i="29"/>
  <c r="M361" i="29"/>
  <c r="M360" i="29"/>
  <c r="M359" i="29"/>
  <c r="M358" i="29"/>
  <c r="M357" i="29"/>
  <c r="M356" i="29"/>
  <c r="M355" i="29"/>
  <c r="M354" i="29"/>
  <c r="M353" i="29"/>
  <c r="M352" i="29"/>
  <c r="M351" i="29"/>
  <c r="M350" i="29"/>
  <c r="M349" i="29"/>
  <c r="M348" i="29"/>
  <c r="M347" i="29"/>
  <c r="M346" i="29"/>
  <c r="M345" i="29"/>
  <c r="M344" i="29"/>
  <c r="M343" i="29"/>
  <c r="M342" i="29"/>
  <c r="M341" i="29"/>
  <c r="M340" i="29"/>
  <c r="M339" i="29"/>
  <c r="M338" i="29"/>
  <c r="M337" i="29"/>
  <c r="M336" i="29"/>
  <c r="M335" i="29"/>
  <c r="M334" i="29"/>
  <c r="M333" i="29"/>
  <c r="M332" i="29"/>
  <c r="M331" i="29"/>
  <c r="M330" i="29"/>
  <c r="M329" i="29"/>
  <c r="M328" i="29"/>
  <c r="M327" i="29"/>
  <c r="M326" i="29"/>
  <c r="M325" i="29"/>
  <c r="M324" i="29"/>
  <c r="M323" i="29"/>
  <c r="M322" i="29"/>
  <c r="M321" i="29"/>
  <c r="M320" i="29"/>
  <c r="M319" i="29"/>
  <c r="M318" i="29"/>
  <c r="M317" i="29"/>
  <c r="M316" i="29"/>
  <c r="M315" i="29"/>
  <c r="M314" i="29"/>
  <c r="M313" i="29"/>
  <c r="M312" i="29"/>
  <c r="M311" i="29"/>
  <c r="M310" i="29"/>
  <c r="M309" i="29"/>
  <c r="M308" i="29"/>
  <c r="M307" i="29"/>
  <c r="M306" i="29"/>
  <c r="M305" i="29"/>
  <c r="M304" i="29"/>
  <c r="M303" i="29"/>
  <c r="M302" i="29"/>
  <c r="M301" i="29"/>
  <c r="M300" i="29"/>
  <c r="M299" i="29"/>
  <c r="M298" i="29"/>
  <c r="M297" i="29"/>
  <c r="M296" i="29"/>
  <c r="M295" i="29"/>
  <c r="M294" i="29"/>
  <c r="M293" i="29"/>
  <c r="M292" i="29"/>
  <c r="M291" i="29"/>
  <c r="M290" i="29"/>
  <c r="M289" i="29"/>
  <c r="M288" i="29"/>
  <c r="M287" i="29"/>
  <c r="M286" i="29"/>
  <c r="M285" i="29"/>
  <c r="M284" i="29"/>
  <c r="M283" i="29"/>
  <c r="M282" i="29"/>
  <c r="M281" i="29"/>
  <c r="M280" i="29"/>
  <c r="M279" i="29"/>
  <c r="M278" i="29"/>
  <c r="M277" i="29"/>
  <c r="M276" i="29"/>
  <c r="M275" i="29"/>
  <c r="M274" i="29"/>
  <c r="M273" i="29"/>
  <c r="M272" i="29"/>
  <c r="M271" i="29"/>
  <c r="M270" i="29"/>
  <c r="M269" i="29"/>
  <c r="M268" i="29"/>
  <c r="M267" i="29"/>
  <c r="M266" i="29"/>
  <c r="M265" i="29"/>
  <c r="M264" i="29"/>
  <c r="M263" i="29"/>
  <c r="M262" i="29"/>
  <c r="M261" i="29"/>
  <c r="M260" i="29"/>
  <c r="M259" i="29"/>
  <c r="M258" i="29"/>
  <c r="M257" i="29"/>
  <c r="M256" i="29"/>
  <c r="M255" i="29"/>
  <c r="M254" i="29"/>
  <c r="M253" i="29"/>
  <c r="M252" i="29"/>
  <c r="M251" i="29"/>
  <c r="M250" i="29"/>
  <c r="M249" i="29"/>
  <c r="M248" i="29"/>
  <c r="M247" i="29"/>
  <c r="M246" i="29"/>
  <c r="M245" i="29"/>
  <c r="M244" i="29"/>
  <c r="M243" i="29"/>
  <c r="M242" i="29"/>
  <c r="M241" i="29"/>
  <c r="M240" i="29"/>
  <c r="M239" i="29"/>
  <c r="M238" i="29"/>
  <c r="M237" i="29"/>
  <c r="M236" i="29"/>
  <c r="M235" i="29"/>
  <c r="M234" i="29"/>
  <c r="M233" i="29"/>
  <c r="M232" i="29"/>
  <c r="M231" i="29"/>
  <c r="M230" i="29"/>
  <c r="M229" i="29"/>
  <c r="M228" i="29"/>
  <c r="M227" i="29"/>
  <c r="M226" i="29"/>
  <c r="M225" i="29"/>
  <c r="M224" i="29"/>
  <c r="M223" i="29"/>
  <c r="M222" i="29"/>
  <c r="M221" i="29"/>
  <c r="M220" i="29"/>
  <c r="M219" i="29"/>
  <c r="M218" i="29"/>
  <c r="M217" i="29"/>
  <c r="M216" i="29"/>
  <c r="M215" i="29"/>
  <c r="M214" i="29"/>
  <c r="M213" i="29"/>
  <c r="M212" i="29"/>
  <c r="M211" i="29"/>
  <c r="M210" i="29"/>
  <c r="M209" i="29"/>
  <c r="M208" i="29"/>
  <c r="M207" i="29"/>
  <c r="M206" i="29"/>
  <c r="M205" i="29"/>
  <c r="M204" i="29"/>
  <c r="M203" i="29"/>
  <c r="M202" i="29"/>
  <c r="M201" i="29"/>
  <c r="M200" i="29"/>
  <c r="M199" i="29"/>
  <c r="M198" i="29"/>
  <c r="M197" i="29"/>
  <c r="M196" i="29"/>
  <c r="M195" i="29"/>
  <c r="M194" i="29"/>
  <c r="M193" i="29"/>
  <c r="M192" i="29"/>
  <c r="M191" i="29"/>
  <c r="M190" i="29"/>
  <c r="M189" i="29"/>
  <c r="M188" i="29"/>
  <c r="M187" i="29"/>
  <c r="M186" i="29"/>
  <c r="M185" i="29"/>
  <c r="M184" i="29"/>
  <c r="M183" i="29"/>
  <c r="M182" i="29"/>
  <c r="M181" i="29"/>
  <c r="M180" i="29"/>
  <c r="M179" i="29"/>
  <c r="M178" i="29"/>
  <c r="M177" i="29"/>
  <c r="M176" i="29"/>
  <c r="M175" i="29"/>
  <c r="M174" i="29"/>
  <c r="M173" i="29"/>
  <c r="M172" i="29"/>
  <c r="M171" i="29"/>
  <c r="M170" i="29"/>
  <c r="M169" i="29"/>
  <c r="M168" i="29"/>
  <c r="M167" i="29"/>
  <c r="M166" i="29"/>
  <c r="M165" i="29"/>
  <c r="M164" i="29"/>
  <c r="M163" i="29"/>
  <c r="M162" i="29"/>
  <c r="M161" i="29"/>
  <c r="M160" i="29"/>
  <c r="M159" i="29"/>
  <c r="M158" i="29"/>
  <c r="M157" i="29"/>
  <c r="M156" i="29"/>
  <c r="M155" i="29"/>
  <c r="M154" i="29"/>
  <c r="M153" i="29"/>
  <c r="M152" i="29"/>
  <c r="M151" i="29"/>
  <c r="M150" i="29"/>
  <c r="M149" i="29"/>
  <c r="M148" i="29"/>
  <c r="M147" i="29"/>
  <c r="M146" i="29"/>
  <c r="M145" i="29"/>
  <c r="M144" i="29"/>
  <c r="M143" i="29"/>
  <c r="M142" i="29"/>
  <c r="M141" i="29"/>
  <c r="M139" i="29"/>
  <c r="M138" i="29"/>
  <c r="M137" i="29"/>
  <c r="M136" i="29"/>
  <c r="M135" i="29"/>
  <c r="M134" i="29"/>
  <c r="M133" i="29"/>
  <c r="M132" i="29"/>
  <c r="M131" i="29"/>
  <c r="M130" i="29"/>
  <c r="M129" i="29"/>
  <c r="M128" i="29"/>
  <c r="M127" i="29"/>
  <c r="M126" i="29"/>
  <c r="M125" i="29"/>
  <c r="M124" i="29"/>
  <c r="M123" i="29"/>
  <c r="M122" i="29"/>
  <c r="M121" i="29"/>
  <c r="M120" i="29"/>
  <c r="M119" i="29"/>
  <c r="M118" i="29"/>
  <c r="M117" i="29"/>
  <c r="M116" i="29"/>
  <c r="M115" i="29"/>
  <c r="M114" i="29"/>
  <c r="M113" i="29"/>
  <c r="M112" i="29"/>
  <c r="M111" i="29"/>
  <c r="M110" i="29"/>
  <c r="M109" i="29"/>
  <c r="M108" i="29"/>
  <c r="M107" i="29"/>
  <c r="M106" i="29"/>
  <c r="M105" i="29"/>
  <c r="M104" i="29"/>
  <c r="M103" i="29"/>
  <c r="M102" i="29"/>
  <c r="M101" i="29"/>
  <c r="M100" i="29"/>
  <c r="M99" i="29"/>
  <c r="M98" i="29"/>
  <c r="M97" i="29"/>
  <c r="M96" i="29"/>
  <c r="M95" i="29"/>
  <c r="M94" i="29"/>
  <c r="M93" i="29"/>
  <c r="M92" i="29"/>
  <c r="M91" i="29"/>
  <c r="M90" i="29"/>
  <c r="M89" i="29"/>
  <c r="M88"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7" i="29"/>
  <c r="M26" i="29"/>
  <c r="M24" i="29"/>
  <c r="M23" i="29"/>
  <c r="M22" i="29"/>
  <c r="M21" i="29"/>
  <c r="M20" i="29"/>
  <c r="M19" i="29"/>
  <c r="M18" i="29"/>
  <c r="M17" i="29"/>
  <c r="M16" i="29"/>
  <c r="M15" i="29"/>
  <c r="M14" i="29"/>
  <c r="M13" i="29"/>
  <c r="AG566" i="29" l="1"/>
  <c r="J71" i="30"/>
  <c r="J73" i="30"/>
  <c r="I73" i="30"/>
  <c r="H73" i="30"/>
  <c r="G73" i="30"/>
  <c r="F73" i="30"/>
  <c r="E73" i="30"/>
  <c r="D73" i="30"/>
  <c r="E51" i="32" l="1"/>
  <c r="F50" i="32"/>
  <c r="G50" i="32" s="1"/>
  <c r="E50" i="32"/>
  <c r="G49" i="32"/>
  <c r="F49" i="32"/>
  <c r="F48" i="32"/>
  <c r="G48" i="32" s="1"/>
  <c r="F47" i="32"/>
  <c r="G47" i="32" s="1"/>
  <c r="E47" i="32"/>
  <c r="F46" i="32"/>
  <c r="G46" i="32" s="1"/>
  <c r="E46" i="32"/>
  <c r="F45" i="32"/>
  <c r="G45" i="32" s="1"/>
  <c r="F44" i="32"/>
  <c r="G44" i="32" s="1"/>
  <c r="F43" i="32"/>
  <c r="G43" i="32" s="1"/>
  <c r="E43" i="32"/>
  <c r="F42" i="32"/>
  <c r="G42" i="32" s="1"/>
  <c r="E42" i="32"/>
  <c r="D41" i="32"/>
  <c r="F41" i="32" s="1"/>
  <c r="G41" i="32" s="1"/>
  <c r="D40" i="32"/>
  <c r="F40" i="32" s="1"/>
  <c r="G40" i="32" s="1"/>
  <c r="E39" i="32"/>
  <c r="D39" i="32"/>
  <c r="F39" i="32" s="1"/>
  <c r="G39" i="32" s="1"/>
  <c r="E38" i="32"/>
  <c r="D38" i="32"/>
  <c r="F38" i="32" s="1"/>
  <c r="G38" i="32" s="1"/>
  <c r="E37" i="32"/>
  <c r="D37" i="32"/>
  <c r="F37" i="32" s="1"/>
  <c r="E36" i="32"/>
  <c r="D36" i="32"/>
  <c r="F36" i="32" s="1"/>
  <c r="F35" i="32"/>
  <c r="G35" i="32" s="1"/>
  <c r="D35" i="32"/>
  <c r="P33" i="32"/>
  <c r="O33" i="32"/>
  <c r="N33" i="32"/>
  <c r="K33" i="32"/>
  <c r="K50" i="32" s="1"/>
  <c r="S63" i="30" s="1"/>
  <c r="I33" i="32"/>
  <c r="O25" i="32"/>
  <c r="K24" i="32"/>
  <c r="I24" i="32"/>
  <c r="F24" i="32"/>
  <c r="G24" i="32" s="1"/>
  <c r="O24" i="32" s="1"/>
  <c r="F23" i="32"/>
  <c r="G23" i="32" s="1"/>
  <c r="F22" i="32"/>
  <c r="G22" i="32" s="1"/>
  <c r="K21" i="32"/>
  <c r="F21" i="32"/>
  <c r="G21" i="32" s="1"/>
  <c r="O21" i="32" s="1"/>
  <c r="K20" i="32"/>
  <c r="I20" i="32"/>
  <c r="G20" i="32"/>
  <c r="O20" i="32" s="1"/>
  <c r="F20" i="32"/>
  <c r="F19" i="32"/>
  <c r="G19" i="32" s="1"/>
  <c r="F18" i="32"/>
  <c r="G18" i="32" s="1"/>
  <c r="E44" i="32"/>
  <c r="F17" i="32"/>
  <c r="G17" i="32" s="1"/>
  <c r="L16" i="32"/>
  <c r="K16" i="32"/>
  <c r="I16" i="32"/>
  <c r="F16" i="32"/>
  <c r="G16" i="32" s="1"/>
  <c r="O16" i="32" s="1"/>
  <c r="I15" i="32"/>
  <c r="D15" i="32"/>
  <c r="F15" i="32" s="1"/>
  <c r="G15" i="32" s="1"/>
  <c r="E40" i="32"/>
  <c r="D14" i="32"/>
  <c r="F14" i="32" s="1"/>
  <c r="G14" i="32" s="1"/>
  <c r="D13" i="32"/>
  <c r="F13" i="32" s="1"/>
  <c r="G13" i="32" s="1"/>
  <c r="J12" i="32"/>
  <c r="D12" i="32"/>
  <c r="F12" i="32" s="1"/>
  <c r="L12" i="32" s="1"/>
  <c r="I11" i="32"/>
  <c r="D11" i="32"/>
  <c r="F11" i="32" s="1"/>
  <c r="K11" i="32" s="1"/>
  <c r="I10" i="32"/>
  <c r="F10" i="32"/>
  <c r="D10" i="32"/>
  <c r="I9" i="32"/>
  <c r="D9" i="32"/>
  <c r="L7" i="32"/>
  <c r="M7" i="32" s="1"/>
  <c r="M21" i="32" s="1"/>
  <c r="J7" i="32"/>
  <c r="J24" i="32" s="1"/>
  <c r="F9" i="32" l="1"/>
  <c r="G9" i="32" s="1"/>
  <c r="L25" i="32"/>
  <c r="L20" i="32"/>
  <c r="M17" i="32"/>
  <c r="J20" i="32"/>
  <c r="L17" i="32"/>
  <c r="K17" i="32"/>
  <c r="L10" i="32"/>
  <c r="O17" i="32"/>
  <c r="G10" i="32"/>
  <c r="O10" i="32" s="1"/>
  <c r="L21" i="32"/>
  <c r="L33" i="32"/>
  <c r="L46" i="32" s="1"/>
  <c r="O65" i="30" s="1"/>
  <c r="L24" i="32"/>
  <c r="K10" i="32"/>
  <c r="K46" i="32"/>
  <c r="O63" i="30" s="1"/>
  <c r="O51" i="32"/>
  <c r="T61" i="30" s="1"/>
  <c r="O46" i="32"/>
  <c r="O61" i="30" s="1"/>
  <c r="I36" i="32"/>
  <c r="E55" i="30" s="1"/>
  <c r="O42" i="32"/>
  <c r="K61" i="30" s="1"/>
  <c r="O50" i="32"/>
  <c r="S61" i="30" s="1"/>
  <c r="O43" i="32"/>
  <c r="L61" i="30" s="1"/>
  <c r="O47" i="32"/>
  <c r="P61" i="30" s="1"/>
  <c r="K40" i="32"/>
  <c r="I63" i="30" s="1"/>
  <c r="O40" i="32"/>
  <c r="I61" i="30" s="1"/>
  <c r="I40" i="32"/>
  <c r="I55" i="30" s="1"/>
  <c r="O44" i="32"/>
  <c r="M61" i="30" s="1"/>
  <c r="K44" i="32"/>
  <c r="M63" i="30" s="1"/>
  <c r="I44" i="32"/>
  <c r="M55" i="30" s="1"/>
  <c r="E49" i="32"/>
  <c r="J23" i="32"/>
  <c r="O23" i="32"/>
  <c r="M23" i="32"/>
  <c r="L23" i="32"/>
  <c r="K23" i="32"/>
  <c r="J10" i="32"/>
  <c r="G12" i="32"/>
  <c r="K12" i="32"/>
  <c r="E41" i="32"/>
  <c r="O15" i="32"/>
  <c r="L15" i="32"/>
  <c r="J15" i="32"/>
  <c r="M15" i="32"/>
  <c r="K15" i="32"/>
  <c r="M22" i="32"/>
  <c r="L22" i="32"/>
  <c r="K22" i="32"/>
  <c r="J22" i="32"/>
  <c r="I22" i="32"/>
  <c r="O22" i="32"/>
  <c r="I46" i="32"/>
  <c r="O55" i="30" s="1"/>
  <c r="J33" i="32"/>
  <c r="J39" i="32" s="1"/>
  <c r="H57" i="30" s="1"/>
  <c r="I50" i="32"/>
  <c r="S55" i="30" s="1"/>
  <c r="J21" i="32"/>
  <c r="E45" i="32"/>
  <c r="L19" i="32"/>
  <c r="K19" i="32"/>
  <c r="J19" i="32"/>
  <c r="O19" i="32"/>
  <c r="M19" i="32"/>
  <c r="J11" i="32"/>
  <c r="J16" i="32"/>
  <c r="I42" i="32"/>
  <c r="K55" i="30" s="1"/>
  <c r="K36" i="32"/>
  <c r="E63" i="30" s="1"/>
  <c r="G36" i="32"/>
  <c r="O36" i="32"/>
  <c r="E61" i="30" s="1"/>
  <c r="G11" i="32"/>
  <c r="O11" i="32" s="1"/>
  <c r="O38" i="32"/>
  <c r="G61" i="30" s="1"/>
  <c r="O13" i="32"/>
  <c r="O39" i="32"/>
  <c r="H61" i="30" s="1"/>
  <c r="K39" i="32"/>
  <c r="H63" i="30" s="1"/>
  <c r="I39" i="32"/>
  <c r="H55" i="30" s="1"/>
  <c r="L11" i="32"/>
  <c r="I19" i="32"/>
  <c r="G37" i="32"/>
  <c r="O37" i="32" s="1"/>
  <c r="F61" i="30" s="1"/>
  <c r="K37" i="32"/>
  <c r="F63" i="30" s="1"/>
  <c r="K42" i="32"/>
  <c r="K63" i="30" s="1"/>
  <c r="E48" i="32"/>
  <c r="M24" i="32"/>
  <c r="M20" i="32"/>
  <c r="M33" i="32"/>
  <c r="M51" i="32" s="1"/>
  <c r="T59" i="30" s="1"/>
  <c r="M16" i="32"/>
  <c r="M25" i="32"/>
  <c r="M18" i="32"/>
  <c r="I18" i="32"/>
  <c r="L18" i="32"/>
  <c r="K18" i="32"/>
  <c r="J18" i="32"/>
  <c r="O18" i="32"/>
  <c r="I23" i="32"/>
  <c r="E35" i="32"/>
  <c r="L9" i="32"/>
  <c r="J9" i="32"/>
  <c r="K9" i="32"/>
  <c r="L13" i="32"/>
  <c r="O14" i="32"/>
  <c r="J14" i="32"/>
  <c r="I14" i="32"/>
  <c r="M14" i="32"/>
  <c r="L14" i="32"/>
  <c r="K14" i="32"/>
  <c r="M11" i="32"/>
  <c r="J17" i="32"/>
  <c r="M13" i="32"/>
  <c r="M10" i="32"/>
  <c r="I51" i="32"/>
  <c r="T55" i="30" s="1"/>
  <c r="I13" i="32"/>
  <c r="I25" i="32"/>
  <c r="I47" i="32"/>
  <c r="P55" i="30" s="1"/>
  <c r="J13" i="32"/>
  <c r="J25" i="32"/>
  <c r="I12" i="32"/>
  <c r="K13" i="32"/>
  <c r="I17" i="32"/>
  <c r="I21" i="32"/>
  <c r="K25" i="32"/>
  <c r="I37" i="32"/>
  <c r="F55" i="30" s="1"/>
  <c r="K38" i="32"/>
  <c r="G63" i="30" s="1"/>
  <c r="K43" i="32"/>
  <c r="L63" i="30" s="1"/>
  <c r="K47" i="32"/>
  <c r="P63" i="30" s="1"/>
  <c r="I38" i="32"/>
  <c r="G55" i="30" s="1"/>
  <c r="I43" i="32"/>
  <c r="L55" i="30" s="1"/>
  <c r="K51" i="32"/>
  <c r="T63" i="30" s="1"/>
  <c r="L37" i="32" l="1"/>
  <c r="F65" i="30" s="1"/>
  <c r="L44" i="32"/>
  <c r="M65" i="30" s="1"/>
  <c r="L42" i="32"/>
  <c r="K65" i="30" s="1"/>
  <c r="L39" i="32"/>
  <c r="H65" i="30" s="1"/>
  <c r="L40" i="32"/>
  <c r="I65" i="30" s="1"/>
  <c r="L50" i="32"/>
  <c r="S65" i="30" s="1"/>
  <c r="L38" i="32"/>
  <c r="G65" i="30" s="1"/>
  <c r="L47" i="32"/>
  <c r="P65" i="30" s="1"/>
  <c r="L51" i="32"/>
  <c r="T65" i="30" s="1"/>
  <c r="L36" i="32"/>
  <c r="E65" i="30" s="1"/>
  <c r="M9" i="32"/>
  <c r="O9" i="32"/>
  <c r="M39" i="32"/>
  <c r="H59" i="30" s="1"/>
  <c r="L43" i="32"/>
  <c r="L65" i="30" s="1"/>
  <c r="J51" i="32"/>
  <c r="T57" i="30" s="1"/>
  <c r="M43" i="32"/>
  <c r="L59" i="30" s="1"/>
  <c r="J38" i="32"/>
  <c r="G57" i="30" s="1"/>
  <c r="J37" i="32"/>
  <c r="F57" i="30" s="1"/>
  <c r="M45" i="32"/>
  <c r="N59" i="30" s="1"/>
  <c r="O45" i="32"/>
  <c r="N61" i="30" s="1"/>
  <c r="L45" i="32"/>
  <c r="N65" i="30" s="1"/>
  <c r="J45" i="32"/>
  <c r="N57" i="30" s="1"/>
  <c r="I45" i="32"/>
  <c r="N55" i="30" s="1"/>
  <c r="K45" i="32"/>
  <c r="N63" i="30" s="1"/>
  <c r="J50" i="32"/>
  <c r="S57" i="30" s="1"/>
  <c r="J46" i="32"/>
  <c r="O57" i="30" s="1"/>
  <c r="J42" i="32"/>
  <c r="K57" i="30" s="1"/>
  <c r="J36" i="32"/>
  <c r="E57" i="30" s="1"/>
  <c r="M46" i="32"/>
  <c r="O59" i="30" s="1"/>
  <c r="M50" i="32"/>
  <c r="S59" i="30" s="1"/>
  <c r="M37" i="32"/>
  <c r="F59" i="30" s="1"/>
  <c r="M42" i="32"/>
  <c r="K59" i="30" s="1"/>
  <c r="M41" i="32"/>
  <c r="J59" i="30" s="1"/>
  <c r="O41" i="32"/>
  <c r="J61" i="30" s="1"/>
  <c r="L41" i="32"/>
  <c r="J65" i="30" s="1"/>
  <c r="J41" i="32"/>
  <c r="J57" i="30" s="1"/>
  <c r="K41" i="32"/>
  <c r="J63" i="30" s="1"/>
  <c r="I41" i="32"/>
  <c r="J55" i="30" s="1"/>
  <c r="M35" i="32"/>
  <c r="D59" i="30" s="1"/>
  <c r="O35" i="32"/>
  <c r="D61" i="30" s="1"/>
  <c r="L35" i="32"/>
  <c r="D65" i="30" s="1"/>
  <c r="I35" i="32"/>
  <c r="D55" i="30" s="1"/>
  <c r="K35" i="32"/>
  <c r="D63" i="30" s="1"/>
  <c r="J35" i="32"/>
  <c r="D57" i="30" s="1"/>
  <c r="O12" i="32"/>
  <c r="M12" i="32"/>
  <c r="M44" i="32"/>
  <c r="M59" i="30" s="1"/>
  <c r="M48" i="32"/>
  <c r="Q59" i="30" s="1"/>
  <c r="L48" i="32"/>
  <c r="Q65" i="30" s="1"/>
  <c r="J48" i="32"/>
  <c r="Q57" i="30" s="1"/>
  <c r="O48" i="32"/>
  <c r="Q61" i="30" s="1"/>
  <c r="K48" i="32"/>
  <c r="Q63" i="30" s="1"/>
  <c r="I48" i="32"/>
  <c r="Q55" i="30" s="1"/>
  <c r="J44" i="32"/>
  <c r="M57" i="30" s="1"/>
  <c r="J47" i="32"/>
  <c r="P57" i="30" s="1"/>
  <c r="J40" i="32"/>
  <c r="I57" i="30" s="1"/>
  <c r="J43" i="32"/>
  <c r="L57" i="30" s="1"/>
  <c r="M47" i="32"/>
  <c r="P59" i="30" s="1"/>
  <c r="M38" i="32"/>
  <c r="G59" i="30" s="1"/>
  <c r="O49" i="32"/>
  <c r="R61" i="30" s="1"/>
  <c r="M49" i="32"/>
  <c r="R59" i="30" s="1"/>
  <c r="L49" i="32"/>
  <c r="R65" i="30" s="1"/>
  <c r="K49" i="32"/>
  <c r="R63" i="30" s="1"/>
  <c r="J49" i="32"/>
  <c r="R57" i="30" s="1"/>
  <c r="I49" i="32"/>
  <c r="R55" i="30" s="1"/>
  <c r="M36" i="32"/>
  <c r="E59" i="30" s="1"/>
  <c r="M40" i="32"/>
  <c r="I59" i="30" s="1"/>
  <c r="D28" i="30" l="1"/>
  <c r="E28" i="30"/>
  <c r="F28" i="30"/>
  <c r="G28" i="30"/>
  <c r="H28" i="30"/>
  <c r="I28" i="30"/>
  <c r="J28" i="30"/>
  <c r="Q9" i="29" l="1"/>
  <c r="R10" i="29" l="1"/>
  <c r="S9" i="29" s="1"/>
  <c r="AG21" i="29"/>
  <c r="AG37" i="29"/>
  <c r="AG49" i="29"/>
  <c r="AG61" i="29"/>
  <c r="AG73" i="29"/>
  <c r="AG85" i="29"/>
  <c r="AG97" i="29"/>
  <c r="AG109" i="29"/>
  <c r="AG121" i="29"/>
  <c r="AG133" i="29"/>
  <c r="AG145" i="29"/>
  <c r="AG157" i="29"/>
  <c r="AG169" i="29"/>
  <c r="AG181" i="29"/>
  <c r="AG193" i="29"/>
  <c r="AG205" i="29"/>
  <c r="AG217" i="29"/>
  <c r="AG229" i="29"/>
  <c r="AG241" i="29"/>
  <c r="AG253" i="29"/>
  <c r="AG265" i="29"/>
  <c r="AG277" i="29"/>
  <c r="AG289" i="29"/>
  <c r="AG301" i="29"/>
  <c r="AG313" i="29"/>
  <c r="AG325" i="29"/>
  <c r="AG337" i="29"/>
  <c r="AG349" i="29"/>
  <c r="AG361" i="29"/>
  <c r="AG373" i="29"/>
  <c r="AG385" i="29"/>
  <c r="AG397" i="29"/>
  <c r="AG409" i="29"/>
  <c r="AG421" i="29"/>
  <c r="AG433" i="29"/>
  <c r="AG445" i="29"/>
  <c r="AG457" i="29"/>
  <c r="AG469" i="29"/>
  <c r="AG481" i="29"/>
  <c r="AG493" i="29"/>
  <c r="AG505" i="29"/>
  <c r="AG517" i="29"/>
  <c r="AG529" i="29"/>
  <c r="AG541" i="29"/>
  <c r="AG553" i="29"/>
  <c r="AG565" i="29"/>
  <c r="AG575" i="29"/>
  <c r="AG26" i="29"/>
  <c r="AG38" i="29"/>
  <c r="AG50" i="29"/>
  <c r="AG62" i="29"/>
  <c r="AG74" i="29"/>
  <c r="AG86" i="29"/>
  <c r="AG98" i="29"/>
  <c r="AG110" i="29"/>
  <c r="AG122" i="29"/>
  <c r="AG134" i="29"/>
  <c r="AG146" i="29"/>
  <c r="AG158" i="29"/>
  <c r="AG170" i="29"/>
  <c r="AG182" i="29"/>
  <c r="AG194" i="29"/>
  <c r="AG206" i="29"/>
  <c r="AG218" i="29"/>
  <c r="AG230" i="29"/>
  <c r="AG242" i="29"/>
  <c r="AG254" i="29"/>
  <c r="AG266" i="29"/>
  <c r="AG278" i="29"/>
  <c r="AG290" i="29"/>
  <c r="AG302" i="29"/>
  <c r="AG314" i="29"/>
  <c r="AG326" i="29"/>
  <c r="AG338" i="29"/>
  <c r="AG350" i="29"/>
  <c r="AG362" i="29"/>
  <c r="AG374" i="29"/>
  <c r="AG386" i="29"/>
  <c r="AG398" i="29"/>
  <c r="AG410" i="29"/>
  <c r="AG422" i="29"/>
  <c r="AG434" i="29"/>
  <c r="AG446" i="29"/>
  <c r="AG458" i="29"/>
  <c r="AG470" i="29"/>
  <c r="AG482" i="29"/>
  <c r="AG494" i="29"/>
  <c r="AG506" i="29"/>
  <c r="AG518" i="29"/>
  <c r="AG530" i="29"/>
  <c r="AG542" i="29"/>
  <c r="AG554" i="29"/>
  <c r="AG567" i="29"/>
  <c r="AG576" i="29"/>
  <c r="AG17" i="29"/>
  <c r="AG27" i="29"/>
  <c r="AG39" i="29"/>
  <c r="AG51" i="29"/>
  <c r="AG63" i="29"/>
  <c r="AG75" i="29"/>
  <c r="AG87" i="29"/>
  <c r="AG99" i="29"/>
  <c r="AG111" i="29"/>
  <c r="AG123" i="29"/>
  <c r="AG135" i="29"/>
  <c r="AG147" i="29"/>
  <c r="AG159" i="29"/>
  <c r="AG171" i="29"/>
  <c r="AG183" i="29"/>
  <c r="AG195" i="29"/>
  <c r="AG207" i="29"/>
  <c r="AG219" i="29"/>
  <c r="AG231" i="29"/>
  <c r="AG243" i="29"/>
  <c r="AG255" i="29"/>
  <c r="AG267" i="29"/>
  <c r="AG279" i="29"/>
  <c r="AG291" i="29"/>
  <c r="AG303" i="29"/>
  <c r="AG315" i="29"/>
  <c r="AG327" i="29"/>
  <c r="AG339" i="29"/>
  <c r="AG351" i="29"/>
  <c r="AG363" i="29"/>
  <c r="AG375" i="29"/>
  <c r="AG387" i="29"/>
  <c r="AG399" i="29"/>
  <c r="AG411" i="29"/>
  <c r="AG423" i="29"/>
  <c r="AG435" i="29"/>
  <c r="AG447" i="29"/>
  <c r="AG459" i="29"/>
  <c r="AG471" i="29"/>
  <c r="AG483" i="29"/>
  <c r="AG495" i="29"/>
  <c r="AG507" i="29"/>
  <c r="AG519" i="29"/>
  <c r="AG531" i="29"/>
  <c r="AG543" i="29"/>
  <c r="AG555" i="29"/>
  <c r="AG568" i="29"/>
  <c r="AG40" i="29"/>
  <c r="AG52" i="29"/>
  <c r="AG64" i="29"/>
  <c r="AG76" i="29"/>
  <c r="AG88" i="29"/>
  <c r="AG100" i="29"/>
  <c r="AG112" i="29"/>
  <c r="AG124" i="29"/>
  <c r="AG136" i="29"/>
  <c r="AG148" i="29"/>
  <c r="AG160" i="29"/>
  <c r="AG172" i="29"/>
  <c r="AG184" i="29"/>
  <c r="AG196" i="29"/>
  <c r="AG208" i="29"/>
  <c r="AG220" i="29"/>
  <c r="AG232" i="29"/>
  <c r="AG244" i="29"/>
  <c r="AG256" i="29"/>
  <c r="AG268" i="29"/>
  <c r="AG280" i="29"/>
  <c r="AG292" i="29"/>
  <c r="AG304" i="29"/>
  <c r="AG316" i="29"/>
  <c r="AG328" i="29"/>
  <c r="AG340" i="29"/>
  <c r="AG352" i="29"/>
  <c r="AG364" i="29"/>
  <c r="AG376" i="29"/>
  <c r="AG388" i="29"/>
  <c r="AG400" i="29"/>
  <c r="AG412" i="29"/>
  <c r="AG424" i="29"/>
  <c r="AG436" i="29"/>
  <c r="AG448" i="29"/>
  <c r="AG460" i="29"/>
  <c r="AG472" i="29"/>
  <c r="AG484" i="29"/>
  <c r="AG496" i="29"/>
  <c r="AG508" i="29"/>
  <c r="AG520" i="29"/>
  <c r="AG532" i="29"/>
  <c r="AG544" i="29"/>
  <c r="AG556" i="29"/>
  <c r="AG569" i="29"/>
  <c r="AG19" i="29"/>
  <c r="AG29" i="29"/>
  <c r="AG41" i="29"/>
  <c r="AG53" i="29"/>
  <c r="AG65" i="29"/>
  <c r="AG77" i="29"/>
  <c r="AG89" i="29"/>
  <c r="AG101" i="29"/>
  <c r="AG113" i="29"/>
  <c r="AG125" i="29"/>
  <c r="AG137" i="29"/>
  <c r="AG149" i="29"/>
  <c r="AG161" i="29"/>
  <c r="AG173" i="29"/>
  <c r="AG185" i="29"/>
  <c r="AG197" i="29"/>
  <c r="AG209" i="29"/>
  <c r="AG221" i="29"/>
  <c r="AG233" i="29"/>
  <c r="AG245" i="29"/>
  <c r="AG257" i="29"/>
  <c r="AG269" i="29"/>
  <c r="AG281" i="29"/>
  <c r="AG293" i="29"/>
  <c r="AG305" i="29"/>
  <c r="AG317" i="29"/>
  <c r="AG329" i="29"/>
  <c r="AG341" i="29"/>
  <c r="AG353" i="29"/>
  <c r="AG365" i="29"/>
  <c r="AG377" i="29"/>
  <c r="AG389" i="29"/>
  <c r="AG401" i="29"/>
  <c r="AG413" i="29"/>
  <c r="AG425" i="29"/>
  <c r="AG437" i="29"/>
  <c r="AG449" i="29"/>
  <c r="AG461" i="29"/>
  <c r="AG473" i="29"/>
  <c r="AG485" i="29"/>
  <c r="AG497" i="29"/>
  <c r="AG509" i="29"/>
  <c r="AG521" i="29"/>
  <c r="AG533" i="29"/>
  <c r="AG545" i="29"/>
  <c r="AG557" i="29"/>
  <c r="AG570" i="29"/>
  <c r="AG20" i="29"/>
  <c r="AG30" i="29"/>
  <c r="AG42" i="29"/>
  <c r="AG54" i="29"/>
  <c r="AG66" i="29"/>
  <c r="AG78" i="29"/>
  <c r="AG90" i="29"/>
  <c r="AG102" i="29"/>
  <c r="AG114" i="29"/>
  <c r="AG126" i="29"/>
  <c r="AG138" i="29"/>
  <c r="AG150" i="29"/>
  <c r="AG162" i="29"/>
  <c r="AG174" i="29"/>
  <c r="AG186" i="29"/>
  <c r="AG198" i="29"/>
  <c r="AG210" i="29"/>
  <c r="AG222" i="29"/>
  <c r="AG234" i="29"/>
  <c r="AG246" i="29"/>
  <c r="AG258" i="29"/>
  <c r="AG270" i="29"/>
  <c r="AG282" i="29"/>
  <c r="AG294" i="29"/>
  <c r="AG306" i="29"/>
  <c r="AG318" i="29"/>
  <c r="AG330" i="29"/>
  <c r="AG342" i="29"/>
  <c r="AG354" i="29"/>
  <c r="AG366" i="29"/>
  <c r="AG378" i="29"/>
  <c r="AG390" i="29"/>
  <c r="AG402" i="29"/>
  <c r="AG414" i="29"/>
  <c r="AG426" i="29"/>
  <c r="AG438" i="29"/>
  <c r="AG450" i="29"/>
  <c r="AG462" i="29"/>
  <c r="AG474" i="29"/>
  <c r="AG486" i="29"/>
  <c r="AG498" i="29"/>
  <c r="AG510" i="29"/>
  <c r="AG522" i="29"/>
  <c r="AG534" i="29"/>
  <c r="AG546" i="29"/>
  <c r="AG558" i="29"/>
  <c r="AG571" i="29"/>
  <c r="AG31" i="29"/>
  <c r="AG43" i="29"/>
  <c r="AG55" i="29"/>
  <c r="AG67" i="29"/>
  <c r="AG79" i="29"/>
  <c r="AG91" i="29"/>
  <c r="AG103" i="29"/>
  <c r="AG115" i="29"/>
  <c r="AG127" i="29"/>
  <c r="AG139" i="29"/>
  <c r="AG151" i="29"/>
  <c r="AG163" i="29"/>
  <c r="AG175" i="29"/>
  <c r="AG187" i="29"/>
  <c r="AG199" i="29"/>
  <c r="AG211" i="29"/>
  <c r="AG223" i="29"/>
  <c r="AG235" i="29"/>
  <c r="AG247" i="29"/>
  <c r="AG259" i="29"/>
  <c r="AG271" i="29"/>
  <c r="AG283" i="29"/>
  <c r="AG295" i="29"/>
  <c r="AG307" i="29"/>
  <c r="AG319" i="29"/>
  <c r="AG331" i="29"/>
  <c r="AG343" i="29"/>
  <c r="AG355" i="29"/>
  <c r="AG367" i="29"/>
  <c r="AG379" i="29"/>
  <c r="AG391" i="29"/>
  <c r="AG403" i="29"/>
  <c r="AG415" i="29"/>
  <c r="AG427" i="29"/>
  <c r="AG439" i="29"/>
  <c r="AG451" i="29"/>
  <c r="AG463" i="29"/>
  <c r="AG475" i="29"/>
  <c r="AG487" i="29"/>
  <c r="AG499" i="29"/>
  <c r="AG511" i="29"/>
  <c r="AG523" i="29"/>
  <c r="AG535" i="29"/>
  <c r="AG547" i="29"/>
  <c r="AG559" i="29"/>
  <c r="AG572" i="29"/>
  <c r="AG22" i="29"/>
  <c r="AG32" i="29"/>
  <c r="AG44" i="29"/>
  <c r="AG56" i="29"/>
  <c r="AG68" i="29"/>
  <c r="AG80" i="29"/>
  <c r="AG92" i="29"/>
  <c r="AG104" i="29"/>
  <c r="AG116" i="29"/>
  <c r="AG128" i="29"/>
  <c r="AG140" i="29"/>
  <c r="AG152" i="29"/>
  <c r="AG164" i="29"/>
  <c r="AG176" i="29"/>
  <c r="AG188" i="29"/>
  <c r="AG200" i="29"/>
  <c r="AG212" i="29"/>
  <c r="AG224" i="29"/>
  <c r="AG236" i="29"/>
  <c r="AG248" i="29"/>
  <c r="AG260" i="29"/>
  <c r="AG272" i="29"/>
  <c r="AG284" i="29"/>
  <c r="AG296" i="29"/>
  <c r="AG308" i="29"/>
  <c r="AG320" i="29"/>
  <c r="AG332" i="29"/>
  <c r="AG344" i="29"/>
  <c r="AG356" i="29"/>
  <c r="AG368" i="29"/>
  <c r="AG380" i="29"/>
  <c r="AG392" i="29"/>
  <c r="AG404" i="29"/>
  <c r="AG416" i="29"/>
  <c r="AG428" i="29"/>
  <c r="AG440" i="29"/>
  <c r="AG452" i="29"/>
  <c r="AG464" i="29"/>
  <c r="AG476" i="29"/>
  <c r="AG488" i="29"/>
  <c r="AG500" i="29"/>
  <c r="AG512" i="29"/>
  <c r="AG524" i="29"/>
  <c r="AG536" i="29"/>
  <c r="AG548" i="29"/>
  <c r="AG560" i="29"/>
  <c r="AG573" i="29"/>
  <c r="AG23" i="29"/>
  <c r="AG33" i="29"/>
  <c r="AG45" i="29"/>
  <c r="AG57" i="29"/>
  <c r="AG69" i="29"/>
  <c r="AG81" i="29"/>
  <c r="AG93" i="29"/>
  <c r="AG105" i="29"/>
  <c r="AG117" i="29"/>
  <c r="AG129" i="29"/>
  <c r="AG141" i="29"/>
  <c r="AG153" i="29"/>
  <c r="AG165" i="29"/>
  <c r="AG177" i="29"/>
  <c r="AG189" i="29"/>
  <c r="AG201" i="29"/>
  <c r="AG213" i="29"/>
  <c r="AG225" i="29"/>
  <c r="AG237" i="29"/>
  <c r="AG249" i="29"/>
  <c r="AG261" i="29"/>
  <c r="AG273" i="29"/>
  <c r="AG285" i="29"/>
  <c r="AG297" i="29"/>
  <c r="AG309" i="29"/>
  <c r="AG321" i="29"/>
  <c r="AG333" i="29"/>
  <c r="AG345" i="29"/>
  <c r="AG357" i="29"/>
  <c r="AG369" i="29"/>
  <c r="AG381" i="29"/>
  <c r="AG393" i="29"/>
  <c r="AG405" i="29"/>
  <c r="AG417" i="29"/>
  <c r="AG429" i="29"/>
  <c r="AG441" i="29"/>
  <c r="AG453" i="29"/>
  <c r="AG465" i="29"/>
  <c r="AG477" i="29"/>
  <c r="AG489" i="29"/>
  <c r="AG501" i="29"/>
  <c r="AG513" i="29"/>
  <c r="AG525" i="29"/>
  <c r="AG537" i="29"/>
  <c r="AG549" i="29"/>
  <c r="AG561" i="29"/>
  <c r="AG574" i="29"/>
  <c r="AG24" i="29"/>
  <c r="AG34" i="29"/>
  <c r="AG46" i="29"/>
  <c r="AG58" i="29"/>
  <c r="AG70" i="29"/>
  <c r="AG82" i="29"/>
  <c r="AG94" i="29"/>
  <c r="AG106" i="29"/>
  <c r="AG118" i="29"/>
  <c r="AG130" i="29"/>
  <c r="AG142" i="29"/>
  <c r="AG154" i="29"/>
  <c r="AG166" i="29"/>
  <c r="AG178" i="29"/>
  <c r="AG190" i="29"/>
  <c r="AG202" i="29"/>
  <c r="AG214" i="29"/>
  <c r="AG226" i="29"/>
  <c r="AG238" i="29"/>
  <c r="AG250" i="29"/>
  <c r="AG262" i="29"/>
  <c r="AG274" i="29"/>
  <c r="AG286" i="29"/>
  <c r="AG298" i="29"/>
  <c r="AG310" i="29"/>
  <c r="AG322" i="29"/>
  <c r="AG334" i="29"/>
  <c r="AG346" i="29"/>
  <c r="AG358" i="29"/>
  <c r="AG370" i="29"/>
  <c r="AG382" i="29"/>
  <c r="AG394" i="29"/>
  <c r="AG406" i="29"/>
  <c r="AG418" i="29"/>
  <c r="AG430" i="29"/>
  <c r="AG442" i="29"/>
  <c r="AG454" i="29"/>
  <c r="AG466" i="29"/>
  <c r="AG478" i="29"/>
  <c r="AG490" i="29"/>
  <c r="AG502" i="29"/>
  <c r="AG514" i="29"/>
  <c r="AG526" i="29"/>
  <c r="AG538" i="29"/>
  <c r="AG550" i="29"/>
  <c r="AG562" i="29"/>
  <c r="AG18" i="29"/>
  <c r="AG35" i="29"/>
  <c r="AG47" i="29"/>
  <c r="AG59" i="29"/>
  <c r="AG71" i="29"/>
  <c r="AG83" i="29"/>
  <c r="AG95" i="29"/>
  <c r="AG107" i="29"/>
  <c r="AG119" i="29"/>
  <c r="AG131" i="29"/>
  <c r="AG143" i="29"/>
  <c r="AG155" i="29"/>
  <c r="AG167" i="29"/>
  <c r="AG179" i="29"/>
  <c r="AG191" i="29"/>
  <c r="AG203" i="29"/>
  <c r="AG215" i="29"/>
  <c r="AG227" i="29"/>
  <c r="AG239" i="29"/>
  <c r="AG251" i="29"/>
  <c r="AG263" i="29"/>
  <c r="AG275" i="29"/>
  <c r="AG287" i="29"/>
  <c r="AG299" i="29"/>
  <c r="AG311" i="29"/>
  <c r="AG323" i="29"/>
  <c r="AG335" i="29"/>
  <c r="AG347" i="29"/>
  <c r="AG359" i="29"/>
  <c r="AG371" i="29"/>
  <c r="AG383" i="29"/>
  <c r="AG395" i="29"/>
  <c r="AG407" i="29"/>
  <c r="AG419" i="29"/>
  <c r="AG431" i="29"/>
  <c r="AG443" i="29"/>
  <c r="AG455" i="29"/>
  <c r="AG467" i="29"/>
  <c r="AG479" i="29"/>
  <c r="AG491" i="29"/>
  <c r="AG503" i="29"/>
  <c r="AG515" i="29"/>
  <c r="AG527" i="29"/>
  <c r="AG539" i="29"/>
  <c r="AG551" i="29"/>
  <c r="AG563" i="29"/>
  <c r="AG36" i="29"/>
  <c r="AG48" i="29"/>
  <c r="AG60" i="29"/>
  <c r="AG72" i="29"/>
  <c r="AG84" i="29"/>
  <c r="AG96" i="29"/>
  <c r="AG108" i="29"/>
  <c r="AG120" i="29"/>
  <c r="AG132" i="29"/>
  <c r="AG144" i="29"/>
  <c r="AG156" i="29"/>
  <c r="AG168" i="29"/>
  <c r="AG180" i="29"/>
  <c r="AG192" i="29"/>
  <c r="AG204" i="29"/>
  <c r="AG216" i="29"/>
  <c r="AG228" i="29"/>
  <c r="AG240" i="29"/>
  <c r="AG252" i="29"/>
  <c r="AG264" i="29"/>
  <c r="AG276" i="29"/>
  <c r="AG288" i="29"/>
  <c r="AG300" i="29"/>
  <c r="AG312" i="29"/>
  <c r="AG324" i="29"/>
  <c r="AG336" i="29"/>
  <c r="AG348" i="29"/>
  <c r="AG360" i="29"/>
  <c r="AG372" i="29"/>
  <c r="AG384" i="29"/>
  <c r="AG396" i="29"/>
  <c r="AG408" i="29"/>
  <c r="AG420" i="29"/>
  <c r="AG432" i="29"/>
  <c r="AG444" i="29"/>
  <c r="AG456" i="29"/>
  <c r="AG468" i="29"/>
  <c r="AG480" i="29"/>
  <c r="AG492" i="29"/>
  <c r="AG504" i="29"/>
  <c r="AG516" i="29"/>
  <c r="AG528" i="29"/>
  <c r="AG540" i="29"/>
  <c r="AG552" i="29"/>
  <c r="AG564" i="29"/>
  <c r="Q10" i="29"/>
  <c r="Q263" i="29" s="1"/>
  <c r="Q630" i="29" l="1"/>
  <c r="Q627" i="29"/>
  <c r="Q629" i="29"/>
  <c r="Q628" i="29"/>
  <c r="Q626" i="29"/>
  <c r="Q25" i="29"/>
  <c r="Q28" i="29"/>
  <c r="Q623" i="29"/>
  <c r="Q624" i="29"/>
  <c r="Q618" i="29"/>
  <c r="Q617" i="29"/>
  <c r="Q616" i="29"/>
  <c r="Q610" i="29"/>
  <c r="Q612" i="29"/>
  <c r="Q609" i="29"/>
  <c r="Q608" i="29"/>
  <c r="Q600" i="29"/>
  <c r="Q607" i="29"/>
  <c r="Q606" i="29"/>
  <c r="Q592" i="29"/>
  <c r="Q602" i="29"/>
  <c r="Q588" i="29"/>
  <c r="Q585" i="29"/>
  <c r="Q599" i="29"/>
  <c r="Q615" i="29"/>
  <c r="Q598" i="29"/>
  <c r="Q584" i="29"/>
  <c r="Q619" i="29"/>
  <c r="Q593" i="29"/>
  <c r="Q594" i="29"/>
  <c r="Q625" i="29"/>
  <c r="Q613" i="29"/>
  <c r="Q622" i="29"/>
  <c r="Q621" i="29"/>
  <c r="Q620" i="29"/>
  <c r="Q614" i="29"/>
  <c r="Q603" i="29"/>
  <c r="Q605" i="29"/>
  <c r="Q586" i="29"/>
  <c r="Q611" i="29"/>
  <c r="Q587" i="29"/>
  <c r="Q590" i="29"/>
  <c r="Q589" i="29"/>
  <c r="Q591" i="29"/>
  <c r="Q601" i="29"/>
  <c r="Q604" i="29"/>
  <c r="Q596" i="29"/>
  <c r="Q597" i="29"/>
  <c r="Q204" i="29"/>
  <c r="Q144" i="29"/>
  <c r="Q120" i="29"/>
  <c r="Q552" i="29"/>
  <c r="Q420" i="29"/>
  <c r="Q396" i="29"/>
  <c r="Q348" i="29"/>
  <c r="Q264" i="29"/>
  <c r="Q228" i="29"/>
  <c r="Q156" i="29"/>
  <c r="Q96" i="29"/>
  <c r="Q563" i="29"/>
  <c r="Q70" i="29"/>
  <c r="Q240" i="29"/>
  <c r="Q192" i="29"/>
  <c r="Q516" i="29"/>
  <c r="Q347" i="29"/>
  <c r="Q155" i="29"/>
  <c r="Q324" i="29"/>
  <c r="Q444" i="29"/>
  <c r="Q372" i="29"/>
  <c r="Q288" i="29"/>
  <c r="Q252" i="29"/>
  <c r="Q180" i="29"/>
  <c r="Q527" i="29"/>
  <c r="Q503" i="29"/>
  <c r="Q407" i="29"/>
  <c r="Q456" i="29"/>
  <c r="Q540" i="29"/>
  <c r="Q528" i="29"/>
  <c r="Q336" i="29"/>
  <c r="Q84" i="29"/>
  <c r="Q455" i="29"/>
  <c r="Q83" i="29"/>
  <c r="Q179" i="29"/>
  <c r="Q504" i="29"/>
  <c r="Q480" i="29"/>
  <c r="Q132" i="29"/>
  <c r="Q48" i="29"/>
  <c r="Q47" i="29"/>
  <c r="Q371" i="29"/>
  <c r="Q564" i="29"/>
  <c r="Q432" i="29"/>
  <c r="Q408" i="29"/>
  <c r="Q276" i="29"/>
  <c r="Q168" i="29"/>
  <c r="Q108" i="29"/>
  <c r="Q36" i="29"/>
  <c r="Q551" i="29"/>
  <c r="Q491" i="29"/>
  <c r="Q72" i="29"/>
  <c r="Q60" i="29"/>
  <c r="Q468" i="29"/>
  <c r="Q360" i="29"/>
  <c r="R9" i="29"/>
  <c r="Q73" i="29"/>
  <c r="Q385" i="29"/>
  <c r="Q433" i="29"/>
  <c r="Q583" i="29"/>
  <c r="Q193" i="29"/>
  <c r="Q217" i="29"/>
  <c r="Q277" i="29"/>
  <c r="Q49" i="29"/>
  <c r="Q169" i="29"/>
  <c r="Q361" i="29"/>
  <c r="Q409" i="29"/>
  <c r="Q457" i="29"/>
  <c r="Q481" i="29"/>
  <c r="Q580" i="29"/>
  <c r="Q133" i="29"/>
  <c r="Q253" i="29"/>
  <c r="Q581" i="29"/>
  <c r="Q582" i="29"/>
  <c r="Q37" i="29"/>
  <c r="Q109" i="29"/>
  <c r="Q145" i="29"/>
  <c r="Q337" i="29"/>
  <c r="Q575" i="29"/>
  <c r="Q85" i="29"/>
  <c r="Q445" i="29"/>
  <c r="Q565" i="29"/>
  <c r="Q21" i="29"/>
  <c r="Q229" i="29"/>
  <c r="Q289" i="29"/>
  <c r="Q313" i="29"/>
  <c r="Q349" i="29"/>
  <c r="Q505" i="29"/>
  <c r="Q541" i="29"/>
  <c r="Q26" i="29"/>
  <c r="Q595" i="29"/>
  <c r="Q61" i="29"/>
  <c r="Q181" i="29"/>
  <c r="Q373" i="29"/>
  <c r="Q421" i="29"/>
  <c r="Q469" i="29"/>
  <c r="Q529" i="29"/>
  <c r="Q579" i="29"/>
  <c r="Q205" i="29"/>
  <c r="Q241" i="29"/>
  <c r="Q265" i="29"/>
  <c r="Q493" i="29"/>
  <c r="Q577" i="29"/>
  <c r="Q157" i="29"/>
  <c r="Q397" i="29"/>
  <c r="Q517" i="29"/>
  <c r="Q74" i="29"/>
  <c r="Q566" i="29"/>
  <c r="Q97" i="29"/>
  <c r="Q121" i="29"/>
  <c r="Q62" i="29"/>
  <c r="Q578" i="29"/>
  <c r="Q301" i="29"/>
  <c r="Q325" i="29"/>
  <c r="Q553" i="29"/>
  <c r="Q38" i="29"/>
  <c r="Q50" i="29"/>
  <c r="Q134" i="29"/>
  <c r="Q242" i="29"/>
  <c r="Q410" i="29"/>
  <c r="Q482" i="29"/>
  <c r="Q530" i="29"/>
  <c r="Q135" i="29"/>
  <c r="Q230" i="29"/>
  <c r="Q254" i="29"/>
  <c r="Q314" i="29"/>
  <c r="Q39" i="29"/>
  <c r="Q171" i="29"/>
  <c r="Q110" i="29"/>
  <c r="Q302" i="29"/>
  <c r="Q506" i="29"/>
  <c r="Q554" i="29"/>
  <c r="Q87" i="29"/>
  <c r="Q111" i="29"/>
  <c r="Q86" i="29"/>
  <c r="Q206" i="29"/>
  <c r="Q362" i="29"/>
  <c r="Q576" i="29"/>
  <c r="Q147" i="29"/>
  <c r="Q231" i="29"/>
  <c r="Q182" i="29"/>
  <c r="Q290" i="29"/>
  <c r="Q350" i="29"/>
  <c r="Q374" i="29"/>
  <c r="Q446" i="29"/>
  <c r="Q63" i="29"/>
  <c r="Q195" i="29"/>
  <c r="Q98" i="29"/>
  <c r="Q146" i="29"/>
  <c r="Q398" i="29"/>
  <c r="Q207" i="29"/>
  <c r="Q158" i="29"/>
  <c r="Q266" i="29"/>
  <c r="Q326" i="29"/>
  <c r="Q422" i="29"/>
  <c r="Q183" i="29"/>
  <c r="Q122" i="29"/>
  <c r="Q470" i="29"/>
  <c r="Q518" i="29"/>
  <c r="Q567" i="29"/>
  <c r="Q99" i="29"/>
  <c r="Q123" i="29"/>
  <c r="Q218" i="29"/>
  <c r="Q27" i="29"/>
  <c r="Q159" i="29"/>
  <c r="Q386" i="29"/>
  <c r="Q458" i="29"/>
  <c r="Q494" i="29"/>
  <c r="Q75" i="29"/>
  <c r="Q194" i="29"/>
  <c r="Q542" i="29"/>
  <c r="Q17" i="29"/>
  <c r="Q219" i="29"/>
  <c r="Q170" i="29"/>
  <c r="Q315" i="29"/>
  <c r="Q88" i="29"/>
  <c r="Q148" i="29"/>
  <c r="Q172" i="29"/>
  <c r="Q376" i="29"/>
  <c r="Q291" i="29"/>
  <c r="Q375" i="29"/>
  <c r="Q519" i="29"/>
  <c r="Q434" i="29"/>
  <c r="Q471" i="29"/>
  <c r="Q64" i="29"/>
  <c r="Q232" i="29"/>
  <c r="Q352" i="29"/>
  <c r="Q208" i="29"/>
  <c r="Q328" i="29"/>
  <c r="Q327" i="29"/>
  <c r="Q568" i="29"/>
  <c r="Q40" i="29"/>
  <c r="Q100" i="29"/>
  <c r="Q184" i="29"/>
  <c r="Q51" i="29"/>
  <c r="Q387" i="29"/>
  <c r="Q495" i="29"/>
  <c r="Q507" i="29"/>
  <c r="Q280" i="29"/>
  <c r="Q304" i="29"/>
  <c r="Q76" i="29"/>
  <c r="Q160" i="29"/>
  <c r="Q364" i="29"/>
  <c r="Q338" i="29"/>
  <c r="Q279" i="29"/>
  <c r="Q303" i="29"/>
  <c r="Q351" i="29"/>
  <c r="Q411" i="29"/>
  <c r="Q435" i="29"/>
  <c r="Q136" i="29"/>
  <c r="Q256" i="29"/>
  <c r="Q459" i="29"/>
  <c r="Q483" i="29"/>
  <c r="Q52" i="29"/>
  <c r="Q220" i="29"/>
  <c r="Q340" i="29"/>
  <c r="Q292" i="29"/>
  <c r="Q316" i="29"/>
  <c r="Q388" i="29"/>
  <c r="Q532" i="29"/>
  <c r="Q556" i="29"/>
  <c r="Q281" i="29"/>
  <c r="Q400" i="29"/>
  <c r="Q424" i="29"/>
  <c r="Q137" i="29"/>
  <c r="Q197" i="29"/>
  <c r="Q267" i="29"/>
  <c r="Q484" i="29"/>
  <c r="Q520" i="29"/>
  <c r="Q89" i="29"/>
  <c r="Q161" i="29"/>
  <c r="Q221" i="29"/>
  <c r="Q257" i="29"/>
  <c r="Q305" i="29"/>
  <c r="Q341" i="29"/>
  <c r="Q365" i="29"/>
  <c r="Q555" i="29"/>
  <c r="Q113" i="29"/>
  <c r="Q278" i="29"/>
  <c r="Q399" i="29"/>
  <c r="Q112" i="29"/>
  <c r="Q460" i="29"/>
  <c r="Q569" i="29"/>
  <c r="Q65" i="29"/>
  <c r="Q317" i="29"/>
  <c r="Q233" i="29"/>
  <c r="Q293" i="29"/>
  <c r="Q377" i="29"/>
  <c r="Q243" i="29"/>
  <c r="Q436" i="29"/>
  <c r="Q29" i="29"/>
  <c r="Q245" i="29"/>
  <c r="Q363" i="29"/>
  <c r="Q447" i="29"/>
  <c r="Q196" i="29"/>
  <c r="Q412" i="29"/>
  <c r="Q544" i="29"/>
  <c r="Q101" i="29"/>
  <c r="Q173" i="29"/>
  <c r="Q269" i="29"/>
  <c r="Q353" i="29"/>
  <c r="Q531" i="29"/>
  <c r="Q268" i="29"/>
  <c r="Q19" i="29"/>
  <c r="Q41" i="29"/>
  <c r="Q125" i="29"/>
  <c r="Q339" i="29"/>
  <c r="Q423" i="29"/>
  <c r="Q543" i="29"/>
  <c r="Q448" i="29"/>
  <c r="Q53" i="29"/>
  <c r="Q244" i="29"/>
  <c r="Q508" i="29"/>
  <c r="Q545" i="29"/>
  <c r="Q54" i="29"/>
  <c r="Q282" i="29"/>
  <c r="Q209" i="29"/>
  <c r="Q329" i="29"/>
  <c r="Q533" i="29"/>
  <c r="Q174" i="29"/>
  <c r="Q222" i="29"/>
  <c r="Q366" i="29"/>
  <c r="Q401" i="29"/>
  <c r="Q425" i="29"/>
  <c r="Q449" i="29"/>
  <c r="Q473" i="29"/>
  <c r="Q138" i="29"/>
  <c r="Q246" i="29"/>
  <c r="Q258" i="29"/>
  <c r="Q521" i="29"/>
  <c r="Q90" i="29"/>
  <c r="Q150" i="29"/>
  <c r="Q198" i="29"/>
  <c r="Q342" i="29"/>
  <c r="Q255" i="29"/>
  <c r="Q114" i="29"/>
  <c r="Q185" i="29"/>
  <c r="Q557" i="29"/>
  <c r="Q66" i="29"/>
  <c r="Q294" i="29"/>
  <c r="Q318" i="29"/>
  <c r="Q570" i="29"/>
  <c r="Q20" i="29"/>
  <c r="Q186" i="29"/>
  <c r="Q234" i="29"/>
  <c r="Q378" i="29"/>
  <c r="Q77" i="29"/>
  <c r="Q149" i="29"/>
  <c r="Q437" i="29"/>
  <c r="Q42" i="29"/>
  <c r="Q78" i="29"/>
  <c r="Q270" i="29"/>
  <c r="Q306" i="29"/>
  <c r="Q402" i="29"/>
  <c r="Q124" i="29"/>
  <c r="Q389" i="29"/>
  <c r="Q485" i="29"/>
  <c r="Q509" i="29"/>
  <c r="Q102" i="29"/>
  <c r="Q162" i="29"/>
  <c r="Q210" i="29"/>
  <c r="Q354" i="29"/>
  <c r="Q472" i="29"/>
  <c r="Q30" i="29"/>
  <c r="Q390" i="29"/>
  <c r="Q510" i="29"/>
  <c r="Q534" i="29"/>
  <c r="Q571" i="29"/>
  <c r="Q330" i="29"/>
  <c r="Q103" i="29"/>
  <c r="Q163" i="29"/>
  <c r="Q247" i="29"/>
  <c r="Q271" i="29"/>
  <c r="Q427" i="29"/>
  <c r="Q438" i="29"/>
  <c r="Q462" i="29"/>
  <c r="Q486" i="29"/>
  <c r="Q522" i="29"/>
  <c r="Q79" i="29"/>
  <c r="Q331" i="29"/>
  <c r="Q498" i="29"/>
  <c r="Q414" i="29"/>
  <c r="Q199" i="29"/>
  <c r="Q355" i="29"/>
  <c r="Q496" i="29"/>
  <c r="Q413" i="29"/>
  <c r="Q175" i="29"/>
  <c r="Q283" i="29"/>
  <c r="Q307" i="29"/>
  <c r="Q439" i="29"/>
  <c r="Q546" i="29"/>
  <c r="Q55" i="29"/>
  <c r="Q139" i="29"/>
  <c r="Q223" i="29"/>
  <c r="Q367" i="29"/>
  <c r="Q474" i="29"/>
  <c r="Q91" i="29"/>
  <c r="Q151" i="29"/>
  <c r="Q259" i="29"/>
  <c r="Q497" i="29"/>
  <c r="Q43" i="29"/>
  <c r="Q115" i="29"/>
  <c r="Q343" i="29"/>
  <c r="Q187" i="29"/>
  <c r="Q295" i="29"/>
  <c r="Q319" i="29"/>
  <c r="Q511" i="29"/>
  <c r="Q44" i="29"/>
  <c r="Q248" i="29"/>
  <c r="Q272" i="29"/>
  <c r="Q356" i="29"/>
  <c r="Q211" i="29"/>
  <c r="Q104" i="29"/>
  <c r="Q128" i="29"/>
  <c r="Q164" i="29"/>
  <c r="Q452" i="29"/>
  <c r="Q426" i="29"/>
  <c r="Q391" i="29"/>
  <c r="Q32" i="29"/>
  <c r="Q308" i="29"/>
  <c r="Q332" i="29"/>
  <c r="Q67" i="29"/>
  <c r="Q415" i="29"/>
  <c r="Q80" i="29"/>
  <c r="Q392" i="29"/>
  <c r="Q31" i="29"/>
  <c r="Q22" i="29"/>
  <c r="Q224" i="29"/>
  <c r="Q440" i="29"/>
  <c r="Q461" i="29"/>
  <c r="Q126" i="29"/>
  <c r="Q450" i="29"/>
  <c r="Q523" i="29"/>
  <c r="Q56" i="29"/>
  <c r="Q235" i="29"/>
  <c r="Q379" i="29"/>
  <c r="Q403" i="29"/>
  <c r="Q475" i="29"/>
  <c r="Q499" i="29"/>
  <c r="Q260" i="29"/>
  <c r="Q344" i="29"/>
  <c r="Q488" i="29"/>
  <c r="Q463" i="29"/>
  <c r="Q92" i="29"/>
  <c r="Q116" i="29"/>
  <c r="Q152" i="29"/>
  <c r="Q451" i="29"/>
  <c r="Q535" i="29"/>
  <c r="Q572" i="29"/>
  <c r="Q236" i="29"/>
  <c r="Q320" i="29"/>
  <c r="Q500" i="29"/>
  <c r="Q68" i="29"/>
  <c r="Q296" i="29"/>
  <c r="Q380" i="29"/>
  <c r="Q404" i="29"/>
  <c r="Q512" i="29"/>
  <c r="Q428" i="29"/>
  <c r="Q536" i="29"/>
  <c r="Q261" i="29"/>
  <c r="Q393" i="29"/>
  <c r="Q405" i="29"/>
  <c r="Q487" i="29"/>
  <c r="Q284" i="29"/>
  <c r="Q368" i="29"/>
  <c r="Q69" i="29"/>
  <c r="Q177" i="29"/>
  <c r="Q237" i="29"/>
  <c r="Q357" i="29"/>
  <c r="Q417" i="29"/>
  <c r="Q477" i="29"/>
  <c r="Q513" i="29"/>
  <c r="Q200" i="29"/>
  <c r="Q464" i="29"/>
  <c r="Q129" i="29"/>
  <c r="Q558" i="29"/>
  <c r="Q45" i="29"/>
  <c r="Q153" i="29"/>
  <c r="Q213" i="29"/>
  <c r="Q297" i="29"/>
  <c r="Q333" i="29"/>
  <c r="Q453" i="29"/>
  <c r="Q489" i="29"/>
  <c r="Q105" i="29"/>
  <c r="Q249" i="29"/>
  <c r="Q547" i="29"/>
  <c r="Q176" i="29"/>
  <c r="Q165" i="29"/>
  <c r="Q273" i="29"/>
  <c r="Q548" i="29"/>
  <c r="Q81" i="29"/>
  <c r="Q189" i="29"/>
  <c r="Q369" i="29"/>
  <c r="Q429" i="29"/>
  <c r="Q140" i="29"/>
  <c r="Q212" i="29"/>
  <c r="Q416" i="29"/>
  <c r="Q476" i="29"/>
  <c r="Q33" i="29"/>
  <c r="Q141" i="29"/>
  <c r="Q559" i="29"/>
  <c r="Q560" i="29"/>
  <c r="Q573" i="29"/>
  <c r="Q57" i="29"/>
  <c r="Q225" i="29"/>
  <c r="Q345" i="29"/>
  <c r="Q465" i="29"/>
  <c r="Q501" i="29"/>
  <c r="Q127" i="29"/>
  <c r="Q188" i="29"/>
  <c r="Q524" i="29"/>
  <c r="Q23" i="29"/>
  <c r="Q117" i="29"/>
  <c r="Q118" i="29"/>
  <c r="Q430" i="29"/>
  <c r="Q490" i="29"/>
  <c r="Q93" i="29"/>
  <c r="Q285" i="29"/>
  <c r="Q381" i="29"/>
  <c r="Q82" i="29"/>
  <c r="Q154" i="29"/>
  <c r="Q190" i="29"/>
  <c r="Q322" i="29"/>
  <c r="Q370" i="29"/>
  <c r="Q406" i="29"/>
  <c r="Q34" i="29"/>
  <c r="Q238" i="29"/>
  <c r="Q298" i="29"/>
  <c r="Q382" i="29"/>
  <c r="Q58" i="29"/>
  <c r="Q526" i="29"/>
  <c r="Q550" i="29"/>
  <c r="Q214" i="29"/>
  <c r="Q274" i="29"/>
  <c r="Q478" i="29"/>
  <c r="Q441" i="29"/>
  <c r="Q525" i="29"/>
  <c r="Q537" i="29"/>
  <c r="Q561" i="29"/>
  <c r="Q130" i="29"/>
  <c r="Q502" i="29"/>
  <c r="Q309" i="29"/>
  <c r="Q46" i="29"/>
  <c r="Q94" i="29"/>
  <c r="Q166" i="29"/>
  <c r="Q334" i="29"/>
  <c r="Q394" i="29"/>
  <c r="Q442" i="29"/>
  <c r="Q24" i="29"/>
  <c r="Q106" i="29"/>
  <c r="Q226" i="29"/>
  <c r="Q286" i="29"/>
  <c r="Q418" i="29"/>
  <c r="Q562" i="29"/>
  <c r="Q119" i="29"/>
  <c r="Q467" i="29"/>
  <c r="Q201" i="29"/>
  <c r="Q549" i="29"/>
  <c r="Q574" i="29"/>
  <c r="Q250" i="29"/>
  <c r="Q310" i="29"/>
  <c r="Q239" i="29"/>
  <c r="Q323" i="29"/>
  <c r="Q514" i="29"/>
  <c r="Q95" i="29"/>
  <c r="Q215" i="29"/>
  <c r="Q383" i="29"/>
  <c r="Q395" i="29"/>
  <c r="Q443" i="29"/>
  <c r="Q142" i="29"/>
  <c r="Q275" i="29"/>
  <c r="Q299" i="29"/>
  <c r="Q515" i="29"/>
  <c r="Q18" i="29"/>
  <c r="Q71" i="29"/>
  <c r="Q167" i="29"/>
  <c r="Q227" i="29"/>
  <c r="Q359" i="29"/>
  <c r="Q419" i="29"/>
  <c r="Q202" i="29"/>
  <c r="Q454" i="29"/>
  <c r="Q538" i="29"/>
  <c r="Q131" i="29"/>
  <c r="Q251" i="29"/>
  <c r="Q479" i="29"/>
  <c r="Q262" i="29"/>
  <c r="Q346" i="29"/>
  <c r="Q321" i="29"/>
  <c r="Q178" i="29"/>
  <c r="Q107" i="29"/>
  <c r="Q35" i="29"/>
  <c r="Q191" i="29"/>
  <c r="Q203" i="29"/>
  <c r="Q287" i="29"/>
  <c r="Q311" i="29"/>
  <c r="Q492" i="29"/>
  <c r="Q312" i="29"/>
  <c r="Q431" i="29"/>
  <c r="Q59" i="29"/>
  <c r="Q466" i="29"/>
  <c r="Q384" i="29"/>
  <c r="Q300" i="29"/>
  <c r="Q216" i="29"/>
  <c r="Q539" i="29"/>
  <c r="Q335" i="29"/>
  <c r="Q143" i="29"/>
  <c r="Q358" i="29"/>
  <c r="AG4" i="29"/>
  <c r="T5" i="30" s="1"/>
  <c r="R627" i="29" l="1"/>
  <c r="R629" i="29"/>
  <c r="R626" i="29"/>
  <c r="R628" i="29"/>
  <c r="R630" i="29"/>
  <c r="R28" i="29"/>
  <c r="R25" i="29"/>
  <c r="R618" i="29"/>
  <c r="R624" i="29"/>
  <c r="R623" i="29"/>
  <c r="R617" i="29"/>
  <c r="R616" i="29"/>
  <c r="R612" i="29"/>
  <c r="R610" i="29"/>
  <c r="R609" i="29"/>
  <c r="R608" i="29"/>
  <c r="R600" i="29"/>
  <c r="R606" i="29"/>
  <c r="R607" i="29"/>
  <c r="R601" i="29"/>
  <c r="R592" i="29"/>
  <c r="R584" i="29"/>
  <c r="R615" i="29"/>
  <c r="R619" i="29"/>
  <c r="R620" i="29"/>
  <c r="R585" i="29"/>
  <c r="R602" i="29"/>
  <c r="R605" i="29"/>
  <c r="R586" i="29"/>
  <c r="R594" i="29"/>
  <c r="R590" i="29"/>
  <c r="R625" i="29"/>
  <c r="R591" i="29"/>
  <c r="R622" i="29"/>
  <c r="R611" i="29"/>
  <c r="R598" i="29"/>
  <c r="R599" i="29"/>
  <c r="R587" i="29"/>
  <c r="R613" i="29"/>
  <c r="R593" i="29"/>
  <c r="R621" i="29"/>
  <c r="R604" i="29"/>
  <c r="R588" i="29"/>
  <c r="R614" i="29"/>
  <c r="R589" i="29"/>
  <c r="R603" i="29"/>
  <c r="R571" i="29"/>
  <c r="R597" i="29"/>
  <c r="R596" i="29"/>
  <c r="Q4" i="29"/>
  <c r="R580" i="29"/>
  <c r="R581" i="29"/>
  <c r="R577" i="29"/>
  <c r="R579" i="29"/>
  <c r="R595" i="29"/>
  <c r="R578" i="29"/>
  <c r="R583" i="29"/>
  <c r="R582" i="29"/>
  <c r="R566" i="29"/>
  <c r="R169" i="29"/>
  <c r="R361" i="29"/>
  <c r="R397" i="29"/>
  <c r="R433" i="29"/>
  <c r="R457" i="29"/>
  <c r="R481" i="29"/>
  <c r="R133" i="29"/>
  <c r="R253" i="29"/>
  <c r="R349" i="29"/>
  <c r="R37" i="29"/>
  <c r="R85" i="29"/>
  <c r="R145" i="29"/>
  <c r="R337" i="29"/>
  <c r="R517" i="29"/>
  <c r="R575" i="29"/>
  <c r="R565" i="29"/>
  <c r="R21" i="29"/>
  <c r="R61" i="29"/>
  <c r="R229" i="29"/>
  <c r="R289" i="29"/>
  <c r="R313" i="29"/>
  <c r="R541" i="29"/>
  <c r="R26" i="29"/>
  <c r="R62" i="29"/>
  <c r="R74" i="29"/>
  <c r="R181" i="29"/>
  <c r="R373" i="29"/>
  <c r="R445" i="29"/>
  <c r="R469" i="29"/>
  <c r="R505" i="29"/>
  <c r="R205" i="29"/>
  <c r="R241" i="29"/>
  <c r="R265" i="29"/>
  <c r="R97" i="29"/>
  <c r="R157" i="29"/>
  <c r="R421" i="29"/>
  <c r="R493" i="29"/>
  <c r="R121" i="29"/>
  <c r="R301" i="29"/>
  <c r="R73" i="29"/>
  <c r="R325" i="29"/>
  <c r="R529" i="29"/>
  <c r="R553" i="29"/>
  <c r="R38" i="29"/>
  <c r="R385" i="29"/>
  <c r="R50" i="29"/>
  <c r="R49" i="29"/>
  <c r="R109" i="29"/>
  <c r="R193" i="29"/>
  <c r="R217" i="29"/>
  <c r="R277" i="29"/>
  <c r="R409" i="29"/>
  <c r="R506" i="29"/>
  <c r="R567" i="29"/>
  <c r="R39" i="29"/>
  <c r="R87" i="29"/>
  <c r="R111" i="29"/>
  <c r="R194" i="29"/>
  <c r="R302" i="29"/>
  <c r="R338" i="29"/>
  <c r="R554" i="29"/>
  <c r="R576" i="29"/>
  <c r="R147" i="29"/>
  <c r="R231" i="29"/>
  <c r="R182" i="29"/>
  <c r="R290" i="29"/>
  <c r="R314" i="29"/>
  <c r="R362" i="29"/>
  <c r="R398" i="29"/>
  <c r="R446" i="29"/>
  <c r="R470" i="29"/>
  <c r="R63" i="29"/>
  <c r="R230" i="29"/>
  <c r="R350" i="29"/>
  <c r="R374" i="29"/>
  <c r="R195" i="29"/>
  <c r="R207" i="29"/>
  <c r="R98" i="29"/>
  <c r="R158" i="29"/>
  <c r="R266" i="29"/>
  <c r="R422" i="29"/>
  <c r="R183" i="29"/>
  <c r="R122" i="29"/>
  <c r="R518" i="29"/>
  <c r="R99" i="29"/>
  <c r="R123" i="29"/>
  <c r="R206" i="29"/>
  <c r="R27" i="29"/>
  <c r="R159" i="29"/>
  <c r="R218" i="29"/>
  <c r="R494" i="29"/>
  <c r="R75" i="29"/>
  <c r="R326" i="29"/>
  <c r="R386" i="29"/>
  <c r="R458" i="29"/>
  <c r="R17" i="29"/>
  <c r="R219" i="29"/>
  <c r="R146" i="29"/>
  <c r="R170" i="29"/>
  <c r="R242" i="29"/>
  <c r="R278" i="29"/>
  <c r="R434" i="29"/>
  <c r="R542" i="29"/>
  <c r="R51" i="29"/>
  <c r="R110" i="29"/>
  <c r="R134" i="29"/>
  <c r="R410" i="29"/>
  <c r="R482" i="29"/>
  <c r="R135" i="29"/>
  <c r="R471" i="29"/>
  <c r="R64" i="29"/>
  <c r="R232" i="29"/>
  <c r="R352" i="29"/>
  <c r="R243" i="29"/>
  <c r="R267" i="29"/>
  <c r="R351" i="29"/>
  <c r="R423" i="29"/>
  <c r="R447" i="29"/>
  <c r="R531" i="29"/>
  <c r="R40" i="29"/>
  <c r="R208" i="29"/>
  <c r="R292" i="29"/>
  <c r="R328" i="29"/>
  <c r="R387" i="29"/>
  <c r="R519" i="29"/>
  <c r="R543" i="29"/>
  <c r="R184" i="29"/>
  <c r="R268" i="29"/>
  <c r="R304" i="29"/>
  <c r="R254" i="29"/>
  <c r="R171" i="29"/>
  <c r="R495" i="29"/>
  <c r="R76" i="29"/>
  <c r="R364" i="29"/>
  <c r="R279" i="29"/>
  <c r="R363" i="29"/>
  <c r="R435" i="29"/>
  <c r="R136" i="29"/>
  <c r="R160" i="29"/>
  <c r="R459" i="29"/>
  <c r="R483" i="29"/>
  <c r="R52" i="29"/>
  <c r="R220" i="29"/>
  <c r="R340" i="29"/>
  <c r="R86" i="29"/>
  <c r="R255" i="29"/>
  <c r="R339" i="29"/>
  <c r="R112" i="29"/>
  <c r="R530" i="29"/>
  <c r="R399" i="29"/>
  <c r="R411" i="29"/>
  <c r="R555" i="29"/>
  <c r="R196" i="29"/>
  <c r="R280" i="29"/>
  <c r="R316" i="29"/>
  <c r="R291" i="29"/>
  <c r="R375" i="29"/>
  <c r="R148" i="29"/>
  <c r="R172" i="29"/>
  <c r="R256" i="29"/>
  <c r="R303" i="29"/>
  <c r="R400" i="29"/>
  <c r="R448" i="29"/>
  <c r="R520" i="29"/>
  <c r="R173" i="29"/>
  <c r="R197" i="29"/>
  <c r="R245" i="29"/>
  <c r="R257" i="29"/>
  <c r="R341" i="29"/>
  <c r="R507" i="29"/>
  <c r="R244" i="29"/>
  <c r="R101" i="29"/>
  <c r="R113" i="29"/>
  <c r="R496" i="29"/>
  <c r="R569" i="29"/>
  <c r="R149" i="29"/>
  <c r="R317" i="29"/>
  <c r="R315" i="29"/>
  <c r="R484" i="29"/>
  <c r="R53" i="29"/>
  <c r="R77" i="29"/>
  <c r="R233" i="29"/>
  <c r="R293" i="29"/>
  <c r="R365" i="29"/>
  <c r="R377" i="29"/>
  <c r="R436" i="29"/>
  <c r="R29" i="29"/>
  <c r="R568" i="29"/>
  <c r="R88" i="29"/>
  <c r="R460" i="29"/>
  <c r="R544" i="29"/>
  <c r="R185" i="29"/>
  <c r="R209" i="29"/>
  <c r="R269" i="29"/>
  <c r="R376" i="29"/>
  <c r="R532" i="29"/>
  <c r="R19" i="29"/>
  <c r="R125" i="29"/>
  <c r="R305" i="29"/>
  <c r="R353" i="29"/>
  <c r="R327" i="29"/>
  <c r="R472" i="29"/>
  <c r="R508" i="29"/>
  <c r="R41" i="29"/>
  <c r="R89" i="29"/>
  <c r="R161" i="29"/>
  <c r="R329" i="29"/>
  <c r="R389" i="29"/>
  <c r="R100" i="29"/>
  <c r="R412" i="29"/>
  <c r="R424" i="29"/>
  <c r="R137" i="29"/>
  <c r="R473" i="29"/>
  <c r="R521" i="29"/>
  <c r="R20" i="29"/>
  <c r="R138" i="29"/>
  <c r="R258" i="29"/>
  <c r="R401" i="29"/>
  <c r="R54" i="29"/>
  <c r="R150" i="29"/>
  <c r="R342" i="29"/>
  <c r="R556" i="29"/>
  <c r="R497" i="29"/>
  <c r="R114" i="29"/>
  <c r="R234" i="29"/>
  <c r="R294" i="29"/>
  <c r="R318" i="29"/>
  <c r="R221" i="29"/>
  <c r="R413" i="29"/>
  <c r="R437" i="29"/>
  <c r="R449" i="29"/>
  <c r="R557" i="29"/>
  <c r="R570" i="29"/>
  <c r="R90" i="29"/>
  <c r="R186" i="29"/>
  <c r="R378" i="29"/>
  <c r="R65" i="29"/>
  <c r="R210" i="29"/>
  <c r="R270" i="29"/>
  <c r="R485" i="29"/>
  <c r="R66" i="29"/>
  <c r="R162" i="29"/>
  <c r="R354" i="29"/>
  <c r="R124" i="29"/>
  <c r="R461" i="29"/>
  <c r="R509" i="29"/>
  <c r="R126" i="29"/>
  <c r="R246" i="29"/>
  <c r="R42" i="29"/>
  <c r="R330" i="29"/>
  <c r="R402" i="29"/>
  <c r="R425" i="29"/>
  <c r="R533" i="29"/>
  <c r="R545" i="29"/>
  <c r="R78" i="29"/>
  <c r="R174" i="29"/>
  <c r="R198" i="29"/>
  <c r="R366" i="29"/>
  <c r="R281" i="29"/>
  <c r="R558" i="29"/>
  <c r="R31" i="29"/>
  <c r="R127" i="29"/>
  <c r="R247" i="29"/>
  <c r="R403" i="29"/>
  <c r="R426" i="29"/>
  <c r="R486" i="29"/>
  <c r="R79" i="29"/>
  <c r="R211" i="29"/>
  <c r="R331" i="29"/>
  <c r="R102" i="29"/>
  <c r="R462" i="29"/>
  <c r="R55" i="29"/>
  <c r="R388" i="29"/>
  <c r="R175" i="29"/>
  <c r="R199" i="29"/>
  <c r="R283" i="29"/>
  <c r="R355" i="29"/>
  <c r="R439" i="29"/>
  <c r="R451" i="29"/>
  <c r="R475" i="29"/>
  <c r="R222" i="29"/>
  <c r="R306" i="29"/>
  <c r="R390" i="29"/>
  <c r="R438" i="29"/>
  <c r="R546" i="29"/>
  <c r="R139" i="29"/>
  <c r="R307" i="29"/>
  <c r="R30" i="29"/>
  <c r="R510" i="29"/>
  <c r="R91" i="29"/>
  <c r="R151" i="29"/>
  <c r="R223" i="29"/>
  <c r="R259" i="29"/>
  <c r="R343" i="29"/>
  <c r="R415" i="29"/>
  <c r="R474" i="29"/>
  <c r="R115" i="29"/>
  <c r="R414" i="29"/>
  <c r="R450" i="29"/>
  <c r="R43" i="29"/>
  <c r="R67" i="29"/>
  <c r="R319" i="29"/>
  <c r="R282" i="29"/>
  <c r="R187" i="29"/>
  <c r="R235" i="29"/>
  <c r="R295" i="29"/>
  <c r="R498" i="29"/>
  <c r="R522" i="29"/>
  <c r="R103" i="29"/>
  <c r="R163" i="29"/>
  <c r="R271" i="29"/>
  <c r="R427" i="29"/>
  <c r="R32" i="29"/>
  <c r="R308" i="29"/>
  <c r="R332" i="29"/>
  <c r="R391" i="29"/>
  <c r="R80" i="29"/>
  <c r="R392" i="29"/>
  <c r="R22" i="29"/>
  <c r="R224" i="29"/>
  <c r="R440" i="29"/>
  <c r="R523" i="29"/>
  <c r="R56" i="29"/>
  <c r="R284" i="29"/>
  <c r="R368" i="29"/>
  <c r="R559" i="29"/>
  <c r="R140" i="29"/>
  <c r="R176" i="29"/>
  <c r="R200" i="29"/>
  <c r="R416" i="29"/>
  <c r="R464" i="29"/>
  <c r="R499" i="29"/>
  <c r="R463" i="29"/>
  <c r="R572" i="29"/>
  <c r="R236" i="29"/>
  <c r="R320" i="29"/>
  <c r="R68" i="29"/>
  <c r="R296" i="29"/>
  <c r="R380" i="29"/>
  <c r="R534" i="29"/>
  <c r="R487" i="29"/>
  <c r="R188" i="29"/>
  <c r="R212" i="29"/>
  <c r="R428" i="29"/>
  <c r="R476" i="29"/>
  <c r="R367" i="29"/>
  <c r="R511" i="29"/>
  <c r="R44" i="29"/>
  <c r="R248" i="29"/>
  <c r="R272" i="29"/>
  <c r="R356" i="29"/>
  <c r="R535" i="29"/>
  <c r="R116" i="29"/>
  <c r="R512" i="29"/>
  <c r="R548" i="29"/>
  <c r="R117" i="29"/>
  <c r="R465" i="29"/>
  <c r="R164" i="29"/>
  <c r="R213" i="29"/>
  <c r="R249" i="29"/>
  <c r="R297" i="29"/>
  <c r="R489" i="29"/>
  <c r="R379" i="29"/>
  <c r="R547" i="29"/>
  <c r="R260" i="29"/>
  <c r="R344" i="29"/>
  <c r="R404" i="29"/>
  <c r="R93" i="29"/>
  <c r="R189" i="29"/>
  <c r="R381" i="29"/>
  <c r="R453" i="29"/>
  <c r="R128" i="29"/>
  <c r="R165" i="29"/>
  <c r="R273" i="29"/>
  <c r="R357" i="29"/>
  <c r="R477" i="29"/>
  <c r="R524" i="29"/>
  <c r="R69" i="29"/>
  <c r="R309" i="29"/>
  <c r="R333" i="29"/>
  <c r="R429" i="29"/>
  <c r="R92" i="29"/>
  <c r="R33" i="29"/>
  <c r="R129" i="29"/>
  <c r="R500" i="29"/>
  <c r="R536" i="29"/>
  <c r="R560" i="29"/>
  <c r="R573" i="29"/>
  <c r="R45" i="29"/>
  <c r="R81" i="29"/>
  <c r="R225" i="29"/>
  <c r="R501" i="29"/>
  <c r="R23" i="29"/>
  <c r="R105" i="29"/>
  <c r="R104" i="29"/>
  <c r="R177" i="29"/>
  <c r="R201" i="29"/>
  <c r="R285" i="29"/>
  <c r="R152" i="29"/>
  <c r="R452" i="29"/>
  <c r="R345" i="29"/>
  <c r="R369" i="29"/>
  <c r="R441" i="29"/>
  <c r="R405" i="29"/>
  <c r="R24" i="29"/>
  <c r="R70" i="29"/>
  <c r="R238" i="29"/>
  <c r="R298" i="29"/>
  <c r="R382" i="29"/>
  <c r="R502" i="29"/>
  <c r="R490" i="29"/>
  <c r="R526" i="29"/>
  <c r="R537" i="29"/>
  <c r="R46" i="29"/>
  <c r="R214" i="29"/>
  <c r="R250" i="29"/>
  <c r="R274" i="29"/>
  <c r="R478" i="29"/>
  <c r="R525" i="29"/>
  <c r="R561" i="29"/>
  <c r="R106" i="29"/>
  <c r="R130" i="29"/>
  <c r="R406" i="29"/>
  <c r="R430" i="29"/>
  <c r="R562" i="29"/>
  <c r="R57" i="29"/>
  <c r="R321" i="29"/>
  <c r="R166" i="29"/>
  <c r="R334" i="29"/>
  <c r="R454" i="29"/>
  <c r="R538" i="29"/>
  <c r="R141" i="29"/>
  <c r="R261" i="29"/>
  <c r="R34" i="29"/>
  <c r="R82" i="29"/>
  <c r="R417" i="29"/>
  <c r="R549" i="29"/>
  <c r="R574" i="29"/>
  <c r="R310" i="29"/>
  <c r="R153" i="29"/>
  <c r="R237" i="29"/>
  <c r="R393" i="29"/>
  <c r="R58" i="29"/>
  <c r="R226" i="29"/>
  <c r="R286" i="29"/>
  <c r="R358" i="29"/>
  <c r="R370" i="29"/>
  <c r="R178" i="29"/>
  <c r="R190" i="29"/>
  <c r="R202" i="29"/>
  <c r="R262" i="29"/>
  <c r="R346" i="29"/>
  <c r="R466" i="29"/>
  <c r="R550" i="29"/>
  <c r="R95" i="29"/>
  <c r="R383" i="29"/>
  <c r="R419" i="29"/>
  <c r="R275" i="29"/>
  <c r="R299" i="29"/>
  <c r="R395" i="29"/>
  <c r="R515" i="29"/>
  <c r="R142" i="29"/>
  <c r="R18" i="29"/>
  <c r="R71" i="29"/>
  <c r="R155" i="29"/>
  <c r="R359" i="29"/>
  <c r="R479" i="29"/>
  <c r="R513" i="29"/>
  <c r="R131" i="29"/>
  <c r="R251" i="29"/>
  <c r="R514" i="29"/>
  <c r="R47" i="29"/>
  <c r="R215" i="29"/>
  <c r="R335" i="29"/>
  <c r="R407" i="29"/>
  <c r="R455" i="29"/>
  <c r="R107" i="29"/>
  <c r="R191" i="29"/>
  <c r="R239" i="29"/>
  <c r="R431" i="29"/>
  <c r="R118" i="29"/>
  <c r="R94" i="29"/>
  <c r="R322" i="29"/>
  <c r="R442" i="29"/>
  <c r="R83" i="29"/>
  <c r="R143" i="29"/>
  <c r="R167" i="29"/>
  <c r="R371" i="29"/>
  <c r="R154" i="29"/>
  <c r="R263" i="29"/>
  <c r="R503" i="29"/>
  <c r="R119" i="29"/>
  <c r="R179" i="29"/>
  <c r="R311" i="29"/>
  <c r="R443" i="29"/>
  <c r="R551" i="29"/>
  <c r="R36" i="29"/>
  <c r="R48" i="29"/>
  <c r="R108" i="29"/>
  <c r="R252" i="29"/>
  <c r="R276" i="29"/>
  <c r="R360" i="29"/>
  <c r="R408" i="29"/>
  <c r="R432" i="29"/>
  <c r="R528" i="29"/>
  <c r="R564" i="29"/>
  <c r="R216" i="29"/>
  <c r="R300" i="29"/>
  <c r="R491" i="29"/>
  <c r="R132" i="29"/>
  <c r="R180" i="29"/>
  <c r="R480" i="29"/>
  <c r="R488" i="29"/>
  <c r="R347" i="29"/>
  <c r="R539" i="29"/>
  <c r="R84" i="29"/>
  <c r="R336" i="29"/>
  <c r="R456" i="29"/>
  <c r="R492" i="29"/>
  <c r="R384" i="29"/>
  <c r="R156" i="29"/>
  <c r="R527" i="29"/>
  <c r="R240" i="29"/>
  <c r="R59" i="29"/>
  <c r="R60" i="29"/>
  <c r="R312" i="29"/>
  <c r="R504" i="29"/>
  <c r="R394" i="29"/>
  <c r="R168" i="29"/>
  <c r="R228" i="29"/>
  <c r="R288" i="29"/>
  <c r="R372" i="29"/>
  <c r="R444" i="29"/>
  <c r="R540" i="29"/>
  <c r="R35" i="29"/>
  <c r="R227" i="29"/>
  <c r="R323" i="29"/>
  <c r="R467" i="29"/>
  <c r="R563" i="29"/>
  <c r="R96" i="29"/>
  <c r="R264" i="29"/>
  <c r="R348" i="29"/>
  <c r="R396" i="29"/>
  <c r="R420" i="29"/>
  <c r="R468" i="29"/>
  <c r="R287" i="29"/>
  <c r="R120" i="29"/>
  <c r="R516" i="29"/>
  <c r="R418" i="29"/>
  <c r="R203" i="29"/>
  <c r="R72" i="29"/>
  <c r="R144" i="29"/>
  <c r="R192" i="29"/>
  <c r="R204" i="29"/>
  <c r="R324" i="29"/>
  <c r="R552" i="29"/>
  <c r="S10" i="29"/>
  <c r="S629" i="29" l="1"/>
  <c r="S626" i="29"/>
  <c r="S628" i="29"/>
  <c r="S630" i="29"/>
  <c r="S627" i="29"/>
  <c r="D5" i="30"/>
  <c r="S25" i="29"/>
  <c r="S28" i="29"/>
  <c r="S618" i="29"/>
  <c r="S623" i="29"/>
  <c r="S624" i="29"/>
  <c r="S617" i="29"/>
  <c r="S616" i="29"/>
  <c r="S612" i="29"/>
  <c r="S610" i="29"/>
  <c r="S609" i="29"/>
  <c r="S608" i="29"/>
  <c r="S600" i="29"/>
  <c r="S606" i="29"/>
  <c r="S607" i="29"/>
  <c r="S599" i="29"/>
  <c r="S587" i="29"/>
  <c r="S592" i="29"/>
  <c r="S605" i="29"/>
  <c r="S584" i="29"/>
  <c r="S613" i="29"/>
  <c r="S620" i="29"/>
  <c r="S585" i="29"/>
  <c r="S593" i="29"/>
  <c r="S615" i="29"/>
  <c r="S586" i="29"/>
  <c r="S604" i="29"/>
  <c r="S625" i="29"/>
  <c r="S619" i="29"/>
  <c r="S588" i="29"/>
  <c r="S622" i="29"/>
  <c r="S614" i="29"/>
  <c r="S590" i="29"/>
  <c r="S589" i="29"/>
  <c r="S601" i="29"/>
  <c r="S591" i="29"/>
  <c r="S602" i="29"/>
  <c r="S611" i="29"/>
  <c r="S594" i="29"/>
  <c r="S603" i="29"/>
  <c r="S598" i="29"/>
  <c r="S621" i="29"/>
  <c r="S596" i="29"/>
  <c r="S597" i="29"/>
  <c r="R4" i="29"/>
  <c r="E5" i="30" s="1"/>
  <c r="T9" i="29"/>
  <c r="S49" i="29"/>
  <c r="S145" i="29"/>
  <c r="S337" i="29"/>
  <c r="S457" i="29"/>
  <c r="S575" i="29"/>
  <c r="S37" i="29"/>
  <c r="S109" i="29"/>
  <c r="S565" i="29"/>
  <c r="S21" i="29"/>
  <c r="S229" i="29"/>
  <c r="S289" i="29"/>
  <c r="S313" i="29"/>
  <c r="S505" i="29"/>
  <c r="S541" i="29"/>
  <c r="S26" i="29"/>
  <c r="S50" i="29"/>
  <c r="S74" i="29"/>
  <c r="S85" i="29"/>
  <c r="S181" i="29"/>
  <c r="S205" i="29"/>
  <c r="S373" i="29"/>
  <c r="S433" i="29"/>
  <c r="S265" i="29"/>
  <c r="S349" i="29"/>
  <c r="S61" i="29"/>
  <c r="S157" i="29"/>
  <c r="S409" i="29"/>
  <c r="S469" i="29"/>
  <c r="S121" i="29"/>
  <c r="S193" i="29"/>
  <c r="S241" i="29"/>
  <c r="S493" i="29"/>
  <c r="S325" i="29"/>
  <c r="S517" i="29"/>
  <c r="S529" i="29"/>
  <c r="S553" i="29"/>
  <c r="S38" i="29"/>
  <c r="S97" i="29"/>
  <c r="S217" i="29"/>
  <c r="S385" i="29"/>
  <c r="S445" i="29"/>
  <c r="S277" i="29"/>
  <c r="S301" i="29"/>
  <c r="S421" i="29"/>
  <c r="S62" i="29"/>
  <c r="S73" i="29"/>
  <c r="S169" i="29"/>
  <c r="S361" i="29"/>
  <c r="S481" i="29"/>
  <c r="S133" i="29"/>
  <c r="S253" i="29"/>
  <c r="S397" i="29"/>
  <c r="S182" i="29"/>
  <c r="S290" i="29"/>
  <c r="S374" i="29"/>
  <c r="S446" i="29"/>
  <c r="S63" i="29"/>
  <c r="S362" i="29"/>
  <c r="S207" i="29"/>
  <c r="S98" i="29"/>
  <c r="S158" i="29"/>
  <c r="S266" i="29"/>
  <c r="S350" i="29"/>
  <c r="S422" i="29"/>
  <c r="S458" i="29"/>
  <c r="S183" i="29"/>
  <c r="S122" i="29"/>
  <c r="S398" i="29"/>
  <c r="S518" i="29"/>
  <c r="S99" i="29"/>
  <c r="S123" i="29"/>
  <c r="S146" i="29"/>
  <c r="S206" i="29"/>
  <c r="S230" i="29"/>
  <c r="S326" i="29"/>
  <c r="S554" i="29"/>
  <c r="S27" i="29"/>
  <c r="S159" i="29"/>
  <c r="S386" i="29"/>
  <c r="S494" i="29"/>
  <c r="S567" i="29"/>
  <c r="S75" i="29"/>
  <c r="S218" i="29"/>
  <c r="S470" i="29"/>
  <c r="S530" i="29"/>
  <c r="S17" i="29"/>
  <c r="S219" i="29"/>
  <c r="S170" i="29"/>
  <c r="S278" i="29"/>
  <c r="S434" i="29"/>
  <c r="S51" i="29"/>
  <c r="S195" i="29"/>
  <c r="S110" i="29"/>
  <c r="S134" i="29"/>
  <c r="S242" i="29"/>
  <c r="S410" i="29"/>
  <c r="S482" i="29"/>
  <c r="S135" i="29"/>
  <c r="S86" i="29"/>
  <c r="S194" i="29"/>
  <c r="S254" i="29"/>
  <c r="S338" i="29"/>
  <c r="S171" i="29"/>
  <c r="S302" i="29"/>
  <c r="S506" i="29"/>
  <c r="S87" i="29"/>
  <c r="S111" i="29"/>
  <c r="S64" i="29"/>
  <c r="S184" i="29"/>
  <c r="S208" i="29"/>
  <c r="S292" i="29"/>
  <c r="S147" i="29"/>
  <c r="S303" i="29"/>
  <c r="S327" i="29"/>
  <c r="S399" i="29"/>
  <c r="S555" i="29"/>
  <c r="S568" i="29"/>
  <c r="S387" i="29"/>
  <c r="S160" i="29"/>
  <c r="S244" i="29"/>
  <c r="S268" i="29"/>
  <c r="S231" i="29"/>
  <c r="S314" i="29"/>
  <c r="S39" i="29"/>
  <c r="S279" i="29"/>
  <c r="S363" i="29"/>
  <c r="S435" i="29"/>
  <c r="S495" i="29"/>
  <c r="S40" i="29"/>
  <c r="S124" i="29"/>
  <c r="S459" i="29"/>
  <c r="S483" i="29"/>
  <c r="S220" i="29"/>
  <c r="S255" i="29"/>
  <c r="S339" i="29"/>
  <c r="S411" i="29"/>
  <c r="S100" i="29"/>
  <c r="S304" i="29"/>
  <c r="S576" i="29"/>
  <c r="S172" i="29"/>
  <c r="S196" i="29"/>
  <c r="S280" i="29"/>
  <c r="S315" i="29"/>
  <c r="S543" i="29"/>
  <c r="S76" i="29"/>
  <c r="S340" i="29"/>
  <c r="S364" i="29"/>
  <c r="S291" i="29"/>
  <c r="S375" i="29"/>
  <c r="S507" i="29"/>
  <c r="S136" i="29"/>
  <c r="S256" i="29"/>
  <c r="S352" i="29"/>
  <c r="S542" i="29"/>
  <c r="S243" i="29"/>
  <c r="S267" i="29"/>
  <c r="S351" i="29"/>
  <c r="S423" i="29"/>
  <c r="S447" i="29"/>
  <c r="S519" i="29"/>
  <c r="S531" i="29"/>
  <c r="S112" i="29"/>
  <c r="S388" i="29"/>
  <c r="S472" i="29"/>
  <c r="S496" i="29"/>
  <c r="S89" i="29"/>
  <c r="S149" i="29"/>
  <c r="S317" i="29"/>
  <c r="S471" i="29"/>
  <c r="S544" i="29"/>
  <c r="S233" i="29"/>
  <c r="S293" i="29"/>
  <c r="S305" i="29"/>
  <c r="S365" i="29"/>
  <c r="S377" i="29"/>
  <c r="S436" i="29"/>
  <c r="S448" i="29"/>
  <c r="S65" i="29"/>
  <c r="S328" i="29"/>
  <c r="S185" i="29"/>
  <c r="S209" i="29"/>
  <c r="S269" i="29"/>
  <c r="S412" i="29"/>
  <c r="S41" i="29"/>
  <c r="S125" i="29"/>
  <c r="S245" i="29"/>
  <c r="S232" i="29"/>
  <c r="S484" i="29"/>
  <c r="S508" i="29"/>
  <c r="S532" i="29"/>
  <c r="S101" i="29"/>
  <c r="S161" i="29"/>
  <c r="S329" i="29"/>
  <c r="S353" i="29"/>
  <c r="S389" i="29"/>
  <c r="S460" i="29"/>
  <c r="S29" i="29"/>
  <c r="S77" i="29"/>
  <c r="S52" i="29"/>
  <c r="S376" i="29"/>
  <c r="S400" i="29"/>
  <c r="S221" i="29"/>
  <c r="S281" i="29"/>
  <c r="S556" i="29"/>
  <c r="S113" i="29"/>
  <c r="S148" i="29"/>
  <c r="S53" i="29"/>
  <c r="S401" i="29"/>
  <c r="S425" i="29"/>
  <c r="S449" i="29"/>
  <c r="S114" i="29"/>
  <c r="S198" i="29"/>
  <c r="S294" i="29"/>
  <c r="S318" i="29"/>
  <c r="S414" i="29"/>
  <c r="S137" i="29"/>
  <c r="S173" i="29"/>
  <c r="S570" i="29"/>
  <c r="S90" i="29"/>
  <c r="S174" i="29"/>
  <c r="S378" i="29"/>
  <c r="S257" i="29"/>
  <c r="S509" i="29"/>
  <c r="S270" i="29"/>
  <c r="S88" i="29"/>
  <c r="S520" i="29"/>
  <c r="S485" i="29"/>
  <c r="S66" i="29"/>
  <c r="S150" i="29"/>
  <c r="S234" i="29"/>
  <c r="S354" i="29"/>
  <c r="S341" i="29"/>
  <c r="S437" i="29"/>
  <c r="S461" i="29"/>
  <c r="S545" i="29"/>
  <c r="S126" i="29"/>
  <c r="S246" i="29"/>
  <c r="S402" i="29"/>
  <c r="S569" i="29"/>
  <c r="S42" i="29"/>
  <c r="S210" i="29"/>
  <c r="S330" i="29"/>
  <c r="S413" i="29"/>
  <c r="S102" i="29"/>
  <c r="S162" i="29"/>
  <c r="S186" i="29"/>
  <c r="S390" i="29"/>
  <c r="S30" i="29"/>
  <c r="S282" i="29"/>
  <c r="S306" i="29"/>
  <c r="S424" i="29"/>
  <c r="S19" i="29"/>
  <c r="S557" i="29"/>
  <c r="S54" i="29"/>
  <c r="S222" i="29"/>
  <c r="S342" i="29"/>
  <c r="S211" i="29"/>
  <c r="S391" i="29"/>
  <c r="S197" i="29"/>
  <c r="S438" i="29"/>
  <c r="S462" i="29"/>
  <c r="S571" i="29"/>
  <c r="S55" i="29"/>
  <c r="S355" i="29"/>
  <c r="S473" i="29"/>
  <c r="S138" i="29"/>
  <c r="S258" i="29"/>
  <c r="S498" i="29"/>
  <c r="S546" i="29"/>
  <c r="S139" i="29"/>
  <c r="S199" i="29"/>
  <c r="S510" i="29"/>
  <c r="S43" i="29"/>
  <c r="S91" i="29"/>
  <c r="S187" i="29"/>
  <c r="S259" i="29"/>
  <c r="S307" i="29"/>
  <c r="S343" i="29"/>
  <c r="S415" i="29"/>
  <c r="S463" i="29"/>
  <c r="S521" i="29"/>
  <c r="S115" i="29"/>
  <c r="S223" i="29"/>
  <c r="S78" i="29"/>
  <c r="S474" i="29"/>
  <c r="S67" i="29"/>
  <c r="S163" i="29"/>
  <c r="S319" i="29"/>
  <c r="S367" i="29"/>
  <c r="S533" i="29"/>
  <c r="S235" i="29"/>
  <c r="S295" i="29"/>
  <c r="S379" i="29"/>
  <c r="S497" i="29"/>
  <c r="S426" i="29"/>
  <c r="S450" i="29"/>
  <c r="S534" i="29"/>
  <c r="S247" i="29"/>
  <c r="S316" i="29"/>
  <c r="S522" i="29"/>
  <c r="S103" i="29"/>
  <c r="S271" i="29"/>
  <c r="S20" i="29"/>
  <c r="S486" i="29"/>
  <c r="S79" i="29"/>
  <c r="S175" i="29"/>
  <c r="S331" i="29"/>
  <c r="S224" i="29"/>
  <c r="S56" i="29"/>
  <c r="S284" i="29"/>
  <c r="S368" i="29"/>
  <c r="S92" i="29"/>
  <c r="S140" i="29"/>
  <c r="S176" i="29"/>
  <c r="S200" i="29"/>
  <c r="S440" i="29"/>
  <c r="S464" i="29"/>
  <c r="S31" i="29"/>
  <c r="S260" i="29"/>
  <c r="S344" i="29"/>
  <c r="S523" i="29"/>
  <c r="S116" i="29"/>
  <c r="S152" i="29"/>
  <c r="S416" i="29"/>
  <c r="S488" i="29"/>
  <c r="S558" i="29"/>
  <c r="S151" i="29"/>
  <c r="S475" i="29"/>
  <c r="S559" i="29"/>
  <c r="S572" i="29"/>
  <c r="S439" i="29"/>
  <c r="S487" i="29"/>
  <c r="S535" i="29"/>
  <c r="S22" i="29"/>
  <c r="S44" i="29"/>
  <c r="S188" i="29"/>
  <c r="S212" i="29"/>
  <c r="S476" i="29"/>
  <c r="S248" i="29"/>
  <c r="S272" i="29"/>
  <c r="S308" i="29"/>
  <c r="S356" i="29"/>
  <c r="S404" i="29"/>
  <c r="S32" i="29"/>
  <c r="S104" i="29"/>
  <c r="S128" i="29"/>
  <c r="S164" i="29"/>
  <c r="S428" i="29"/>
  <c r="S452" i="29"/>
  <c r="S512" i="29"/>
  <c r="S127" i="29"/>
  <c r="S283" i="29"/>
  <c r="S427" i="29"/>
  <c r="S547" i="29"/>
  <c r="S332" i="29"/>
  <c r="S68" i="29"/>
  <c r="S69" i="29"/>
  <c r="S165" i="29"/>
  <c r="S189" i="29"/>
  <c r="S273" i="29"/>
  <c r="S321" i="29"/>
  <c r="S381" i="29"/>
  <c r="S237" i="29"/>
  <c r="S357" i="29"/>
  <c r="S429" i="29"/>
  <c r="S451" i="29"/>
  <c r="S80" i="29"/>
  <c r="S33" i="29"/>
  <c r="S105" i="29"/>
  <c r="S129" i="29"/>
  <c r="S405" i="29"/>
  <c r="S499" i="29"/>
  <c r="S236" i="29"/>
  <c r="S320" i="29"/>
  <c r="S536" i="29"/>
  <c r="S560" i="29"/>
  <c r="S573" i="29"/>
  <c r="S213" i="29"/>
  <c r="S501" i="29"/>
  <c r="S23" i="29"/>
  <c r="S45" i="29"/>
  <c r="S81" i="29"/>
  <c r="S403" i="29"/>
  <c r="S296" i="29"/>
  <c r="S380" i="29"/>
  <c r="S177" i="29"/>
  <c r="S285" i="29"/>
  <c r="S333" i="29"/>
  <c r="S465" i="29"/>
  <c r="S366" i="29"/>
  <c r="S500" i="29"/>
  <c r="S201" i="29"/>
  <c r="S441" i="29"/>
  <c r="S511" i="29"/>
  <c r="S524" i="29"/>
  <c r="S141" i="29"/>
  <c r="S153" i="29"/>
  <c r="S261" i="29"/>
  <c r="S309" i="29"/>
  <c r="S369" i="29"/>
  <c r="S453" i="29"/>
  <c r="S57" i="29"/>
  <c r="S225" i="29"/>
  <c r="S417" i="29"/>
  <c r="S513" i="29"/>
  <c r="S46" i="29"/>
  <c r="S214" i="29"/>
  <c r="S250" i="29"/>
  <c r="S274" i="29"/>
  <c r="S358" i="29"/>
  <c r="S406" i="29"/>
  <c r="S478" i="29"/>
  <c r="S490" i="29"/>
  <c r="S514" i="29"/>
  <c r="S249" i="29"/>
  <c r="S537" i="29"/>
  <c r="S106" i="29"/>
  <c r="S130" i="29"/>
  <c r="S430" i="29"/>
  <c r="S345" i="29"/>
  <c r="S525" i="29"/>
  <c r="S166" i="29"/>
  <c r="S334" i="29"/>
  <c r="S454" i="29"/>
  <c r="S550" i="29"/>
  <c r="S93" i="29"/>
  <c r="S34" i="29"/>
  <c r="S82" i="29"/>
  <c r="S561" i="29"/>
  <c r="S574" i="29"/>
  <c r="S310" i="29"/>
  <c r="S562" i="29"/>
  <c r="S297" i="29"/>
  <c r="S549" i="29"/>
  <c r="S58" i="29"/>
  <c r="S226" i="29"/>
  <c r="S286" i="29"/>
  <c r="S370" i="29"/>
  <c r="S394" i="29"/>
  <c r="S142" i="29"/>
  <c r="S442" i="29"/>
  <c r="S526" i="29"/>
  <c r="S178" i="29"/>
  <c r="S202" i="29"/>
  <c r="S262" i="29"/>
  <c r="S346" i="29"/>
  <c r="S466" i="29"/>
  <c r="S154" i="29"/>
  <c r="S322" i="29"/>
  <c r="S18" i="29"/>
  <c r="S71" i="29"/>
  <c r="S359" i="29"/>
  <c r="S395" i="29"/>
  <c r="S392" i="29"/>
  <c r="S502" i="29"/>
  <c r="S131" i="29"/>
  <c r="S155" i="29"/>
  <c r="S491" i="29"/>
  <c r="S47" i="29"/>
  <c r="S215" i="29"/>
  <c r="S335" i="29"/>
  <c r="S479" i="29"/>
  <c r="S107" i="29"/>
  <c r="S431" i="29"/>
  <c r="S117" i="29"/>
  <c r="S24" i="29"/>
  <c r="S538" i="29"/>
  <c r="S35" i="29"/>
  <c r="S191" i="29"/>
  <c r="S239" i="29"/>
  <c r="S251" i="29"/>
  <c r="S275" i="29"/>
  <c r="S311" i="29"/>
  <c r="S527" i="29"/>
  <c r="S539" i="29"/>
  <c r="S118" i="29"/>
  <c r="S83" i="29"/>
  <c r="S371" i="29"/>
  <c r="S455" i="29"/>
  <c r="S548" i="29"/>
  <c r="S94" i="29"/>
  <c r="S393" i="29"/>
  <c r="S238" i="29"/>
  <c r="S59" i="29"/>
  <c r="S227" i="29"/>
  <c r="S347" i="29"/>
  <c r="S467" i="29"/>
  <c r="S70" i="29"/>
  <c r="S298" i="29"/>
  <c r="S382" i="29"/>
  <c r="S119" i="29"/>
  <c r="S443" i="29"/>
  <c r="S383" i="29"/>
  <c r="S515" i="29"/>
  <c r="S168" i="29"/>
  <c r="S336" i="29"/>
  <c r="S456" i="29"/>
  <c r="S252" i="29"/>
  <c r="S396" i="29"/>
  <c r="S516" i="29"/>
  <c r="S60" i="29"/>
  <c r="S504" i="29"/>
  <c r="S120" i="29"/>
  <c r="S96" i="29"/>
  <c r="S144" i="29"/>
  <c r="S240" i="29"/>
  <c r="S312" i="29"/>
  <c r="S528" i="29"/>
  <c r="S263" i="29"/>
  <c r="S48" i="29"/>
  <c r="S300" i="29"/>
  <c r="S132" i="29"/>
  <c r="S360" i="29"/>
  <c r="S480" i="29"/>
  <c r="S72" i="29"/>
  <c r="S228" i="29"/>
  <c r="S288" i="29"/>
  <c r="S372" i="29"/>
  <c r="S444" i="29"/>
  <c r="S407" i="29"/>
  <c r="S432" i="29"/>
  <c r="S179" i="29"/>
  <c r="S540" i="29"/>
  <c r="S477" i="29"/>
  <c r="S190" i="29"/>
  <c r="S143" i="29"/>
  <c r="S167" i="29"/>
  <c r="S287" i="29"/>
  <c r="S323" i="29"/>
  <c r="S503" i="29"/>
  <c r="S563" i="29"/>
  <c r="S180" i="29"/>
  <c r="S204" i="29"/>
  <c r="S264" i="29"/>
  <c r="S348" i="29"/>
  <c r="S420" i="29"/>
  <c r="S468" i="29"/>
  <c r="S564" i="29"/>
  <c r="S489" i="29"/>
  <c r="S203" i="29"/>
  <c r="S299" i="29"/>
  <c r="S108" i="29"/>
  <c r="S156" i="29"/>
  <c r="S192" i="29"/>
  <c r="S324" i="29"/>
  <c r="S552" i="29"/>
  <c r="S36" i="29"/>
  <c r="S418" i="29"/>
  <c r="S384" i="29"/>
  <c r="S492" i="29"/>
  <c r="S84" i="29"/>
  <c r="S408" i="29"/>
  <c r="S95" i="29"/>
  <c r="S551" i="29"/>
  <c r="S216" i="29"/>
  <c r="S276" i="29"/>
  <c r="S419" i="29"/>
  <c r="S580" i="29"/>
  <c r="S595" i="29"/>
  <c r="S579" i="29"/>
  <c r="S581" i="29"/>
  <c r="S578" i="29"/>
  <c r="S577" i="29"/>
  <c r="S583" i="29"/>
  <c r="S566" i="29"/>
  <c r="S582" i="29"/>
  <c r="T10" i="29" l="1"/>
  <c r="T594" i="29" s="1"/>
  <c r="S4" i="29"/>
  <c r="F5" i="30" s="1"/>
  <c r="T626" i="29" l="1"/>
  <c r="T629" i="29"/>
  <c r="T627" i="29"/>
  <c r="T630" i="29"/>
  <c r="T628" i="29"/>
  <c r="T25" i="29"/>
  <c r="T28" i="29"/>
  <c r="T624" i="29"/>
  <c r="T623" i="29"/>
  <c r="T618" i="29"/>
  <c r="T617" i="29"/>
  <c r="T616" i="29"/>
  <c r="T610" i="29"/>
  <c r="T612" i="29"/>
  <c r="T609" i="29"/>
  <c r="T600" i="29"/>
  <c r="T607" i="29"/>
  <c r="T608" i="29"/>
  <c r="T606" i="29"/>
  <c r="T515" i="29"/>
  <c r="T456" i="29"/>
  <c r="T347" i="29"/>
  <c r="T70" i="29"/>
  <c r="T93" i="29"/>
  <c r="T420" i="29"/>
  <c r="T371" i="29"/>
  <c r="T403" i="29"/>
  <c r="T442" i="29"/>
  <c r="T406" i="29"/>
  <c r="T192" i="29"/>
  <c r="T335" i="29"/>
  <c r="T336" i="29"/>
  <c r="T224" i="29"/>
  <c r="T286" i="29"/>
  <c r="T393" i="29"/>
  <c r="T156" i="29"/>
  <c r="T359" i="29"/>
  <c r="T44" i="29"/>
  <c r="T504" i="29"/>
  <c r="T443" i="29"/>
  <c r="T490" i="29"/>
  <c r="T23" i="29"/>
  <c r="T394" i="29"/>
  <c r="T167" i="29"/>
  <c r="T237" i="29"/>
  <c r="T251" i="29"/>
  <c r="T106" i="29"/>
  <c r="T528" i="29"/>
  <c r="T154" i="29"/>
  <c r="T380" i="29"/>
  <c r="T467" i="29"/>
  <c r="T418" i="29"/>
  <c r="T155" i="29"/>
  <c r="T96" i="29"/>
  <c r="T468" i="29"/>
  <c r="T492" i="29"/>
  <c r="T372" i="29"/>
  <c r="T299" i="29"/>
  <c r="T238" i="29"/>
  <c r="T239" i="29"/>
  <c r="T215" i="29"/>
  <c r="T118" i="29"/>
  <c r="T226" i="29"/>
  <c r="T454" i="29"/>
  <c r="T141" i="29"/>
  <c r="T309" i="29"/>
  <c r="T80" i="29"/>
  <c r="T104" i="29"/>
  <c r="T476" i="29"/>
  <c r="T559" i="29"/>
  <c r="T427" i="29"/>
  <c r="T176" i="29"/>
  <c r="T558" i="29"/>
  <c r="T449" i="29"/>
  <c r="T43" i="29"/>
  <c r="T91" i="29"/>
  <c r="T496" i="29"/>
  <c r="T390" i="29"/>
  <c r="T354" i="29"/>
  <c r="T570" i="29"/>
  <c r="T340" i="29"/>
  <c r="T29" i="29"/>
  <c r="T161" i="29"/>
  <c r="T484" i="29"/>
  <c r="T207" i="29"/>
  <c r="T399" i="29"/>
  <c r="T304" i="29"/>
  <c r="T279" i="29"/>
  <c r="T374" i="29"/>
  <c r="T542" i="29"/>
  <c r="T434" i="29"/>
  <c r="T159" i="29"/>
  <c r="T554" i="29"/>
  <c r="T49" i="29"/>
  <c r="T301" i="29"/>
  <c r="T193" i="29"/>
  <c r="T373" i="29"/>
  <c r="T578" i="29"/>
  <c r="T601" i="29"/>
  <c r="T591" i="29"/>
  <c r="T561" i="29"/>
  <c r="T199" i="29"/>
  <c r="T533" i="29"/>
  <c r="T437" i="29"/>
  <c r="T329" i="29"/>
  <c r="T328" i="29"/>
  <c r="T111" i="29"/>
  <c r="T146" i="29"/>
  <c r="T337" i="29"/>
  <c r="T325" i="29"/>
  <c r="T383" i="29"/>
  <c r="T311" i="29"/>
  <c r="T71" i="29"/>
  <c r="T478" i="29"/>
  <c r="T94" i="29"/>
  <c r="T58" i="29"/>
  <c r="T334" i="29"/>
  <c r="T548" i="29"/>
  <c r="T57" i="29"/>
  <c r="T573" i="29"/>
  <c r="T535" i="29"/>
  <c r="T547" i="29"/>
  <c r="T416" i="29"/>
  <c r="T463" i="29"/>
  <c r="T152" i="29"/>
  <c r="T140" i="29"/>
  <c r="T271" i="29"/>
  <c r="T295" i="29"/>
  <c r="T486" i="29"/>
  <c r="T366" i="29"/>
  <c r="T102" i="29"/>
  <c r="T234" i="29"/>
  <c r="T401" i="29"/>
  <c r="T447" i="29"/>
  <c r="T556" i="29"/>
  <c r="T101" i="29"/>
  <c r="T388" i="29"/>
  <c r="T112" i="29"/>
  <c r="T364" i="29"/>
  <c r="T280" i="29"/>
  <c r="T362" i="29"/>
  <c r="T194" i="29"/>
  <c r="T278" i="29"/>
  <c r="T99" i="29"/>
  <c r="T470" i="29"/>
  <c r="T37" i="29"/>
  <c r="T277" i="29"/>
  <c r="T169" i="29"/>
  <c r="T583" i="29"/>
  <c r="T589" i="29"/>
  <c r="T586" i="29"/>
  <c r="T153" i="29"/>
  <c r="T92" i="29"/>
  <c r="T115" i="29"/>
  <c r="T90" i="29"/>
  <c r="T185" i="29"/>
  <c r="T363" i="29"/>
  <c r="T17" i="29"/>
  <c r="T214" i="29"/>
  <c r="T537" i="29"/>
  <c r="T513" i="29"/>
  <c r="T560" i="29"/>
  <c r="T525" i="29"/>
  <c r="T355" i="29"/>
  <c r="T164" i="29"/>
  <c r="T343" i="29"/>
  <c r="T116" i="29"/>
  <c r="T22" i="29"/>
  <c r="T211" i="29"/>
  <c r="T247" i="29"/>
  <c r="T342" i="29"/>
  <c r="T282" i="29"/>
  <c r="T78" i="29"/>
  <c r="T413" i="29"/>
  <c r="T66" i="29"/>
  <c r="T377" i="29"/>
  <c r="T411" i="29"/>
  <c r="T472" i="29"/>
  <c r="T569" i="29"/>
  <c r="T184" i="29"/>
  <c r="T88" i="29"/>
  <c r="T256" i="29"/>
  <c r="T220" i="29"/>
  <c r="T242" i="29"/>
  <c r="T290" i="29"/>
  <c r="T171" i="29"/>
  <c r="T218" i="29"/>
  <c r="T75" i="29"/>
  <c r="T422" i="29"/>
  <c r="T50" i="29"/>
  <c r="T385" i="29"/>
  <c r="T241" i="29"/>
  <c r="T85" i="29"/>
  <c r="T580" i="29"/>
  <c r="T615" i="29"/>
  <c r="T619" i="29"/>
  <c r="T392" i="29"/>
  <c r="T200" i="29"/>
  <c r="T223" i="29"/>
  <c r="T520" i="29"/>
  <c r="T327" i="29"/>
  <c r="T446" i="29"/>
  <c r="T195" i="29"/>
  <c r="T62" i="29"/>
  <c r="T603" i="29"/>
  <c r="T83" i="29"/>
  <c r="T552" i="29"/>
  <c r="T227" i="29"/>
  <c r="T166" i="29"/>
  <c r="T480" i="29"/>
  <c r="T516" i="29"/>
  <c r="T384" i="29"/>
  <c r="T455" i="29"/>
  <c r="T24" i="29"/>
  <c r="T549" i="29"/>
  <c r="T346" i="29"/>
  <c r="T441" i="29"/>
  <c r="T489" i="29"/>
  <c r="T417" i="29"/>
  <c r="T285" i="29"/>
  <c r="T536" i="29"/>
  <c r="T429" i="29"/>
  <c r="T54" i="29"/>
  <c r="T128" i="29"/>
  <c r="T67" i="29"/>
  <c r="T259" i="29"/>
  <c r="T391" i="29"/>
  <c r="T187" i="29"/>
  <c r="T235" i="29"/>
  <c r="T222" i="29"/>
  <c r="T495" i="29"/>
  <c r="T509" i="29"/>
  <c r="T330" i="29"/>
  <c r="T521" i="29"/>
  <c r="T293" i="29"/>
  <c r="T137" i="29"/>
  <c r="T40" i="29"/>
  <c r="T508" i="29"/>
  <c r="T65" i="29"/>
  <c r="T52" i="29"/>
  <c r="T136" i="29"/>
  <c r="T172" i="29"/>
  <c r="T316" i="29"/>
  <c r="T158" i="29"/>
  <c r="T458" i="29"/>
  <c r="T182" i="29"/>
  <c r="T27" i="29"/>
  <c r="T266" i="29"/>
  <c r="T409" i="29"/>
  <c r="T181" i="29"/>
  <c r="T205" i="29"/>
  <c r="T74" i="29"/>
  <c r="T581" i="29"/>
  <c r="T592" i="29"/>
  <c r="T33" i="29"/>
  <c r="T31" i="29"/>
  <c r="T77" i="29"/>
  <c r="T587" i="29"/>
  <c r="T444" i="29"/>
  <c r="T358" i="29"/>
  <c r="T348" i="29"/>
  <c r="T430" i="29"/>
  <c r="T369" i="29"/>
  <c r="T108" i="29"/>
  <c r="T264" i="29"/>
  <c r="T36" i="29"/>
  <c r="T143" i="29"/>
  <c r="T132" i="29"/>
  <c r="T323" i="29"/>
  <c r="T240" i="29"/>
  <c r="T204" i="29"/>
  <c r="T551" i="29"/>
  <c r="T540" i="29"/>
  <c r="T395" i="29"/>
  <c r="T47" i="29"/>
  <c r="T527" i="29"/>
  <c r="T273" i="29"/>
  <c r="T262" i="29"/>
  <c r="T538" i="29"/>
  <c r="T321" i="29"/>
  <c r="T345" i="29"/>
  <c r="T177" i="29"/>
  <c r="T465" i="29"/>
  <c r="T189" i="29"/>
  <c r="T524" i="29"/>
  <c r="T188" i="29"/>
  <c r="T512" i="29"/>
  <c r="T344" i="29"/>
  <c r="T175" i="29"/>
  <c r="T79" i="29"/>
  <c r="T319" i="29"/>
  <c r="T510" i="29"/>
  <c r="T414" i="29"/>
  <c r="T292" i="29"/>
  <c r="T294" i="29"/>
  <c r="T485" i="29"/>
  <c r="T233" i="29"/>
  <c r="T53" i="29"/>
  <c r="T519" i="29"/>
  <c r="T245" i="29"/>
  <c r="T436" i="29"/>
  <c r="T351" i="29"/>
  <c r="T375" i="29"/>
  <c r="T148" i="29"/>
  <c r="T268" i="29"/>
  <c r="T231" i="29"/>
  <c r="T338" i="29"/>
  <c r="T219" i="29"/>
  <c r="T494" i="29"/>
  <c r="T98" i="29"/>
  <c r="T253" i="29"/>
  <c r="T97" i="29"/>
  <c r="T121" i="29"/>
  <c r="T26" i="29"/>
  <c r="T577" i="29"/>
  <c r="T625" i="29"/>
  <c r="T593" i="29"/>
  <c r="T473" i="29"/>
  <c r="T566" i="29"/>
  <c r="T59" i="29"/>
  <c r="T432" i="29"/>
  <c r="T360" i="29"/>
  <c r="T228" i="29"/>
  <c r="T48" i="29"/>
  <c r="T120" i="29"/>
  <c r="T180" i="29"/>
  <c r="T119" i="29"/>
  <c r="T312" i="29"/>
  <c r="T287" i="29"/>
  <c r="T45" i="29"/>
  <c r="T407" i="29"/>
  <c r="T550" i="29"/>
  <c r="T202" i="29"/>
  <c r="T310" i="29"/>
  <c r="T297" i="29"/>
  <c r="T440" i="29"/>
  <c r="T249" i="29"/>
  <c r="T453" i="29"/>
  <c r="T368" i="29"/>
  <c r="T500" i="29"/>
  <c r="T487" i="29"/>
  <c r="T488" i="29"/>
  <c r="T260" i="29"/>
  <c r="T438" i="29"/>
  <c r="T522" i="29"/>
  <c r="T151" i="29"/>
  <c r="T462" i="29"/>
  <c r="T318" i="29"/>
  <c r="T306" i="29"/>
  <c r="T210" i="29"/>
  <c r="T459" i="29"/>
  <c r="T448" i="29"/>
  <c r="T19" i="29"/>
  <c r="T483" i="29"/>
  <c r="T125" i="29"/>
  <c r="T244" i="29"/>
  <c r="T267" i="29"/>
  <c r="T303" i="29"/>
  <c r="T76" i="29"/>
  <c r="T160" i="29"/>
  <c r="T147" i="29"/>
  <c r="T254" i="29"/>
  <c r="T518" i="29"/>
  <c r="T326" i="29"/>
  <c r="T565" i="29"/>
  <c r="T217" i="29"/>
  <c r="T86" i="29"/>
  <c r="T575" i="29"/>
  <c r="T541" i="29"/>
  <c r="T582" i="29"/>
  <c r="T598" i="29"/>
  <c r="T602" i="29"/>
  <c r="T165" i="29"/>
  <c r="T203" i="29"/>
  <c r="T275" i="29"/>
  <c r="T178" i="29"/>
  <c r="T212" i="29"/>
  <c r="T356" i="29"/>
  <c r="T213" i="29"/>
  <c r="T405" i="29"/>
  <c r="T284" i="29"/>
  <c r="T332" i="29"/>
  <c r="T379" i="29"/>
  <c r="T464" i="29"/>
  <c r="T56" i="29"/>
  <c r="T331" i="29"/>
  <c r="T450" i="29"/>
  <c r="T103" i="29"/>
  <c r="T439" i="29"/>
  <c r="T198" i="29"/>
  <c r="T270" i="29"/>
  <c r="T42" i="29"/>
  <c r="T402" i="29"/>
  <c r="T400" i="29"/>
  <c r="T424" i="29"/>
  <c r="T389" i="29"/>
  <c r="T41" i="29"/>
  <c r="T208" i="29"/>
  <c r="T63" i="29"/>
  <c r="T291" i="29"/>
  <c r="T435" i="29"/>
  <c r="T568" i="29"/>
  <c r="T87" i="29"/>
  <c r="T135" i="29"/>
  <c r="T51" i="29"/>
  <c r="T123" i="29"/>
  <c r="T145" i="29"/>
  <c r="T133" i="29"/>
  <c r="T38" i="29"/>
  <c r="T493" i="29"/>
  <c r="T505" i="29"/>
  <c r="T579" i="29"/>
  <c r="T604" i="29"/>
  <c r="T599" i="29"/>
  <c r="T333" i="29"/>
  <c r="T475" i="29"/>
  <c r="T113" i="29"/>
  <c r="T471" i="29"/>
  <c r="T229" i="29"/>
  <c r="T107" i="29"/>
  <c r="T288" i="29"/>
  <c r="T300" i="29"/>
  <c r="T466" i="29"/>
  <c r="T72" i="29"/>
  <c r="T539" i="29"/>
  <c r="T263" i="29"/>
  <c r="T130" i="29"/>
  <c r="T144" i="29"/>
  <c r="T503" i="29"/>
  <c r="T502" i="29"/>
  <c r="T574" i="29"/>
  <c r="U9" i="29"/>
  <c r="T408" i="29"/>
  <c r="T274" i="29"/>
  <c r="T526" i="29"/>
  <c r="T563" i="29"/>
  <c r="T60" i="29"/>
  <c r="T84" i="29"/>
  <c r="T179" i="29"/>
  <c r="T479" i="29"/>
  <c r="T191" i="29"/>
  <c r="T322" i="29"/>
  <c r="T142" i="29"/>
  <c r="T562" i="29"/>
  <c r="T68" i="29"/>
  <c r="T272" i="29"/>
  <c r="T81" i="29"/>
  <c r="T357" i="29"/>
  <c r="T308" i="29"/>
  <c r="T248" i="29"/>
  <c r="T452" i="29"/>
  <c r="T320" i="29"/>
  <c r="T523" i="29"/>
  <c r="T163" i="29"/>
  <c r="T55" i="29"/>
  <c r="T474" i="29"/>
  <c r="T139" i="29"/>
  <c r="T89" i="29"/>
  <c r="T186" i="29"/>
  <c r="T150" i="29"/>
  <c r="T258" i="29"/>
  <c r="T341" i="29"/>
  <c r="T376" i="29"/>
  <c r="T305" i="29"/>
  <c r="T412" i="29"/>
  <c r="T232" i="29"/>
  <c r="T352" i="29"/>
  <c r="T243" i="29"/>
  <c r="T339" i="29"/>
  <c r="T531" i="29"/>
  <c r="T576" i="29"/>
  <c r="T482" i="29"/>
  <c r="T567" i="29"/>
  <c r="T398" i="29"/>
  <c r="T109" i="29"/>
  <c r="T481" i="29"/>
  <c r="T553" i="29"/>
  <c r="T469" i="29"/>
  <c r="T349" i="29"/>
  <c r="T595" i="29"/>
  <c r="T611" i="29"/>
  <c r="T588" i="29"/>
  <c r="T613" i="29"/>
  <c r="T590" i="29"/>
  <c r="T614" i="29"/>
  <c r="T584" i="29"/>
  <c r="T498" i="29"/>
  <c r="T546" i="29"/>
  <c r="T162" i="29"/>
  <c r="T246" i="29"/>
  <c r="T365" i="29"/>
  <c r="T353" i="29"/>
  <c r="T196" i="29"/>
  <c r="T255" i="29"/>
  <c r="T530" i="29"/>
  <c r="T350" i="29"/>
  <c r="T445" i="29"/>
  <c r="T252" i="29"/>
  <c r="T95" i="29"/>
  <c r="T382" i="29"/>
  <c r="T69" i="29"/>
  <c r="T82" i="29"/>
  <c r="T225" i="29"/>
  <c r="T501" i="29"/>
  <c r="T129" i="29"/>
  <c r="T571" i="29"/>
  <c r="T32" i="29"/>
  <c r="T296" i="29"/>
  <c r="T572" i="29"/>
  <c r="T425" i="29"/>
  <c r="T307" i="29"/>
  <c r="T426" i="29"/>
  <c r="T451" i="29"/>
  <c r="T545" i="29"/>
  <c r="T20" i="29"/>
  <c r="T30" i="29"/>
  <c r="T557" i="29"/>
  <c r="T174" i="29"/>
  <c r="T197" i="29"/>
  <c r="T281" i="29"/>
  <c r="T532" i="29"/>
  <c r="T269" i="29"/>
  <c r="T555" i="29"/>
  <c r="T315" i="29"/>
  <c r="T124" i="29"/>
  <c r="T230" i="29"/>
  <c r="T314" i="29"/>
  <c r="T134" i="29"/>
  <c r="T206" i="29"/>
  <c r="T122" i="29"/>
  <c r="T433" i="29"/>
  <c r="T157" i="29"/>
  <c r="T517" i="29"/>
  <c r="T61" i="29"/>
  <c r="T289" i="29"/>
  <c r="T597" i="29"/>
  <c r="T622" i="29"/>
  <c r="T620" i="29"/>
  <c r="T585" i="29"/>
  <c r="T367" i="29"/>
  <c r="T534" i="29"/>
  <c r="T317" i="29"/>
  <c r="T138" i="29"/>
  <c r="T126" i="29"/>
  <c r="T257" i="29"/>
  <c r="T544" i="29"/>
  <c r="T64" i="29"/>
  <c r="T543" i="29"/>
  <c r="T387" i="29"/>
  <c r="T410" i="29"/>
  <c r="T386" i="29"/>
  <c r="T457" i="29"/>
  <c r="T361" i="29"/>
  <c r="T529" i="29"/>
  <c r="T313" i="29"/>
  <c r="T276" i="29"/>
  <c r="T396" i="29"/>
  <c r="T190" i="29"/>
  <c r="T250" i="29"/>
  <c r="T18" i="29"/>
  <c r="T131" i="29"/>
  <c r="T35" i="29"/>
  <c r="T381" i="29"/>
  <c r="T261" i="29"/>
  <c r="T168" i="29"/>
  <c r="T216" i="29"/>
  <c r="T324" i="29"/>
  <c r="T491" i="29"/>
  <c r="T46" i="29"/>
  <c r="T564" i="29"/>
  <c r="T419" i="29"/>
  <c r="T298" i="29"/>
  <c r="T431" i="29"/>
  <c r="T514" i="29"/>
  <c r="T370" i="29"/>
  <c r="T34" i="29"/>
  <c r="T117" i="29"/>
  <c r="T201" i="29"/>
  <c r="T477" i="29"/>
  <c r="T105" i="29"/>
  <c r="T404" i="29"/>
  <c r="T511" i="29"/>
  <c r="T236" i="29"/>
  <c r="T499" i="29"/>
  <c r="T428" i="29"/>
  <c r="T127" i="29"/>
  <c r="T114" i="29"/>
  <c r="T415" i="29"/>
  <c r="T283" i="29"/>
  <c r="T497" i="29"/>
  <c r="T149" i="29"/>
  <c r="T461" i="29"/>
  <c r="T378" i="29"/>
  <c r="T173" i="29"/>
  <c r="T221" i="29"/>
  <c r="T460" i="29"/>
  <c r="T209" i="29"/>
  <c r="T423" i="29"/>
  <c r="T507" i="29"/>
  <c r="T506" i="29"/>
  <c r="T100" i="29"/>
  <c r="T39" i="29"/>
  <c r="T302" i="29"/>
  <c r="T110" i="29"/>
  <c r="T170" i="29"/>
  <c r="T183" i="29"/>
  <c r="T397" i="29"/>
  <c r="T73" i="29"/>
  <c r="T421" i="29"/>
  <c r="T265" i="29"/>
  <c r="T21" i="29"/>
  <c r="T596" i="29"/>
  <c r="T621" i="29"/>
  <c r="T605" i="29"/>
  <c r="U10" i="29" l="1"/>
  <c r="U596" i="29" s="1"/>
  <c r="T4" i="29"/>
  <c r="U575" i="29" l="1"/>
  <c r="U136" i="29"/>
  <c r="U431" i="29"/>
  <c r="U205" i="29"/>
  <c r="U365" i="29"/>
  <c r="U472" i="29"/>
  <c r="U626" i="29"/>
  <c r="U629" i="29"/>
  <c r="U522" i="29"/>
  <c r="U630" i="29"/>
  <c r="U39" i="29"/>
  <c r="U100" i="29"/>
  <c r="U395" i="29"/>
  <c r="U131" i="29"/>
  <c r="U480" i="29"/>
  <c r="U485" i="29"/>
  <c r="U627" i="29"/>
  <c r="U577" i="29"/>
  <c r="U247" i="29"/>
  <c r="U628" i="29"/>
  <c r="G5" i="30"/>
  <c r="U228" i="29"/>
  <c r="U405" i="29"/>
  <c r="U25" i="29"/>
  <c r="U108" i="29"/>
  <c r="U28" i="29"/>
  <c r="U251" i="29"/>
  <c r="U288" i="29"/>
  <c r="U590" i="29"/>
  <c r="U266" i="29"/>
  <c r="U252" i="29"/>
  <c r="U244" i="29"/>
  <c r="U372" i="29"/>
  <c r="U530" i="29"/>
  <c r="U556" i="29"/>
  <c r="U580" i="29"/>
  <c r="U128" i="29"/>
  <c r="U62" i="29"/>
  <c r="U265" i="29"/>
  <c r="U267" i="29"/>
  <c r="U517" i="29"/>
  <c r="U473" i="29"/>
  <c r="U76" i="29"/>
  <c r="U301" i="29"/>
  <c r="U315" i="29"/>
  <c r="U125" i="29"/>
  <c r="U29" i="29"/>
  <c r="U127" i="29"/>
  <c r="U214" i="29"/>
  <c r="U84" i="29"/>
  <c r="U154" i="29"/>
  <c r="U52" i="29"/>
  <c r="U110" i="29"/>
  <c r="U217" i="29"/>
  <c r="U579" i="29"/>
  <c r="U259" i="29"/>
  <c r="U40" i="29"/>
  <c r="U340" i="29"/>
  <c r="U292" i="29"/>
  <c r="U41" i="29"/>
  <c r="U520" i="29"/>
  <c r="U282" i="29"/>
  <c r="U445" i="29"/>
  <c r="U456" i="29"/>
  <c r="U432" i="29"/>
  <c r="U253" i="29"/>
  <c r="U479" i="29"/>
  <c r="U17" i="29"/>
  <c r="U302" i="29"/>
  <c r="U49" i="29"/>
  <c r="U98" i="29"/>
  <c r="U512" i="29"/>
  <c r="U355" i="29"/>
  <c r="U184" i="29"/>
  <c r="U412" i="29"/>
  <c r="U353" i="29"/>
  <c r="U89" i="29"/>
  <c r="U22" i="29"/>
  <c r="U434" i="29"/>
  <c r="U549" i="29"/>
  <c r="V9" i="29"/>
  <c r="U544" i="29"/>
  <c r="U550" i="29"/>
  <c r="U576" i="29"/>
  <c r="U196" i="29"/>
  <c r="U229" i="29"/>
  <c r="U319" i="29"/>
  <c r="U331" i="29"/>
  <c r="U427" i="29"/>
  <c r="U463" i="29"/>
  <c r="U438" i="29"/>
  <c r="U91" i="29"/>
  <c r="U526" i="29"/>
  <c r="U208" i="29"/>
  <c r="U180" i="29"/>
  <c r="U540" i="29"/>
  <c r="U571" i="29"/>
  <c r="U506" i="29"/>
  <c r="U86" i="29"/>
  <c r="U235" i="29"/>
  <c r="U558" i="29"/>
  <c r="U152" i="29"/>
  <c r="U64" i="29"/>
  <c r="U543" i="29"/>
  <c r="U582" i="29"/>
  <c r="U421" i="29"/>
  <c r="U116" i="29"/>
  <c r="U164" i="29"/>
  <c r="U325" i="29"/>
  <c r="U58" i="29"/>
  <c r="U357" i="29"/>
  <c r="U453" i="29"/>
  <c r="U112" i="29"/>
  <c r="U81" i="29"/>
  <c r="U557" i="29"/>
  <c r="U614" i="29"/>
  <c r="U461" i="29"/>
  <c r="U279" i="29"/>
  <c r="U567" i="29"/>
  <c r="U339" i="29"/>
  <c r="U269" i="29"/>
  <c r="U346" i="29"/>
  <c r="U199" i="29"/>
  <c r="U230" i="29"/>
  <c r="U206" i="29"/>
  <c r="U536" i="29"/>
  <c r="U307" i="29"/>
  <c r="U527" i="29"/>
  <c r="U203" i="29"/>
  <c r="U121" i="29"/>
  <c r="U289" i="29"/>
  <c r="U308" i="29"/>
  <c r="U385" i="29"/>
  <c r="U505" i="29"/>
  <c r="U155" i="29"/>
  <c r="U513" i="29"/>
  <c r="U418" i="29"/>
  <c r="U46" i="29"/>
  <c r="U178" i="29"/>
  <c r="U430" i="29"/>
  <c r="U317" i="29"/>
  <c r="U117" i="29"/>
  <c r="U541" i="29"/>
  <c r="U622" i="29"/>
  <c r="U446" i="29"/>
  <c r="U546" i="29"/>
  <c r="U578" i="29"/>
  <c r="U146" i="29"/>
  <c r="U451" i="29"/>
  <c r="U169" i="29"/>
  <c r="U559" i="29"/>
  <c r="U440" i="29"/>
  <c r="U291" i="29"/>
  <c r="U594" i="29"/>
  <c r="U469" i="29"/>
  <c r="U455" i="29"/>
  <c r="U561" i="29"/>
  <c r="U157" i="29"/>
  <c r="U241" i="29"/>
  <c r="U314" i="29"/>
  <c r="U313" i="29"/>
  <c r="U529" i="29"/>
  <c r="U255" i="29"/>
  <c r="U528" i="29"/>
  <c r="U514" i="29"/>
  <c r="U275" i="29"/>
  <c r="U299" i="29"/>
  <c r="U399" i="29"/>
  <c r="U515" i="29"/>
  <c r="U115" i="29"/>
  <c r="U444" i="29"/>
  <c r="U491" i="29"/>
  <c r="U615" i="29"/>
  <c r="U510" i="29"/>
  <c r="U193" i="29"/>
  <c r="U250" i="29"/>
  <c r="U56" i="29"/>
  <c r="U96" i="29"/>
  <c r="U403" i="29"/>
  <c r="U601" i="29"/>
  <c r="U621" i="29"/>
  <c r="U442" i="29"/>
  <c r="U305" i="29"/>
  <c r="U242" i="29"/>
  <c r="U474" i="29"/>
  <c r="U368" i="29"/>
  <c r="U94" i="29"/>
  <c r="U293" i="29"/>
  <c r="U304" i="29"/>
  <c r="U130" i="29"/>
  <c r="U392" i="29"/>
  <c r="U246" i="29"/>
  <c r="U551" i="29"/>
  <c r="U468" i="29"/>
  <c r="U75" i="29"/>
  <c r="U298" i="29"/>
  <c r="U593" i="29"/>
  <c r="U524" i="29"/>
  <c r="U568" i="29"/>
  <c r="U382" i="29"/>
  <c r="U436" i="29"/>
  <c r="U207" i="29"/>
  <c r="U391" i="29"/>
  <c r="U459" i="29"/>
  <c r="U32" i="29"/>
  <c r="U258" i="29"/>
  <c r="U88" i="29"/>
  <c r="U539" i="29"/>
  <c r="U489" i="29"/>
  <c r="U413" i="29"/>
  <c r="U114" i="29"/>
  <c r="U408" i="29"/>
  <c r="U370" i="29"/>
  <c r="U484" i="29"/>
  <c r="U603" i="29"/>
  <c r="U465" i="29"/>
  <c r="U328" i="29"/>
  <c r="U239" i="29"/>
  <c r="U295" i="29"/>
  <c r="U507" i="29"/>
  <c r="U80" i="29"/>
  <c r="U351" i="29"/>
  <c r="U407" i="29"/>
  <c r="U415" i="29"/>
  <c r="U471" i="29"/>
  <c r="U264" i="29"/>
  <c r="U129" i="29"/>
  <c r="U532" i="29"/>
  <c r="U166" i="29"/>
  <c r="U509" i="29"/>
  <c r="U535" i="29"/>
  <c r="U343" i="29"/>
  <c r="U616" i="29"/>
  <c r="U124" i="29"/>
  <c r="U21" i="29"/>
  <c r="U61" i="29"/>
  <c r="U531" i="29"/>
  <c r="U273" i="29"/>
  <c r="U185" i="29"/>
  <c r="U227" i="29"/>
  <c r="U450" i="29"/>
  <c r="U243" i="29"/>
  <c r="U537" i="29"/>
  <c r="U316" i="29"/>
  <c r="U71" i="29"/>
  <c r="U223" i="29"/>
  <c r="U387" i="29"/>
  <c r="U447" i="29"/>
  <c r="U466" i="29"/>
  <c r="U534" i="29"/>
  <c r="U516" i="29"/>
  <c r="U92" i="29"/>
  <c r="U215" i="29"/>
  <c r="U597" i="29"/>
  <c r="U617" i="29"/>
  <c r="U145" i="29"/>
  <c r="U583" i="29"/>
  <c r="U566" i="29"/>
  <c r="U349" i="29"/>
  <c r="U306" i="29"/>
  <c r="U59" i="29"/>
  <c r="U570" i="29"/>
  <c r="U337" i="29"/>
  <c r="U177" i="29"/>
  <c r="U364" i="29"/>
  <c r="U502" i="29"/>
  <c r="U379" i="29"/>
  <c r="U448" i="29"/>
  <c r="U69" i="29"/>
  <c r="U367" i="29"/>
  <c r="U519" i="29"/>
  <c r="U552" i="29"/>
  <c r="U165" i="29"/>
  <c r="U216" i="29"/>
  <c r="U562" i="29"/>
  <c r="U132" i="29"/>
  <c r="U584" i="29"/>
  <c r="U144" i="29"/>
  <c r="U226" i="29"/>
  <c r="U134" i="29"/>
  <c r="U599" i="29"/>
  <c r="U618" i="29"/>
  <c r="U162" i="29"/>
  <c r="U19" i="29"/>
  <c r="U296" i="29"/>
  <c r="U335" i="29"/>
  <c r="U400" i="29"/>
  <c r="U389" i="29"/>
  <c r="U200" i="29"/>
  <c r="U323" i="29"/>
  <c r="U388" i="29"/>
  <c r="U460" i="29"/>
  <c r="U416" i="29"/>
  <c r="U33" i="29"/>
  <c r="U50" i="29"/>
  <c r="U210" i="29"/>
  <c r="U260" i="29"/>
  <c r="U204" i="29"/>
  <c r="U77" i="29"/>
  <c r="U475" i="29"/>
  <c r="U47" i="29"/>
  <c r="U508" i="29"/>
  <c r="U31" i="29"/>
  <c r="U190" i="29"/>
  <c r="U374" i="29"/>
  <c r="U425" i="29"/>
  <c r="U237" i="29"/>
  <c r="U419" i="29"/>
  <c r="U501" i="29"/>
  <c r="U393" i="29"/>
  <c r="U95" i="29"/>
  <c r="U303" i="29"/>
  <c r="U332" i="29"/>
  <c r="U118" i="29"/>
  <c r="U119" i="29"/>
  <c r="U187" i="29"/>
  <c r="U589" i="29"/>
  <c r="U620" i="29"/>
  <c r="U613" i="29"/>
  <c r="U624" i="29"/>
  <c r="U384" i="29"/>
  <c r="U424" i="29"/>
  <c r="U176" i="29"/>
  <c r="U107" i="29"/>
  <c r="U426" i="29"/>
  <c r="U172" i="29"/>
  <c r="U356" i="29"/>
  <c r="U263" i="29"/>
  <c r="U186" i="29"/>
  <c r="U53" i="29"/>
  <c r="U380" i="29"/>
  <c r="U503" i="29"/>
  <c r="U174" i="29"/>
  <c r="U137" i="29"/>
  <c r="U499" i="29"/>
  <c r="U525" i="29"/>
  <c r="U386" i="29"/>
  <c r="U270" i="29"/>
  <c r="U547" i="29"/>
  <c r="U359" i="29"/>
  <c r="U173" i="29"/>
  <c r="U487" i="29"/>
  <c r="U490" i="29"/>
  <c r="U376" i="29"/>
  <c r="U572" i="29"/>
  <c r="U106" i="29"/>
  <c r="U362" i="29"/>
  <c r="U175" i="29"/>
  <c r="U417" i="29"/>
  <c r="U38" i="29"/>
  <c r="U143" i="29"/>
  <c r="U414" i="29"/>
  <c r="U281" i="29"/>
  <c r="U378" i="29"/>
  <c r="U437" i="29"/>
  <c r="U533" i="29"/>
  <c r="U268" i="29"/>
  <c r="U423" i="29"/>
  <c r="U619" i="29"/>
  <c r="U598" i="29"/>
  <c r="U600" i="29"/>
  <c r="U623" i="29"/>
  <c r="U97" i="29"/>
  <c r="U277" i="29"/>
  <c r="U37" i="29"/>
  <c r="U409" i="29"/>
  <c r="U433" i="29"/>
  <c r="U581" i="29"/>
  <c r="U219" i="29"/>
  <c r="U521" i="29"/>
  <c r="U511" i="29"/>
  <c r="U312" i="29"/>
  <c r="U113" i="29"/>
  <c r="U272" i="29"/>
  <c r="U287" i="29"/>
  <c r="U488" i="29"/>
  <c r="U209" i="29"/>
  <c r="U283" i="29"/>
  <c r="U192" i="29"/>
  <c r="U150" i="29"/>
  <c r="U232" i="29"/>
  <c r="U500" i="29"/>
  <c r="U467" i="29"/>
  <c r="U464" i="29"/>
  <c r="U496" i="29"/>
  <c r="U284" i="29"/>
  <c r="U311" i="29"/>
  <c r="U111" i="29"/>
  <c r="U102" i="29"/>
  <c r="U548" i="29"/>
  <c r="U334" i="29"/>
  <c r="U149" i="29"/>
  <c r="U104" i="29"/>
  <c r="U34" i="29"/>
  <c r="U197" i="29"/>
  <c r="U236" i="29"/>
  <c r="U83" i="29"/>
  <c r="U375" i="29"/>
  <c r="U401" i="29"/>
  <c r="U105" i="29"/>
  <c r="U411" i="29"/>
  <c r="U478" i="29"/>
  <c r="U397" i="29"/>
  <c r="U443" i="29"/>
  <c r="U163" i="29"/>
  <c r="U18" i="29"/>
  <c r="U179" i="29"/>
  <c r="U188" i="29"/>
  <c r="U569" i="29"/>
  <c r="U592" i="29"/>
  <c r="U604" i="29"/>
  <c r="U608" i="29"/>
  <c r="U585" i="29"/>
  <c r="U605" i="29"/>
  <c r="U607" i="29"/>
  <c r="U553" i="29"/>
  <c r="U286" i="29"/>
  <c r="U318" i="29"/>
  <c r="U45" i="29"/>
  <c r="U60" i="29"/>
  <c r="U85" i="29"/>
  <c r="U497" i="29"/>
  <c r="U285" i="29"/>
  <c r="U324" i="29"/>
  <c r="U493" i="29"/>
  <c r="U377" i="29"/>
  <c r="U333" i="29"/>
  <c r="U347" i="29"/>
  <c r="U73" i="29"/>
  <c r="U90" i="29"/>
  <c r="U57" i="29"/>
  <c r="U504" i="29"/>
  <c r="U220" i="29"/>
  <c r="U462" i="29"/>
  <c r="U310" i="29"/>
  <c r="U74" i="29"/>
  <c r="U294" i="29"/>
  <c r="U344" i="29"/>
  <c r="U120" i="29"/>
  <c r="U234" i="29"/>
  <c r="U140" i="29"/>
  <c r="U274" i="29"/>
  <c r="U555" i="29"/>
  <c r="U198" i="29"/>
  <c r="U454" i="29"/>
  <c r="U271" i="29"/>
  <c r="U160" i="29"/>
  <c r="U545" i="29"/>
  <c r="U394" i="29"/>
  <c r="U441" i="29"/>
  <c r="U161" i="29"/>
  <c r="U452" i="29"/>
  <c r="U224" i="29"/>
  <c r="U68" i="29"/>
  <c r="U586" i="29"/>
  <c r="U625" i="29"/>
  <c r="U606" i="29"/>
  <c r="U27" i="29"/>
  <c r="U595" i="29"/>
  <c r="U133" i="29"/>
  <c r="U158" i="29"/>
  <c r="U170" i="29"/>
  <c r="U194" i="29"/>
  <c r="U350" i="29"/>
  <c r="U494" i="29"/>
  <c r="U361" i="29"/>
  <c r="U123" i="29"/>
  <c r="U211" i="29"/>
  <c r="U142" i="29"/>
  <c r="U181" i="29"/>
  <c r="U402" i="29"/>
  <c r="U213" i="29"/>
  <c r="U276" i="29"/>
  <c r="U410" i="29"/>
  <c r="U78" i="29"/>
  <c r="U476" i="29"/>
  <c r="U72" i="29"/>
  <c r="U422" i="29"/>
  <c r="U30" i="29"/>
  <c r="U369" i="29"/>
  <c r="U492" i="29"/>
  <c r="U159" i="29"/>
  <c r="U66" i="29"/>
  <c r="U189" i="29"/>
  <c r="U48" i="29"/>
  <c r="U435" i="29"/>
  <c r="U67" i="29"/>
  <c r="U262" i="29"/>
  <c r="U398" i="29"/>
  <c r="U20" i="29"/>
  <c r="U404" i="29"/>
  <c r="U109" i="29"/>
  <c r="U65" i="29"/>
  <c r="U23" i="29"/>
  <c r="U348" i="29"/>
  <c r="U101" i="29"/>
  <c r="U55" i="29"/>
  <c r="U191" i="29"/>
  <c r="U560" i="29"/>
  <c r="U202" i="29"/>
  <c r="U498" i="29"/>
  <c r="U201" i="29"/>
  <c r="U320" i="29"/>
  <c r="U233" i="29"/>
  <c r="U300" i="29"/>
  <c r="U87" i="29"/>
  <c r="U231" i="29"/>
  <c r="U588" i="29"/>
  <c r="U587" i="29"/>
  <c r="U609" i="29"/>
  <c r="U481" i="29"/>
  <c r="U486" i="29"/>
  <c r="U565" i="29"/>
  <c r="U99" i="29"/>
  <c r="U542" i="29"/>
  <c r="U254" i="29"/>
  <c r="U278" i="29"/>
  <c r="U458" i="29"/>
  <c r="U373" i="29"/>
  <c r="U148" i="29"/>
  <c r="U103" i="29"/>
  <c r="U238" i="29"/>
  <c r="U26" i="29"/>
  <c r="U42" i="29"/>
  <c r="U212" i="29"/>
  <c r="U156" i="29"/>
  <c r="U470" i="29"/>
  <c r="U390" i="29"/>
  <c r="U309" i="29"/>
  <c r="U168" i="29"/>
  <c r="U51" i="29"/>
  <c r="U126" i="29"/>
  <c r="U573" i="29"/>
  <c r="U420" i="29"/>
  <c r="U171" i="29"/>
  <c r="U330" i="29"/>
  <c r="U248" i="29"/>
  <c r="U336" i="29"/>
  <c r="U327" i="29"/>
  <c r="U43" i="29"/>
  <c r="U322" i="29"/>
  <c r="U195" i="29"/>
  <c r="U222" i="29"/>
  <c r="U381" i="29"/>
  <c r="U518" i="29"/>
  <c r="U354" i="29"/>
  <c r="U141" i="29"/>
  <c r="U240" i="29"/>
  <c r="U221" i="29"/>
  <c r="U151" i="29"/>
  <c r="U406" i="29"/>
  <c r="U477" i="29"/>
  <c r="U449" i="29"/>
  <c r="U44" i="29"/>
  <c r="U24" i="29"/>
  <c r="U360" i="29"/>
  <c r="U139" i="29"/>
  <c r="U70" i="29"/>
  <c r="U483" i="29"/>
  <c r="U371" i="29"/>
  <c r="U602" i="29"/>
  <c r="U591" i="29"/>
  <c r="U612" i="29"/>
  <c r="U326" i="29"/>
  <c r="U256" i="29"/>
  <c r="U457" i="29"/>
  <c r="U135" i="29"/>
  <c r="U182" i="29"/>
  <c r="U554" i="29"/>
  <c r="U338" i="29"/>
  <c r="U290" i="29"/>
  <c r="U482" i="29"/>
  <c r="U329" i="29"/>
  <c r="U523" i="29"/>
  <c r="U35" i="29"/>
  <c r="U218" i="29"/>
  <c r="U366" i="29"/>
  <c r="U297" i="29"/>
  <c r="U563" i="29"/>
  <c r="U122" i="29"/>
  <c r="U439" i="29"/>
  <c r="U345" i="29"/>
  <c r="U36" i="29"/>
  <c r="U63" i="29"/>
  <c r="U54" i="29"/>
  <c r="U321" i="29"/>
  <c r="U396" i="29"/>
  <c r="U183" i="29"/>
  <c r="U138" i="29"/>
  <c r="U574" i="29"/>
  <c r="U564" i="29"/>
  <c r="U245" i="29"/>
  <c r="U79" i="29"/>
  <c r="U429" i="29"/>
  <c r="U363" i="29"/>
  <c r="U342" i="29"/>
  <c r="U538" i="29"/>
  <c r="U147" i="29"/>
  <c r="U495" i="29"/>
  <c r="U93" i="29"/>
  <c r="U383" i="29"/>
  <c r="U257" i="29"/>
  <c r="U428" i="29"/>
  <c r="U358" i="29"/>
  <c r="U167" i="29"/>
  <c r="U261" i="29"/>
  <c r="U82" i="29"/>
  <c r="U225" i="29"/>
  <c r="U280" i="29"/>
  <c r="U153" i="29"/>
  <c r="U352" i="29"/>
  <c r="U341" i="29"/>
  <c r="U249" i="29"/>
  <c r="U611" i="29"/>
  <c r="U610" i="29"/>
  <c r="V10" i="29" l="1"/>
  <c r="V28" i="29" s="1"/>
  <c r="U4" i="29"/>
  <c r="V627" i="29" l="1"/>
  <c r="V628" i="29"/>
  <c r="V626" i="29"/>
  <c r="V630" i="29"/>
  <c r="V629" i="29"/>
  <c r="H5" i="30"/>
  <c r="V25" i="29"/>
  <c r="W9" i="29"/>
  <c r="V417" i="29"/>
  <c r="V310" i="29"/>
  <c r="V225" i="29"/>
  <c r="V192" i="29"/>
  <c r="V252" i="29"/>
  <c r="V454" i="29"/>
  <c r="V334" i="29"/>
  <c r="V599" i="29"/>
  <c r="V622" i="29"/>
  <c r="V528" i="29"/>
  <c r="V119" i="29"/>
  <c r="V238" i="29"/>
  <c r="V412" i="29"/>
  <c r="V322" i="29"/>
  <c r="V58" i="29"/>
  <c r="V32" i="29"/>
  <c r="V380" i="29"/>
  <c r="V333" i="29"/>
  <c r="V420" i="29"/>
  <c r="V325" i="29"/>
  <c r="V462" i="29"/>
  <c r="V222" i="29"/>
  <c r="V187" i="29"/>
  <c r="V236" i="29"/>
  <c r="V538" i="29"/>
  <c r="V522" i="29"/>
  <c r="V561" i="29"/>
  <c r="V305" i="29"/>
  <c r="V390" i="29"/>
  <c r="V501" i="29"/>
  <c r="V75" i="29"/>
  <c r="V498" i="29"/>
  <c r="V571" i="29"/>
  <c r="V582" i="29"/>
  <c r="V328" i="29"/>
  <c r="V437" i="29"/>
  <c r="V579" i="29"/>
  <c r="V115" i="29"/>
  <c r="V567" i="29"/>
  <c r="V303" i="29"/>
  <c r="V398" i="29"/>
  <c r="V268" i="29"/>
  <c r="V133" i="29"/>
  <c r="V122" i="29"/>
  <c r="V171" i="29"/>
  <c r="V446" i="29"/>
  <c r="V170" i="29"/>
  <c r="V86" i="29"/>
  <c r="V575" i="29"/>
  <c r="V543" i="29"/>
  <c r="V542" i="29"/>
  <c r="V74" i="29"/>
  <c r="V505" i="29"/>
  <c r="V255" i="29"/>
  <c r="V87" i="29"/>
  <c r="V134" i="29"/>
  <c r="V145" i="29"/>
  <c r="V241" i="29"/>
  <c r="V194" i="29"/>
  <c r="V308" i="29"/>
  <c r="V64" i="29"/>
  <c r="V313" i="29"/>
  <c r="V562" i="29"/>
  <c r="V510" i="29"/>
  <c r="V223" i="29"/>
  <c r="V494" i="29"/>
  <c r="V195" i="29"/>
  <c r="V232" i="29"/>
  <c r="V468" i="29"/>
  <c r="V203" i="29"/>
  <c r="V372" i="29"/>
  <c r="V288" i="29"/>
  <c r="V129" i="29"/>
  <c r="V299" i="29"/>
  <c r="V594" i="29"/>
  <c r="V603" i="29"/>
  <c r="V467" i="29"/>
  <c r="V513" i="29"/>
  <c r="V489" i="29"/>
  <c r="V408" i="29"/>
  <c r="V105" i="29"/>
  <c r="V201" i="29"/>
  <c r="V496" i="29"/>
  <c r="V295" i="29"/>
  <c r="V405" i="29"/>
  <c r="V348" i="29"/>
  <c r="V78" i="29"/>
  <c r="V102" i="29"/>
  <c r="V270" i="29"/>
  <c r="V425" i="29"/>
  <c r="V79" i="29"/>
  <c r="V106" i="29"/>
  <c r="V282" i="29"/>
  <c r="V165" i="29"/>
  <c r="V434" i="29"/>
  <c r="V172" i="29"/>
  <c r="V224" i="29"/>
  <c r="V343" i="29"/>
  <c r="V211" i="29"/>
  <c r="V43" i="29"/>
  <c r="V476" i="29"/>
  <c r="V267" i="29"/>
  <c r="V388" i="29"/>
  <c r="V514" i="29"/>
  <c r="V307" i="29"/>
  <c r="V266" i="29"/>
  <c r="V471" i="29"/>
  <c r="V339" i="29"/>
  <c r="V160" i="29"/>
  <c r="V217" i="29"/>
  <c r="V314" i="29"/>
  <c r="V146" i="29"/>
  <c r="V205" i="29"/>
  <c r="V566" i="29"/>
  <c r="V565" i="29"/>
  <c r="V62" i="29"/>
  <c r="V517" i="29"/>
  <c r="V68" i="29"/>
  <c r="V289" i="29"/>
  <c r="V61" i="29"/>
  <c r="V581" i="29"/>
  <c r="V620" i="29"/>
  <c r="V271" i="29"/>
  <c r="V231" i="29"/>
  <c r="V121" i="29"/>
  <c r="V59" i="29"/>
  <c r="V226" i="29"/>
  <c r="V456" i="29"/>
  <c r="V396" i="29"/>
  <c r="V549" i="29"/>
  <c r="V311" i="29"/>
  <c r="V358" i="29"/>
  <c r="V611" i="29"/>
  <c r="V625" i="29"/>
  <c r="V491" i="29"/>
  <c r="V298" i="29"/>
  <c r="V427" i="29"/>
  <c r="V527" i="29"/>
  <c r="V116" i="29"/>
  <c r="V547" i="29"/>
  <c r="V520" i="29"/>
  <c r="V399" i="29"/>
  <c r="V512" i="29"/>
  <c r="V443" i="29"/>
  <c r="V556" i="29"/>
  <c r="V136" i="29"/>
  <c r="V197" i="29"/>
  <c r="V30" i="29"/>
  <c r="V546" i="29"/>
  <c r="V466" i="29"/>
  <c r="V342" i="29"/>
  <c r="V273" i="29"/>
  <c r="V98" i="29"/>
  <c r="V124" i="29"/>
  <c r="V524" i="29"/>
  <c r="V367" i="29"/>
  <c r="V415" i="29"/>
  <c r="V138" i="29"/>
  <c r="V260" i="29"/>
  <c r="V111" i="29"/>
  <c r="V304" i="29"/>
  <c r="V142" i="29"/>
  <c r="V534" i="29"/>
  <c r="V301" i="29"/>
  <c r="V208" i="29"/>
  <c r="V554" i="29"/>
  <c r="V218" i="29"/>
  <c r="V183" i="29"/>
  <c r="V206" i="29"/>
  <c r="V352" i="29"/>
  <c r="V518" i="29"/>
  <c r="V553" i="29"/>
  <c r="V26" i="29"/>
  <c r="V290" i="29"/>
  <c r="V584" i="29"/>
  <c r="V516" i="29"/>
  <c r="V294" i="29"/>
  <c r="V244" i="29"/>
  <c r="V254" i="29"/>
  <c r="V623" i="29"/>
  <c r="V41" i="29"/>
  <c r="V480" i="29"/>
  <c r="V432" i="29"/>
  <c r="V71" i="29"/>
  <c r="V383" i="29"/>
  <c r="V190" i="29"/>
  <c r="V81" i="29"/>
  <c r="V602" i="29"/>
  <c r="V613" i="29"/>
  <c r="V191" i="29"/>
  <c r="V572" i="29"/>
  <c r="V246" i="29"/>
  <c r="V407" i="29"/>
  <c r="V416" i="29"/>
  <c r="V103" i="29"/>
  <c r="V239" i="29"/>
  <c r="V540" i="29"/>
  <c r="V465" i="29"/>
  <c r="V107" i="29"/>
  <c r="V544" i="29"/>
  <c r="V316" i="29"/>
  <c r="V495" i="29"/>
  <c r="V137" i="29"/>
  <c r="V366" i="29"/>
  <c r="V118" i="29"/>
  <c r="V279" i="29"/>
  <c r="V345" i="29"/>
  <c r="V570" i="29"/>
  <c r="V280" i="29"/>
  <c r="V463" i="29"/>
  <c r="V125" i="29"/>
  <c r="V414" i="29"/>
  <c r="V460" i="29"/>
  <c r="V92" i="29"/>
  <c r="V332" i="29"/>
  <c r="V483" i="29"/>
  <c r="V321" i="29"/>
  <c r="V474" i="29"/>
  <c r="V578" i="29"/>
  <c r="V230" i="29"/>
  <c r="V337" i="29"/>
  <c r="V253" i="29"/>
  <c r="V568" i="29"/>
  <c r="V49" i="29"/>
  <c r="V361" i="29"/>
  <c r="V277" i="29"/>
  <c r="V37" i="29"/>
  <c r="V338" i="29"/>
  <c r="V157" i="29"/>
  <c r="V410" i="29"/>
  <c r="V531" i="29"/>
  <c r="V130" i="29"/>
  <c r="V287" i="29"/>
  <c r="V484" i="29"/>
  <c r="V374" i="29"/>
  <c r="V624" i="29"/>
  <c r="V608" i="29"/>
  <c r="V204" i="29"/>
  <c r="V526" i="29"/>
  <c r="V442" i="29"/>
  <c r="V394" i="29"/>
  <c r="V560" i="29"/>
  <c r="V440" i="29"/>
  <c r="V592" i="29"/>
  <c r="V589" i="29"/>
  <c r="V537" i="29"/>
  <c r="V403" i="29"/>
  <c r="V564" i="29"/>
  <c r="V180" i="29"/>
  <c r="V509" i="29"/>
  <c r="V20" i="29"/>
  <c r="V515" i="29"/>
  <c r="V312" i="29"/>
  <c r="V272" i="29"/>
  <c r="V189" i="29"/>
  <c r="V373" i="29"/>
  <c r="V292" i="29"/>
  <c r="V430" i="29"/>
  <c r="V315" i="29"/>
  <c r="V402" i="29"/>
  <c r="V213" i="29"/>
  <c r="V158" i="29"/>
  <c r="V428" i="29"/>
  <c r="V210" i="29"/>
  <c r="V243" i="29"/>
  <c r="V55" i="29"/>
  <c r="V319" i="29"/>
  <c r="V42" i="29"/>
  <c r="V557" i="29"/>
  <c r="V438" i="29"/>
  <c r="V90" i="29"/>
  <c r="V181" i="29"/>
  <c r="V135" i="29"/>
  <c r="V274" i="29"/>
  <c r="V31" i="29"/>
  <c r="V364" i="29"/>
  <c r="V618" i="29"/>
  <c r="V600" i="29"/>
  <c r="V371" i="29"/>
  <c r="V285" i="29"/>
  <c r="V559" i="29"/>
  <c r="V36" i="29"/>
  <c r="V453" i="29"/>
  <c r="V355" i="29"/>
  <c r="V586" i="29"/>
  <c r="V593" i="29"/>
  <c r="V33" i="29"/>
  <c r="V379" i="29"/>
  <c r="V300" i="29"/>
  <c r="V143" i="29"/>
  <c r="V139" i="29"/>
  <c r="V502" i="29"/>
  <c r="V478" i="29"/>
  <c r="V276" i="29"/>
  <c r="V284" i="29"/>
  <c r="V346" i="29"/>
  <c r="V153" i="29"/>
  <c r="V45" i="29"/>
  <c r="V429" i="29"/>
  <c r="V202" i="29"/>
  <c r="V220" i="29"/>
  <c r="V369" i="29"/>
  <c r="V563" i="29"/>
  <c r="V140" i="29"/>
  <c r="V198" i="29"/>
  <c r="V51" i="29"/>
  <c r="V127" i="29"/>
  <c r="V449" i="29"/>
  <c r="V185" i="29"/>
  <c r="V473" i="29"/>
  <c r="V426" i="29"/>
  <c r="V259" i="29"/>
  <c r="V110" i="29"/>
  <c r="V381" i="29"/>
  <c r="V330" i="29"/>
  <c r="V97" i="29"/>
  <c r="V397" i="29"/>
  <c r="V306" i="29"/>
  <c r="V159" i="29"/>
  <c r="V351" i="29"/>
  <c r="V436" i="29"/>
  <c r="V375" i="29"/>
  <c r="V481" i="29"/>
  <c r="V52" i="29"/>
  <c r="V577" i="29"/>
  <c r="V445" i="29"/>
  <c r="V17" i="29"/>
  <c r="V363" i="29"/>
  <c r="V156" i="29"/>
  <c r="V69" i="29"/>
  <c r="V558" i="29"/>
  <c r="V385" i="29"/>
  <c r="V40" i="29"/>
  <c r="V617" i="29"/>
  <c r="V607" i="29"/>
  <c r="V117" i="29"/>
  <c r="V179" i="29"/>
  <c r="V323" i="29"/>
  <c r="V167" i="29"/>
  <c r="V150" i="29"/>
  <c r="V591" i="29"/>
  <c r="V604" i="29"/>
  <c r="V615" i="29"/>
  <c r="V200" i="29"/>
  <c r="V214" i="29"/>
  <c r="V264" i="29"/>
  <c r="V82" i="29"/>
  <c r="V354" i="29"/>
  <c r="V359" i="29"/>
  <c r="V503" i="29"/>
  <c r="V552" i="29"/>
  <c r="V151" i="29"/>
  <c r="V296" i="29"/>
  <c r="V249" i="29"/>
  <c r="V177" i="29"/>
  <c r="V477" i="29"/>
  <c r="V23" i="29"/>
  <c r="V99" i="29"/>
  <c r="V199" i="29"/>
  <c r="V120" i="29"/>
  <c r="V44" i="29"/>
  <c r="V173" i="29"/>
  <c r="V458" i="29"/>
  <c r="V235" i="29"/>
  <c r="V318" i="29"/>
  <c r="V532" i="29"/>
  <c r="V545" i="29"/>
  <c r="V114" i="29"/>
  <c r="V391" i="29"/>
  <c r="V38" i="29"/>
  <c r="V441" i="29"/>
  <c r="V497" i="29"/>
  <c r="V278" i="29"/>
  <c r="V234" i="29"/>
  <c r="V269" i="29"/>
  <c r="V169" i="29"/>
  <c r="V411" i="29"/>
  <c r="V113" i="29"/>
  <c r="V569" i="29"/>
  <c r="V73" i="29"/>
  <c r="V27" i="29"/>
  <c r="V112" i="29"/>
  <c r="V469" i="29"/>
  <c r="V349" i="29"/>
  <c r="V109" i="29"/>
  <c r="V128" i="29"/>
  <c r="V47" i="29"/>
  <c r="V475" i="29"/>
  <c r="V196" i="29"/>
  <c r="V350" i="29"/>
  <c r="V583" i="29"/>
  <c r="V616" i="29"/>
  <c r="V606" i="29"/>
  <c r="V387" i="29"/>
  <c r="V166" i="29"/>
  <c r="V404" i="29"/>
  <c r="V406" i="29"/>
  <c r="V50" i="29"/>
  <c r="V587" i="29"/>
  <c r="V590" i="29"/>
  <c r="V209" i="29"/>
  <c r="V360" i="29"/>
  <c r="V419" i="29"/>
  <c r="V24" i="29"/>
  <c r="V22" i="29"/>
  <c r="V309" i="29"/>
  <c r="V70" i="29"/>
  <c r="V168" i="29"/>
  <c r="V257" i="29"/>
  <c r="V261" i="29"/>
  <c r="V511" i="29"/>
  <c r="V452" i="29"/>
  <c r="V141" i="29"/>
  <c r="V393" i="29"/>
  <c r="V431" i="29"/>
  <c r="V93" i="29"/>
  <c r="V263" i="29"/>
  <c r="V67" i="29"/>
  <c r="V148" i="29"/>
  <c r="V550" i="29"/>
  <c r="V174" i="29"/>
  <c r="V89" i="29"/>
  <c r="V341" i="29"/>
  <c r="V293" i="29"/>
  <c r="V533" i="29"/>
  <c r="V485" i="29"/>
  <c r="V207" i="29"/>
  <c r="V536" i="29"/>
  <c r="V378" i="29"/>
  <c r="V421" i="29"/>
  <c r="V329" i="29"/>
  <c r="V162" i="29"/>
  <c r="V85" i="29"/>
  <c r="V242" i="29"/>
  <c r="V19" i="29"/>
  <c r="V508" i="29"/>
  <c r="V529" i="29"/>
  <c r="V39" i="29"/>
  <c r="V435" i="29"/>
  <c r="V493" i="29"/>
  <c r="V433" i="29"/>
  <c r="V161" i="29"/>
  <c r="V245" i="29"/>
  <c r="V506" i="29"/>
  <c r="V53" i="29"/>
  <c r="V576" i="29"/>
  <c r="V595" i="29"/>
  <c r="V519" i="29"/>
  <c r="V219" i="29"/>
  <c r="V21" i="29"/>
  <c r="V63" i="29"/>
  <c r="V488" i="29"/>
  <c r="V131" i="29"/>
  <c r="V597" i="29"/>
  <c r="V376" i="29"/>
  <c r="V610" i="29"/>
  <c r="V500" i="29"/>
  <c r="V336" i="29"/>
  <c r="V72" i="29"/>
  <c r="V262" i="29"/>
  <c r="V347" i="29"/>
  <c r="V619" i="29"/>
  <c r="V614" i="29"/>
  <c r="V588" i="29"/>
  <c r="V18" i="29"/>
  <c r="V384" i="29"/>
  <c r="V370" i="29"/>
  <c r="V212" i="29"/>
  <c r="V163" i="29"/>
  <c r="V286" i="29"/>
  <c r="V154" i="29"/>
  <c r="V574" i="29"/>
  <c r="V492" i="29"/>
  <c r="V248" i="29"/>
  <c r="V80" i="29"/>
  <c r="V104" i="29"/>
  <c r="V344" i="29"/>
  <c r="V548" i="29"/>
  <c r="V96" i="29"/>
  <c r="V56" i="29"/>
  <c r="V251" i="29"/>
  <c r="V331" i="29"/>
  <c r="V123" i="29"/>
  <c r="V178" i="29"/>
  <c r="V413" i="29"/>
  <c r="V389" i="29"/>
  <c r="V29" i="29"/>
  <c r="V472" i="29"/>
  <c r="V65" i="29"/>
  <c r="V54" i="29"/>
  <c r="V193" i="29"/>
  <c r="V175" i="29"/>
  <c r="V66" i="29"/>
  <c r="V317" i="29"/>
  <c r="V459" i="29"/>
  <c r="V77" i="29"/>
  <c r="V541" i="29"/>
  <c r="V422" i="29"/>
  <c r="V265" i="29"/>
  <c r="V447" i="29"/>
  <c r="V580" i="29"/>
  <c r="V340" i="29"/>
  <c r="V46" i="29"/>
  <c r="V368" i="29"/>
  <c r="V382" i="29"/>
  <c r="V451" i="29"/>
  <c r="V409" i="29"/>
  <c r="V612" i="29"/>
  <c r="V423" i="29"/>
  <c r="V132" i="29"/>
  <c r="V108" i="29"/>
  <c r="V228" i="29"/>
  <c r="V247" i="29"/>
  <c r="V48" i="29"/>
  <c r="V605" i="29"/>
  <c r="V601" i="29"/>
  <c r="V621" i="29"/>
  <c r="V35" i="29"/>
  <c r="V250" i="29"/>
  <c r="V94" i="29"/>
  <c r="V186" i="29"/>
  <c r="V126" i="29"/>
  <c r="V357" i="29"/>
  <c r="V57" i="29"/>
  <c r="V155" i="29"/>
  <c r="V144" i="29"/>
  <c r="V486" i="29"/>
  <c r="V523" i="29"/>
  <c r="V356" i="29"/>
  <c r="V535" i="29"/>
  <c r="V320" i="29"/>
  <c r="V240" i="29"/>
  <c r="V152" i="29"/>
  <c r="V418" i="29"/>
  <c r="V258" i="29"/>
  <c r="V182" i="29"/>
  <c r="V392" i="29"/>
  <c r="V377" i="29"/>
  <c r="V507" i="29"/>
  <c r="V555" i="29"/>
  <c r="V100" i="29"/>
  <c r="V521" i="29"/>
  <c r="V461" i="29"/>
  <c r="V386" i="29"/>
  <c r="V188" i="29"/>
  <c r="V256" i="29"/>
  <c r="V291" i="29"/>
  <c r="V400" i="29"/>
  <c r="V149" i="29"/>
  <c r="V362" i="29"/>
  <c r="V482" i="29"/>
  <c r="V147" i="29"/>
  <c r="V470" i="29"/>
  <c r="V457" i="29"/>
  <c r="V60" i="29"/>
  <c r="V335" i="29"/>
  <c r="V439" i="29"/>
  <c r="V424" i="29"/>
  <c r="V76" i="29"/>
  <c r="V609" i="29"/>
  <c r="V84" i="29"/>
  <c r="V324" i="29"/>
  <c r="V490" i="29"/>
  <c r="V227" i="29"/>
  <c r="V551" i="29"/>
  <c r="V444" i="29"/>
  <c r="V598" i="29"/>
  <c r="V585" i="29"/>
  <c r="V275" i="29"/>
  <c r="V504" i="29"/>
  <c r="V95" i="29"/>
  <c r="V237" i="29"/>
  <c r="V83" i="29"/>
  <c r="V215" i="29"/>
  <c r="V525" i="29"/>
  <c r="V464" i="29"/>
  <c r="V539" i="29"/>
  <c r="V216" i="29"/>
  <c r="V91" i="29"/>
  <c r="V450" i="29"/>
  <c r="V283" i="29"/>
  <c r="V487" i="29"/>
  <c r="V164" i="29"/>
  <c r="V395" i="29"/>
  <c r="V176" i="29"/>
  <c r="V34" i="29"/>
  <c r="V353" i="29"/>
  <c r="V596" i="29"/>
  <c r="V297" i="29"/>
  <c r="V365" i="29"/>
  <c r="V229" i="29"/>
  <c r="V326" i="29"/>
  <c r="V88" i="29"/>
  <c r="V233" i="29"/>
  <c r="V401" i="29"/>
  <c r="V302" i="29"/>
  <c r="V499" i="29"/>
  <c r="V184" i="29"/>
  <c r="V448" i="29"/>
  <c r="V221" i="29"/>
  <c r="V530" i="29"/>
  <c r="V327" i="29"/>
  <c r="V455" i="29"/>
  <c r="V479" i="29"/>
  <c r="V101" i="29"/>
  <c r="V573" i="29"/>
  <c r="V281" i="29"/>
  <c r="V4" i="29" l="1"/>
  <c r="I5" i="30" s="1"/>
  <c r="W10" i="29"/>
  <c r="W223" i="29" s="1"/>
  <c r="W346" i="29"/>
  <c r="W603" i="29"/>
  <c r="W20" i="29"/>
  <c r="W563" i="29"/>
  <c r="W159" i="29"/>
  <c r="W348" i="29"/>
  <c r="W295" i="29"/>
  <c r="W341" i="29"/>
  <c r="W302" i="29"/>
  <c r="W532" i="29"/>
  <c r="W200" i="29"/>
  <c r="W333" i="29"/>
  <c r="W602" i="29"/>
  <c r="W564" i="29"/>
  <c r="W495" i="29"/>
  <c r="W253" i="29"/>
  <c r="W579" i="29"/>
  <c r="W510" i="29"/>
  <c r="W393" i="29"/>
  <c r="W98" i="29"/>
  <c r="W384" i="29"/>
  <c r="W122" i="29"/>
  <c r="W597" i="29"/>
  <c r="W203" i="29"/>
  <c r="W271" i="29"/>
  <c r="W423" i="29"/>
  <c r="W624" i="29"/>
  <c r="W228" i="29"/>
  <c r="W90" i="29"/>
  <c r="W121" i="29"/>
  <c r="W183" i="29"/>
  <c r="W265" i="29"/>
  <c r="W93" i="29"/>
  <c r="W343" i="29"/>
  <c r="W363" i="29"/>
  <c r="W236" i="29"/>
  <c r="W352" i="29"/>
  <c r="W553" i="29"/>
  <c r="W515" i="29"/>
  <c r="W164" i="29"/>
  <c r="W567" i="29"/>
  <c r="W601" i="29"/>
  <c r="W111" i="29"/>
  <c r="W41" i="29"/>
  <c r="W19" i="29"/>
  <c r="W623" i="29"/>
  <c r="W263" i="29"/>
  <c r="W473" i="29"/>
  <c r="W36" i="29"/>
  <c r="W342" i="29"/>
  <c r="W578" i="29"/>
  <c r="W34" i="29"/>
  <c r="W306" i="29"/>
  <c r="W239" i="29"/>
  <c r="W128" i="29"/>
  <c r="W268" i="29"/>
  <c r="W406" i="29"/>
  <c r="W68" i="29"/>
  <c r="W377" i="29"/>
  <c r="W50" i="29"/>
  <c r="W411" i="29"/>
  <c r="W324" i="29"/>
  <c r="W512" i="29"/>
  <c r="W162" i="29"/>
  <c r="W51" i="29"/>
  <c r="W585" i="29"/>
  <c r="W319" i="29"/>
  <c r="W29" i="29"/>
  <c r="W443" i="29"/>
  <c r="W357" i="29"/>
  <c r="W610" i="29"/>
  <c r="W108" i="29"/>
  <c r="W425" i="29"/>
  <c r="W105" i="29"/>
  <c r="W474" i="29"/>
  <c r="W503" i="29"/>
  <c r="W484" i="29"/>
  <c r="W456" i="29"/>
  <c r="W227" i="29"/>
  <c r="W540" i="29"/>
  <c r="W151" i="29"/>
  <c r="W37" i="29"/>
  <c r="W287" i="29"/>
  <c r="W209" i="29"/>
  <c r="W267" i="29"/>
  <c r="W187" i="29"/>
  <c r="W61" i="29"/>
  <c r="W132" i="29"/>
  <c r="W224" i="29"/>
  <c r="W359" i="29"/>
  <c r="W520" i="29"/>
  <c r="W133" i="29"/>
  <c r="W451" i="29"/>
  <c r="W100" i="29"/>
  <c r="W577" i="29"/>
  <c r="W501" i="29"/>
  <c r="W134" i="29"/>
  <c r="W586" i="29"/>
  <c r="W430" i="29"/>
  <c r="W447" i="29"/>
  <c r="W587" i="29"/>
  <c r="W438" i="29"/>
  <c r="W148" i="29"/>
  <c r="W583" i="29"/>
  <c r="W593" i="29"/>
  <c r="W422" i="29"/>
  <c r="W395" i="29"/>
  <c r="W300" i="29"/>
  <c r="W616" i="29"/>
  <c r="W355" i="29"/>
  <c r="W472" i="29"/>
  <c r="W245" i="29"/>
  <c r="W595" i="29"/>
  <c r="W538" i="29"/>
  <c r="W149" i="29"/>
  <c r="W526" i="29"/>
  <c r="W413" i="29"/>
  <c r="W491" i="29"/>
  <c r="W574" i="29"/>
  <c r="W604" i="29"/>
  <c r="W120" i="29"/>
  <c r="W488" i="29"/>
  <c r="W505" i="29"/>
  <c r="W409" i="29"/>
  <c r="W335" i="29"/>
  <c r="W152" i="29"/>
  <c r="W40" i="29"/>
  <c r="W385" i="29"/>
  <c r="W67" i="29"/>
  <c r="W375" i="29"/>
  <c r="W622" i="29"/>
  <c r="W442" i="29"/>
  <c r="W331" i="29"/>
  <c r="W112" i="29"/>
  <c r="W589" i="29"/>
  <c r="W467" i="29"/>
  <c r="W379" i="29"/>
  <c r="W53" i="29"/>
  <c r="W498" i="29"/>
  <c r="W370" i="29"/>
  <c r="W402" i="29"/>
  <c r="W554" i="29"/>
  <c r="W459" i="29"/>
  <c r="W621" i="29"/>
  <c r="W81" i="29"/>
  <c r="W460" i="29"/>
  <c r="W80" i="29"/>
  <c r="W549" i="29"/>
  <c r="W617" i="29"/>
  <c r="W550" i="29"/>
  <c r="W303" i="29"/>
  <c r="W537" i="29"/>
  <c r="W270" i="29"/>
  <c r="W509" i="29"/>
  <c r="W70" i="29"/>
  <c r="W328" i="29"/>
  <c r="W311" i="29"/>
  <c r="W30" i="29"/>
  <c r="W466" i="29"/>
  <c r="W238" i="29"/>
  <c r="W124" i="29"/>
  <c r="W330" i="29"/>
  <c r="W481" i="29"/>
  <c r="W55" i="29"/>
  <c r="W373" i="29"/>
  <c r="W241" i="29"/>
  <c r="W525" i="29"/>
  <c r="W546" i="29"/>
  <c r="W196" i="29"/>
  <c r="W536" i="29"/>
  <c r="W462" i="29"/>
  <c r="W208" i="29"/>
  <c r="W598" i="29"/>
  <c r="W256" i="29"/>
  <c r="W376" i="29"/>
  <c r="W176" i="29"/>
  <c r="W125" i="29"/>
  <c r="W316" i="29"/>
  <c r="W309" i="29"/>
  <c r="W102" i="29"/>
  <c r="W31" i="29"/>
  <c r="W612" i="29"/>
  <c r="W136" i="29"/>
  <c r="W419" i="29"/>
  <c r="W496" i="29"/>
  <c r="W349" i="29"/>
  <c r="W179" i="29"/>
  <c r="W533" i="29"/>
  <c r="W286" i="29"/>
  <c r="W262" i="29"/>
  <c r="W471" i="29"/>
  <c r="W310" i="29"/>
  <c r="W113" i="29"/>
  <c r="W58" i="29"/>
  <c r="W292" i="29"/>
  <c r="W364" i="29"/>
  <c r="W407" i="29"/>
  <c r="W161" i="29"/>
  <c r="W347" i="29"/>
  <c r="W35" i="29"/>
  <c r="W247" i="29"/>
  <c r="W614" i="29"/>
  <c r="W517" i="29"/>
  <c r="W502" i="29"/>
  <c r="W114" i="29"/>
  <c r="W350" i="29"/>
  <c r="W358" i="29"/>
  <c r="W412" i="29"/>
  <c r="W232" i="29"/>
  <c r="W469" i="29"/>
  <c r="W414" i="29"/>
  <c r="W530" i="29"/>
  <c r="W611" i="29"/>
  <c r="W416" i="29"/>
  <c r="W150" i="29"/>
  <c r="W386" i="29"/>
  <c r="W312" i="29"/>
  <c r="W190" i="29"/>
  <c r="W140" i="29"/>
  <c r="W304" i="29"/>
  <c r="W433" i="29"/>
  <c r="W590" i="29"/>
  <c r="W381" i="29"/>
  <c r="W318" i="29"/>
  <c r="W158" i="29"/>
  <c r="W59" i="29"/>
  <c r="W249" i="29"/>
  <c r="W418" i="29"/>
  <c r="W167" i="29"/>
  <c r="W615" i="29"/>
  <c r="W450" i="29"/>
  <c r="W72" i="29"/>
  <c r="W182" i="29" l="1"/>
  <c r="W119" i="29"/>
  <c r="W54" i="29"/>
  <c r="W582" i="29"/>
  <c r="W446" i="29"/>
  <c r="W607" i="29"/>
  <c r="W511" i="29"/>
  <c r="W243" i="29"/>
  <c r="W60" i="29"/>
  <c r="W618" i="29"/>
  <c r="W405" i="29"/>
  <c r="W205" i="29"/>
  <c r="W490" i="29"/>
  <c r="W71" i="29"/>
  <c r="W478" i="29"/>
  <c r="W383" i="29"/>
  <c r="W458" i="29"/>
  <c r="W397" i="29"/>
  <c r="W565" i="29"/>
  <c r="W441" i="29"/>
  <c r="W233" i="29"/>
  <c r="W628" i="29"/>
  <c r="W486" i="29"/>
  <c r="W168" i="29"/>
  <c r="W99" i="29"/>
  <c r="W323" i="29"/>
  <c r="W356" i="29"/>
  <c r="W66" i="29"/>
  <c r="W169" i="29"/>
  <c r="W340" i="29"/>
  <c r="W160" i="29"/>
  <c r="W278" i="29"/>
  <c r="W181" i="29"/>
  <c r="W277" i="29"/>
  <c r="W365" i="29"/>
  <c r="W211" i="29"/>
  <c r="W173" i="29"/>
  <c r="W468" i="29"/>
  <c r="W457" i="29"/>
  <c r="W391" i="29"/>
  <c r="W626" i="29"/>
  <c r="W543" i="29"/>
  <c r="W107" i="29"/>
  <c r="W336" i="29"/>
  <c r="W206" i="29"/>
  <c r="W519" i="29"/>
  <c r="W281" i="29"/>
  <c r="W230" i="29"/>
  <c r="W559" i="29"/>
  <c r="W153" i="29"/>
  <c r="W594" i="29"/>
  <c r="W371" i="29"/>
  <c r="W408" i="29"/>
  <c r="W123" i="29"/>
  <c r="W313" i="29"/>
  <c r="W199" i="29"/>
  <c r="W308" i="29"/>
  <c r="W571" i="29"/>
  <c r="W137" i="29"/>
  <c r="W535" i="29"/>
  <c r="W606" i="29"/>
  <c r="W463" i="29"/>
  <c r="W541" i="29"/>
  <c r="W542" i="29"/>
  <c r="W362" i="29"/>
  <c r="W630" i="29"/>
  <c r="W275" i="29"/>
  <c r="W294" i="29"/>
  <c r="W580" i="29"/>
  <c r="W445" i="29"/>
  <c r="W92" i="29"/>
  <c r="W116" i="29"/>
  <c r="W282" i="29"/>
  <c r="W591" i="29"/>
  <c r="W291" i="29"/>
  <c r="W217" i="29"/>
  <c r="W42" i="29"/>
  <c r="W476" i="29"/>
  <c r="W139" i="29"/>
  <c r="W46" i="29"/>
  <c r="W332" i="29"/>
  <c r="W240" i="29"/>
  <c r="W198" i="29"/>
  <c r="W431" i="29"/>
  <c r="W222" i="29"/>
  <c r="W195" i="29"/>
  <c r="W539" i="29"/>
  <c r="W52" i="29"/>
  <c r="W404" i="29"/>
  <c r="W629" i="29"/>
  <c r="W439" i="29"/>
  <c r="W129" i="29"/>
  <c r="W97" i="29"/>
  <c r="W558" i="29"/>
  <c r="W420" i="29"/>
  <c r="W298" i="29"/>
  <c r="W188" i="29"/>
  <c r="W215" i="29"/>
  <c r="W424" i="29"/>
  <c r="W516" i="29"/>
  <c r="W212" i="29"/>
  <c r="W403" i="29"/>
  <c r="W75" i="29"/>
  <c r="W47" i="29"/>
  <c r="W174" i="29"/>
  <c r="W62" i="29"/>
  <c r="W289" i="29"/>
  <c r="W101" i="29"/>
  <c r="W449" i="29"/>
  <c r="W143" i="29"/>
  <c r="W170" i="29"/>
  <c r="W156" i="29"/>
  <c r="W96" i="29"/>
  <c r="W284" i="29"/>
  <c r="W94" i="29"/>
  <c r="W475" i="29"/>
  <c r="W627" i="29"/>
  <c r="W225" i="29"/>
  <c r="W317" i="29"/>
  <c r="W285" i="29"/>
  <c r="W547" i="29"/>
  <c r="W448" i="29"/>
  <c r="W26" i="29"/>
  <c r="W293" i="29"/>
  <c r="W322" i="29"/>
  <c r="W226" i="29"/>
  <c r="W329" i="29"/>
  <c r="W260" i="29"/>
  <c r="W436" i="29"/>
  <c r="W605" i="29"/>
  <c r="W237" i="29"/>
  <c r="W434" i="29"/>
  <c r="W560" i="29"/>
  <c r="W28" i="29"/>
  <c r="W290" i="29"/>
  <c r="W73" i="29"/>
  <c r="W581" i="29"/>
  <c r="W493" i="29"/>
  <c r="W528" i="29"/>
  <c r="W321" i="29"/>
  <c r="W57" i="29"/>
  <c r="W220" i="29"/>
  <c r="W608" i="29"/>
  <c r="W552" i="29"/>
  <c r="W259" i="29"/>
  <c r="W25" i="29"/>
  <c r="W234" i="29"/>
  <c r="W103" i="29"/>
  <c r="W599" i="29"/>
  <c r="W492" i="29"/>
  <c r="W568" i="29"/>
  <c r="W327" i="29"/>
  <c r="W214" i="29"/>
  <c r="W427" i="29"/>
  <c r="W216" i="29"/>
  <c r="W23" i="29"/>
  <c r="W218" i="29"/>
  <c r="W545" i="29"/>
  <c r="W524" i="29"/>
  <c r="W144" i="29"/>
  <c r="W531" i="29"/>
  <c r="W369" i="29"/>
  <c r="W334" i="29"/>
  <c r="W432" i="29"/>
  <c r="W39" i="29"/>
  <c r="W485" i="29"/>
  <c r="W465" i="29"/>
  <c r="W221" i="29"/>
  <c r="W27" i="29"/>
  <c r="W186" i="29"/>
  <c r="W117" i="29"/>
  <c r="W297" i="29"/>
  <c r="W141" i="29"/>
  <c r="W32" i="29"/>
  <c r="W272" i="29"/>
  <c r="W147" i="29"/>
  <c r="W444" i="29"/>
  <c r="W154" i="29"/>
  <c r="W202" i="29"/>
  <c r="W437" i="29"/>
  <c r="W288" i="29"/>
  <c r="W389" i="29"/>
  <c r="W507" i="29"/>
  <c r="W175" i="29"/>
  <c r="W252" i="29"/>
  <c r="W562" i="29"/>
  <c r="W82" i="29"/>
  <c r="W483" i="29"/>
  <c r="W86" i="29"/>
  <c r="W575" i="29"/>
  <c r="W257" i="29"/>
  <c r="W415" i="29"/>
  <c r="W339" i="29"/>
  <c r="W508" i="29"/>
  <c r="W619" i="29"/>
  <c r="W280" i="29"/>
  <c r="W185" i="29"/>
  <c r="W21" i="29"/>
  <c r="W118" i="29"/>
  <c r="W274" i="29"/>
  <c r="W410" i="29"/>
  <c r="W307" i="29"/>
  <c r="W157" i="29"/>
  <c r="W254" i="29"/>
  <c r="W89" i="29"/>
  <c r="W351" i="29"/>
  <c r="W44" i="29"/>
  <c r="W506" i="29"/>
  <c r="W576" i="29"/>
  <c r="W401" i="29"/>
  <c r="W273" i="29"/>
  <c r="W388" i="29"/>
  <c r="W244" i="29"/>
  <c r="W354" i="29"/>
  <c r="W130" i="29"/>
  <c r="W326" i="29"/>
  <c r="W315" i="29"/>
  <c r="W320" i="29"/>
  <c r="W255" i="29"/>
  <c r="W48" i="29"/>
  <c r="W366" i="29"/>
  <c r="W91" i="29"/>
  <c r="W600" i="29"/>
  <c r="W382" i="29"/>
  <c r="W487" i="29"/>
  <c r="W177" i="29"/>
  <c r="W201" i="29"/>
  <c r="W204" i="29"/>
  <c r="W338" i="29"/>
  <c r="W266" i="29"/>
  <c r="W79" i="29"/>
  <c r="W392" i="29"/>
  <c r="W314" i="29"/>
  <c r="W180" i="29"/>
  <c r="W264" i="29"/>
  <c r="W625" i="29"/>
  <c r="W219" i="29"/>
  <c r="W33" i="29"/>
  <c r="W171" i="29"/>
  <c r="W361" i="29"/>
  <c r="W527" i="29"/>
  <c r="W453" i="29"/>
  <c r="W63" i="29"/>
  <c r="W494" i="29"/>
  <c r="W548" i="29"/>
  <c r="W207" i="29"/>
  <c r="W514" i="29"/>
  <c r="W131" i="29"/>
  <c r="W84" i="29"/>
  <c r="W276" i="29"/>
  <c r="W570" i="29"/>
  <c r="W440" i="29"/>
  <c r="W454" i="29"/>
  <c r="W189" i="29"/>
  <c r="W269" i="29"/>
  <c r="W609" i="29"/>
  <c r="W360" i="29"/>
  <c r="W251" i="29"/>
  <c r="W85" i="29"/>
  <c r="W231" i="29"/>
  <c r="W87" i="29"/>
  <c r="W461" i="29"/>
  <c r="W258" i="29"/>
  <c r="W38" i="29"/>
  <c r="W74" i="29"/>
  <c r="W301" i="29"/>
  <c r="W482" i="29"/>
  <c r="W573" i="29"/>
  <c r="W106" i="29"/>
  <c r="W572" i="29"/>
  <c r="W497" i="29"/>
  <c r="W109" i="29"/>
  <c r="W429" i="29"/>
  <c r="W193" i="29"/>
  <c r="W399" i="29"/>
  <c r="W213" i="29"/>
  <c r="W305" i="29"/>
  <c r="W455" i="29"/>
  <c r="W194" i="29"/>
  <c r="W299" i="29"/>
  <c r="W426" i="29"/>
  <c r="W398" i="29"/>
  <c r="W353" i="29"/>
  <c r="W248" i="29"/>
  <c r="W513" i="29"/>
  <c r="W235" i="29"/>
  <c r="W477" i="29"/>
  <c r="W83" i="29"/>
  <c r="W283" i="29"/>
  <c r="W145" i="29"/>
  <c r="W115" i="29"/>
  <c r="W400" i="29"/>
  <c r="W556" i="29"/>
  <c r="W523" i="29"/>
  <c r="W192" i="29"/>
  <c r="W56" i="29"/>
  <c r="W197" i="29"/>
  <c r="W77" i="29"/>
  <c r="W374" i="29"/>
  <c r="W184" i="29"/>
  <c r="W138" i="29"/>
  <c r="W367" i="29"/>
  <c r="W69" i="29"/>
  <c r="W566" i="29"/>
  <c r="W337" i="29"/>
  <c r="W557" i="29"/>
  <c r="W394" i="29"/>
  <c r="W588" i="29"/>
  <c r="W279" i="29"/>
  <c r="W24" i="29"/>
  <c r="W372" i="29"/>
  <c r="W504" i="29"/>
  <c r="W126" i="29"/>
  <c r="W620" i="29"/>
  <c r="X9" i="29"/>
  <c r="W428" i="29"/>
  <c r="W387" i="29"/>
  <c r="W65" i="29"/>
  <c r="W325" i="29"/>
  <c r="W4" i="29"/>
  <c r="J5" i="30" s="1"/>
  <c r="P27" i="30" s="1"/>
  <c r="W555" i="29"/>
  <c r="W104" i="29"/>
  <c r="W435" i="29"/>
  <c r="W210" i="29"/>
  <c r="W17" i="29"/>
  <c r="W191" i="29"/>
  <c r="W64" i="29"/>
  <c r="W146" i="29"/>
  <c r="W368" i="29"/>
  <c r="W561" i="29"/>
  <c r="W43" i="29"/>
  <c r="W172" i="29"/>
  <c r="W452" i="29"/>
  <c r="W95" i="29"/>
  <c r="W417" i="29"/>
  <c r="W544" i="29"/>
  <c r="W178" i="29"/>
  <c r="W613" i="29"/>
  <c r="W110" i="29"/>
  <c r="W78" i="29"/>
  <c r="W584" i="29"/>
  <c r="W166" i="29"/>
  <c r="W229" i="29"/>
  <c r="W76" i="29"/>
  <c r="W344" i="29"/>
  <c r="W242" i="29"/>
  <c r="W296" i="29"/>
  <c r="W380" i="29"/>
  <c r="W596" i="29"/>
  <c r="W88" i="29"/>
  <c r="W250" i="29"/>
  <c r="W345" i="29"/>
  <c r="W489" i="29"/>
  <c r="W127" i="29"/>
  <c r="W500" i="29"/>
  <c r="W592" i="29"/>
  <c r="W470" i="29"/>
  <c r="W155" i="29"/>
  <c r="W45" i="29"/>
  <c r="W551" i="29"/>
  <c r="W479" i="29"/>
  <c r="W569" i="29"/>
  <c r="W396" i="29"/>
  <c r="W522" i="29"/>
  <c r="W499" i="29"/>
  <c r="W378" i="29"/>
  <c r="W480" i="29"/>
  <c r="W464" i="29"/>
  <c r="W529" i="29"/>
  <c r="W390" i="29"/>
  <c r="W261" i="29"/>
  <c r="W163" i="29"/>
  <c r="W165" i="29"/>
  <c r="W135" i="29"/>
  <c r="W142" i="29"/>
  <c r="W49" i="29"/>
  <c r="W521" i="29"/>
  <c r="W518" i="29"/>
  <c r="W18" i="29"/>
  <c r="W534" i="29"/>
  <c r="W246" i="29"/>
  <c r="W22" i="29"/>
  <c r="W421" i="29"/>
  <c r="X10" i="29" l="1"/>
  <c r="X599" i="29" s="1"/>
  <c r="X292" i="29"/>
  <c r="X378" i="29"/>
  <c r="X59" i="29"/>
  <c r="X94" i="29"/>
  <c r="X281" i="29"/>
  <c r="X158" i="29"/>
  <c r="X51" i="29"/>
  <c r="X425" i="29"/>
  <c r="X561" i="29"/>
  <c r="X408" i="29"/>
  <c r="X264" i="29"/>
  <c r="X223" i="29"/>
  <c r="X459" i="29"/>
  <c r="X269" i="29"/>
  <c r="X494" i="29"/>
  <c r="X382" i="29"/>
  <c r="X260" i="29"/>
  <c r="X325" i="29"/>
  <c r="X297" i="29"/>
  <c r="X149" i="29"/>
  <c r="X412" i="29"/>
  <c r="X194" i="29"/>
  <c r="X484" i="29"/>
  <c r="X367" i="29"/>
  <c r="X39" i="29"/>
  <c r="X92" i="29"/>
  <c r="X276" i="29"/>
  <c r="X531" i="29"/>
  <c r="X380" i="29"/>
  <c r="X42" i="29"/>
  <c r="X156" i="29"/>
  <c r="X443" i="29"/>
  <c r="X208" i="29"/>
  <c r="X104" i="29"/>
  <c r="X606" i="29"/>
  <c r="X283" i="29"/>
  <c r="X497" i="29"/>
  <c r="X438" i="29"/>
  <c r="X533" i="29"/>
  <c r="X82" i="29"/>
  <c r="X480" i="29"/>
  <c r="X493" i="29"/>
  <c r="X568" i="29"/>
  <c r="X463" i="29"/>
  <c r="X131" i="29"/>
  <c r="X411" i="29"/>
  <c r="X543" i="29"/>
  <c r="X610" i="29"/>
  <c r="X210" i="29"/>
  <c r="X608" i="29"/>
  <c r="X77" i="29"/>
  <c r="X546" i="29"/>
  <c r="X72" i="29"/>
  <c r="X464" i="29"/>
  <c r="X396" i="29"/>
  <c r="X137" i="29"/>
  <c r="X20" i="29"/>
  <c r="X485" i="29"/>
  <c r="X96" i="29"/>
  <c r="X200" i="29"/>
  <c r="X448" i="29"/>
  <c r="X328" i="29"/>
  <c r="X342" i="29"/>
  <c r="X473" i="29"/>
  <c r="X141" i="29"/>
  <c r="X93" i="29"/>
  <c r="X513" i="29"/>
  <c r="X356" i="29"/>
  <c r="X432" i="29"/>
  <c r="X165" i="29"/>
  <c r="X445" i="29"/>
  <c r="X597" i="29"/>
  <c r="X239" i="29"/>
  <c r="X147" i="29"/>
  <c r="X259" i="29"/>
  <c r="X477" i="29"/>
  <c r="X240" i="29"/>
  <c r="X551" i="29"/>
  <c r="X460" i="29"/>
  <c r="X222" i="29"/>
  <c r="X501" i="29"/>
  <c r="X242" i="29"/>
  <c r="X475" i="29"/>
  <c r="X423" i="29"/>
  <c r="X397" i="29"/>
  <c r="X340" i="29"/>
  <c r="X335" i="29"/>
  <c r="X415" i="29"/>
  <c r="X529" i="29"/>
  <c r="X601" i="29"/>
  <c r="X154" i="29"/>
  <c r="X176" i="29"/>
  <c r="X211" i="29"/>
  <c r="X90" i="29"/>
  <c r="X209" i="29"/>
  <c r="X462" i="29"/>
  <c r="X624" i="29"/>
  <c r="X379" i="29"/>
  <c r="X585" i="29"/>
  <c r="X302" i="29"/>
  <c r="X22" i="29"/>
  <c r="X163" i="29"/>
  <c r="X219" i="29"/>
  <c r="X362" i="29"/>
  <c r="X151" i="29"/>
  <c r="X400" i="29"/>
  <c r="X36" i="29"/>
  <c r="X164" i="29"/>
  <c r="X596" i="29"/>
  <c r="X250" i="29"/>
  <c r="X401" i="29"/>
  <c r="X479" i="29"/>
  <c r="X126" i="29"/>
  <c r="X86" i="29"/>
  <c r="X391" i="29"/>
  <c r="X197" i="29"/>
  <c r="X56" i="29"/>
  <c r="X310" i="29"/>
  <c r="X424" i="29"/>
  <c r="X369" i="29"/>
  <c r="X57" i="29"/>
  <c r="X550" i="29"/>
  <c r="X458" i="29"/>
  <c r="X187" i="29"/>
  <c r="X62" i="29"/>
  <c r="X541" i="29"/>
  <c r="X468" i="29"/>
  <c r="X35" i="29"/>
  <c r="X102" i="29"/>
  <c r="X525" i="29"/>
  <c r="X128" i="29"/>
  <c r="X482" i="29"/>
  <c r="X85" i="29"/>
  <c r="X291" i="29"/>
  <c r="X346" i="29"/>
  <c r="X227" i="29"/>
  <c r="X451" i="29"/>
  <c r="X41" i="29"/>
  <c r="X598" i="29"/>
  <c r="X623" i="29"/>
  <c r="X230" i="29"/>
  <c r="X578" i="29"/>
  <c r="X305" i="29"/>
  <c r="X262" i="29"/>
  <c r="X229" i="29"/>
  <c r="X265" i="29"/>
  <c r="X469" i="29"/>
  <c r="X528" i="29"/>
  <c r="X266" i="29"/>
  <c r="X306" i="29"/>
  <c r="X169" i="29"/>
  <c r="X446" i="29"/>
  <c r="X393" i="29"/>
  <c r="X372" i="29"/>
  <c r="X294" i="29"/>
  <c r="X559" i="29"/>
  <c r="X157" i="29"/>
  <c r="X609" i="29"/>
  <c r="X198" i="29"/>
  <c r="X189" i="29"/>
  <c r="X106" i="29"/>
  <c r="X517" i="29"/>
  <c r="X344" i="29"/>
  <c r="X611" i="29"/>
  <c r="X286" i="29"/>
  <c r="X129" i="29"/>
  <c r="X45" i="29"/>
  <c r="X371" i="29"/>
  <c r="X271" i="29"/>
  <c r="X569" i="29"/>
  <c r="X552" i="29"/>
  <c r="X24" i="29"/>
  <c r="X204" i="29"/>
  <c r="X544" i="29"/>
  <c r="X390" i="29"/>
  <c r="X278" i="29"/>
  <c r="X454" i="29"/>
  <c r="X414" i="29"/>
  <c r="X402" i="29"/>
  <c r="X409" i="29"/>
  <c r="X502" i="29"/>
  <c r="X263" i="29"/>
  <c r="X125" i="29"/>
  <c r="X435" i="29"/>
  <c r="X560" i="29"/>
  <c r="X225" i="29"/>
  <c r="X337" i="29"/>
  <c r="X359" i="29"/>
  <c r="X99" i="29"/>
  <c r="X53" i="29"/>
  <c r="X618" i="29"/>
  <c r="X289" i="29"/>
  <c r="X518" i="29"/>
  <c r="X364" i="29"/>
  <c r="X353" i="29"/>
  <c r="X161" i="29"/>
  <c r="X388" i="29"/>
  <c r="X280" i="29"/>
  <c r="X461" i="29"/>
  <c r="X455" i="29"/>
  <c r="X465" i="29"/>
  <c r="X351" i="29"/>
  <c r="X613" i="29"/>
  <c r="X79" i="29"/>
  <c r="X175" i="29"/>
  <c r="X252" i="29"/>
  <c r="X213" i="29"/>
  <c r="X512" i="29"/>
  <c r="X604" i="29"/>
  <c r="X235" i="29"/>
  <c r="X38" i="29"/>
  <c r="X386" i="29"/>
  <c r="X95" i="29"/>
  <c r="X48" i="29"/>
  <c r="X584" i="29"/>
  <c r="X553" i="29"/>
  <c r="X467" i="29"/>
  <c r="X565" i="29"/>
  <c r="X592" i="29"/>
  <c r="X503" i="29"/>
  <c r="X21" i="29"/>
  <c r="X46" i="29"/>
  <c r="X536" i="29"/>
  <c r="X354" i="29"/>
  <c r="X162" i="29"/>
  <c r="X316" i="29"/>
  <c r="X314" i="29"/>
  <c r="X315" i="29"/>
  <c r="X190" i="29"/>
  <c r="X427" i="29"/>
  <c r="X115" i="29"/>
  <c r="X492" i="29"/>
  <c r="X583" i="29"/>
  <c r="X33" i="29"/>
  <c r="X582" i="29"/>
  <c r="X116" i="29"/>
  <c r="X290" i="29"/>
  <c r="X545" i="29"/>
  <c r="X511" i="29"/>
  <c r="X307" i="29"/>
  <c r="X490" i="29"/>
  <c r="X130" i="29"/>
  <c r="X195" i="29"/>
  <c r="X226" i="29"/>
  <c r="X70" i="29"/>
  <c r="X416" i="29"/>
  <c r="X124" i="29"/>
  <c r="X442" i="29"/>
  <c r="X313" i="29"/>
  <c r="X308" i="29"/>
  <c r="X521" i="29"/>
  <c r="X428" i="29"/>
  <c r="X508" i="29"/>
  <c r="X43" i="29"/>
  <c r="X172" i="29"/>
  <c r="X178" i="29"/>
  <c r="X192" i="29"/>
  <c r="X495" i="29"/>
  <c r="X55" i="29"/>
  <c r="X168" i="29"/>
  <c r="X363" i="29"/>
  <c r="X341" i="29"/>
  <c r="X322" i="29"/>
  <c r="X217" i="29"/>
  <c r="X44" i="29"/>
  <c r="X366" i="29"/>
  <c r="X121" i="29"/>
  <c r="X357" i="29"/>
  <c r="X245" i="29"/>
  <c r="X63" i="29"/>
  <c r="X188" i="29"/>
  <c r="X29" i="29"/>
  <c r="X304" i="29"/>
  <c r="X224" i="29"/>
  <c r="X201" i="29"/>
  <c r="X251" i="29"/>
  <c r="X138" i="29"/>
  <c r="X413" i="29"/>
  <c r="X394" i="29"/>
  <c r="X368" i="29"/>
  <c r="X228" i="29"/>
  <c r="X159" i="29"/>
  <c r="X298" i="29"/>
  <c r="X519" i="29"/>
  <c r="X203" i="29"/>
  <c r="X605" i="29"/>
  <c r="X616" i="29"/>
  <c r="X68" i="29"/>
  <c r="X184" i="29"/>
  <c r="X118" i="29"/>
  <c r="X336" i="29"/>
  <c r="X433" i="29"/>
  <c r="X320" i="29"/>
  <c r="X180" i="29"/>
  <c r="X441" i="29"/>
  <c r="X339" i="29"/>
  <c r="X421" i="29"/>
  <c r="X58" i="29"/>
  <c r="X109" i="29"/>
  <c r="X621" i="29"/>
  <c r="X358" i="29"/>
  <c r="X301" i="29"/>
  <c r="X589" i="29"/>
  <c r="X274" i="29"/>
  <c r="X491" i="29"/>
  <c r="X277" i="29"/>
  <c r="X54" i="29"/>
  <c r="X488" i="29"/>
  <c r="X303" i="29"/>
  <c r="X381" i="29"/>
  <c r="X370" i="29"/>
  <c r="X387" i="29"/>
  <c r="X50" i="29"/>
  <c r="X476" i="29"/>
  <c r="X360" i="29"/>
  <c r="X282" i="29"/>
  <c r="X430" i="29"/>
  <c r="X174" i="29"/>
  <c r="X329" i="29"/>
  <c r="X573" i="29"/>
  <c r="X389" i="29"/>
  <c r="X537" i="29"/>
  <c r="X257" i="29"/>
  <c r="X88" i="29"/>
  <c r="X81" i="29"/>
  <c r="X450" i="29"/>
  <c r="X32" i="29"/>
  <c r="X23" i="29"/>
  <c r="X556" i="29"/>
  <c r="X105" i="29"/>
  <c r="X311" i="29"/>
  <c r="X466" i="29"/>
  <c r="X334" i="29"/>
  <c r="X84" i="29"/>
  <c r="X562" i="29"/>
  <c r="X478" i="29"/>
  <c r="X526" i="29"/>
  <c r="X516" i="29"/>
  <c r="X534" i="29"/>
  <c r="X343" i="29"/>
  <c r="X587" i="29"/>
  <c r="X620" i="29"/>
  <c r="X273" i="29"/>
  <c r="X410" i="29"/>
  <c r="X205" i="29"/>
  <c r="X75" i="29"/>
  <c r="X350" i="29"/>
  <c r="X18" i="29"/>
  <c r="X113" i="29"/>
  <c r="X279" i="29"/>
  <c r="X183" i="29"/>
  <c r="X349" i="29"/>
  <c r="X420" i="29"/>
  <c r="X419" i="29"/>
  <c r="X614" i="29"/>
  <c r="X196" i="29"/>
  <c r="X510" i="29"/>
  <c r="X374" i="29"/>
  <c r="X140" i="29"/>
  <c r="X30" i="29"/>
  <c r="X444" i="29"/>
  <c r="X522" i="29"/>
  <c r="X607" i="29"/>
  <c r="X571" i="29"/>
  <c r="X563" i="29"/>
  <c r="X220" i="29"/>
  <c r="X540" i="29"/>
  <c r="X348" i="29"/>
  <c r="X575" i="29"/>
  <c r="X167" i="29"/>
  <c r="X155" i="29"/>
  <c r="X103" i="29"/>
  <c r="X139" i="29"/>
  <c r="X407" i="29"/>
  <c r="X399" i="29"/>
  <c r="X542" i="29"/>
  <c r="X152" i="29"/>
  <c r="X515" i="29"/>
  <c r="X206" i="29"/>
  <c r="X285" i="29"/>
  <c r="X312" i="29"/>
  <c r="X270" i="29"/>
  <c r="X299" i="29"/>
  <c r="X40" i="29"/>
  <c r="X83" i="29"/>
  <c r="X61" i="29"/>
  <c r="X375" i="29"/>
  <c r="X272" i="29"/>
  <c r="X417" i="29"/>
  <c r="X173" i="29"/>
  <c r="X326" i="29"/>
  <c r="X383" i="29"/>
  <c r="X439" i="29"/>
  <c r="X574" i="29"/>
  <c r="X288" i="29"/>
  <c r="X347" i="29"/>
  <c r="X261" i="29"/>
  <c r="X78" i="29"/>
  <c r="X268" i="29"/>
  <c r="X406" i="29"/>
  <c r="X376" i="29"/>
  <c r="X449" i="29"/>
  <c r="X300" i="29"/>
  <c r="X481" i="29"/>
  <c r="X243" i="29"/>
  <c r="X246" i="29"/>
  <c r="X267" i="29"/>
  <c r="X499" i="29"/>
  <c r="X590" i="29"/>
  <c r="X275" i="29"/>
  <c r="X71" i="29"/>
  <c r="X19" i="29"/>
  <c r="X403" i="29"/>
  <c r="X527" i="29"/>
  <c r="X547" i="29"/>
  <c r="X321" i="29"/>
  <c r="X74" i="29"/>
  <c r="X212" i="29"/>
  <c r="X474" i="29"/>
  <c r="X530" i="29"/>
  <c r="X564" i="29"/>
  <c r="X548" i="29"/>
  <c r="X49" i="29"/>
  <c r="X558" i="29"/>
  <c r="X73" i="29"/>
  <c r="X119" i="29"/>
  <c r="X120" i="29"/>
  <c r="X489" i="29"/>
  <c r="X123" i="29"/>
  <c r="X248" i="29"/>
  <c r="X295" i="29"/>
  <c r="X249" i="29"/>
  <c r="X549" i="29"/>
  <c r="X111" i="29"/>
  <c r="X483" i="29"/>
  <c r="X181" i="29"/>
  <c r="X69" i="29"/>
  <c r="X470" i="29"/>
  <c r="X241" i="29"/>
  <c r="X323" i="29"/>
  <c r="X177" i="29"/>
  <c r="X214" i="29"/>
  <c r="X65" i="29"/>
  <c r="X144" i="29"/>
  <c r="X333" i="29"/>
  <c r="X619" i="29"/>
  <c r="X452" i="29"/>
  <c r="X216" i="29"/>
  <c r="X331" i="29"/>
  <c r="X486" i="29"/>
  <c r="X456" i="29"/>
  <c r="X91" i="29"/>
  <c r="X338" i="29"/>
  <c r="X179" i="29"/>
  <c r="X186" i="29"/>
  <c r="X505" i="29"/>
  <c r="X145" i="29"/>
  <c r="X453" i="29"/>
  <c r="X142" i="29"/>
  <c r="X622" i="29"/>
  <c r="X566" i="29"/>
  <c r="X37" i="29"/>
  <c r="X557" i="29"/>
  <c r="X404" i="29"/>
  <c r="X332" i="29"/>
  <c r="X385" i="29"/>
  <c r="X330" i="29"/>
  <c r="X365" i="29"/>
  <c r="X588" i="29"/>
  <c r="X215" i="29"/>
  <c r="X80" i="29"/>
  <c r="X233" i="29"/>
  <c r="X327" i="29"/>
  <c r="X236" i="29"/>
  <c r="X221" i="29"/>
  <c r="X64" i="29"/>
  <c r="X431" i="29"/>
  <c r="X101" i="29"/>
  <c r="X34" i="29"/>
  <c r="X132" i="29"/>
  <c r="X615" i="29"/>
  <c r="X287" i="29"/>
  <c r="X600" i="29"/>
  <c r="X594" i="29"/>
  <c r="X496" i="29"/>
  <c r="X361" i="29"/>
  <c r="X447" i="29"/>
  <c r="X114" i="29"/>
  <c r="X76" i="29"/>
  <c r="X603" i="29"/>
  <c r="X171" i="29"/>
  <c r="X532" i="29"/>
  <c r="X122" i="29"/>
  <c r="X185" i="29" l="1"/>
  <c r="X520" i="29"/>
  <c r="X146" i="29"/>
  <c r="X576" i="29"/>
  <c r="X352" i="29"/>
  <c r="X52" i="29"/>
  <c r="X487" i="29"/>
  <c r="X509" i="29"/>
  <c r="X500" i="29"/>
  <c r="X612" i="29"/>
  <c r="X506" i="29"/>
  <c r="X160" i="29"/>
  <c r="X626" i="29"/>
  <c r="X345" i="29"/>
  <c r="X182" i="29"/>
  <c r="X539" i="29"/>
  <c r="X555" i="29"/>
  <c r="X153" i="29"/>
  <c r="X237" i="29"/>
  <c r="X247" i="29"/>
  <c r="X586" i="29"/>
  <c r="X498" i="29"/>
  <c r="X392" i="29"/>
  <c r="X17" i="29"/>
  <c r="X627" i="29"/>
  <c r="X507" i="29"/>
  <c r="X504" i="29"/>
  <c r="X472" i="29"/>
  <c r="X127" i="29"/>
  <c r="X135" i="29"/>
  <c r="X395" i="29"/>
  <c r="X136" i="29"/>
  <c r="X31" i="29"/>
  <c r="X437" i="29"/>
  <c r="X97" i="29"/>
  <c r="X567" i="29"/>
  <c r="X405" i="29"/>
  <c r="X27" i="29"/>
  <c r="X244" i="29"/>
  <c r="X523" i="29"/>
  <c r="X199" i="29"/>
  <c r="X628" i="29"/>
  <c r="X577" i="29"/>
  <c r="X284" i="29"/>
  <c r="X319" i="29"/>
  <c r="X207" i="29"/>
  <c r="X66" i="29"/>
  <c r="X234" i="29"/>
  <c r="X238" i="29"/>
  <c r="X309" i="29"/>
  <c r="X108" i="29"/>
  <c r="X581" i="29"/>
  <c r="X398" i="29"/>
  <c r="X440" i="29"/>
  <c r="X384" i="29"/>
  <c r="X625" i="29"/>
  <c r="X629" i="29"/>
  <c r="X602" i="29"/>
  <c r="X293" i="29"/>
  <c r="X255" i="29"/>
  <c r="X258" i="29"/>
  <c r="X471" i="29"/>
  <c r="X107" i="29"/>
  <c r="X554" i="29"/>
  <c r="X117" i="29"/>
  <c r="X133" i="29"/>
  <c r="X218" i="29"/>
  <c r="X318" i="29"/>
  <c r="X143" i="29"/>
  <c r="X98" i="29"/>
  <c r="X170" i="29"/>
  <c r="X110" i="29"/>
  <c r="X89" i="29"/>
  <c r="X355" i="29"/>
  <c r="X630" i="29"/>
  <c r="X617" i="29"/>
  <c r="X593" i="29"/>
  <c r="X535" i="29"/>
  <c r="X524" i="29"/>
  <c r="X426" i="29"/>
  <c r="X580" i="29"/>
  <c r="X232" i="29"/>
  <c r="X253" i="29"/>
  <c r="X514" i="29"/>
  <c r="X591" i="29"/>
  <c r="X193" i="29"/>
  <c r="X595" i="29"/>
  <c r="X191" i="29"/>
  <c r="X231" i="29"/>
  <c r="X434" i="29"/>
  <c r="X572" i="29"/>
  <c r="X429" i="29"/>
  <c r="X47" i="29"/>
  <c r="X134" i="29"/>
  <c r="X28" i="29"/>
  <c r="X100" i="29"/>
  <c r="X148" i="29"/>
  <c r="X87" i="29"/>
  <c r="X418" i="29"/>
  <c r="X60" i="29"/>
  <c r="X422" i="29"/>
  <c r="X570" i="29"/>
  <c r="X436" i="29"/>
  <c r="X67" i="29"/>
  <c r="X112" i="29"/>
  <c r="X296" i="29"/>
  <c r="X373" i="29"/>
  <c r="X25" i="29"/>
  <c r="X317" i="29"/>
  <c r="X202" i="29"/>
  <c r="Y9" i="29"/>
  <c r="X254" i="29"/>
  <c r="X579" i="29"/>
  <c r="X166" i="29"/>
  <c r="X377" i="29"/>
  <c r="X150" i="29"/>
  <c r="X457" i="29"/>
  <c r="X324" i="29"/>
  <c r="X26" i="29"/>
  <c r="X538" i="29"/>
  <c r="X4" i="29" s="1"/>
  <c r="K5" i="30" s="1"/>
  <c r="X256" i="29"/>
  <c r="Y10" i="29" l="1"/>
  <c r="Z9" i="29" s="1"/>
  <c r="Y422" i="29"/>
  <c r="Y114" i="29"/>
  <c r="Y143" i="29"/>
  <c r="Y500" i="29"/>
  <c r="Y217" i="29"/>
  <c r="Y219" i="29"/>
  <c r="Y215" i="29"/>
  <c r="Y624" i="29"/>
  <c r="Y112" i="29"/>
  <c r="Y326" i="29"/>
  <c r="Y522" i="29"/>
  <c r="Y418" i="29"/>
  <c r="Y393" i="29"/>
  <c r="Y375" i="29"/>
  <c r="Y335" i="29"/>
  <c r="Y402" i="29"/>
  <c r="Y360" i="29"/>
  <c r="Y124" i="29"/>
  <c r="Y338" i="29"/>
  <c r="Y532" i="29"/>
  <c r="Y172" i="29"/>
  <c r="Y607" i="29"/>
  <c r="Y228" i="29"/>
  <c r="Y188" i="29"/>
  <c r="Y370" i="29"/>
  <c r="Y261" i="29"/>
  <c r="Y127" i="29"/>
  <c r="Y486" i="29"/>
  <c r="Y547" i="29"/>
  <c r="Y246" i="29"/>
  <c r="Y494" i="29"/>
  <c r="Y621" i="29"/>
  <c r="Y21" i="29"/>
  <c r="Y330" i="29"/>
  <c r="Y39" i="29"/>
  <c r="Y207" i="29"/>
  <c r="Y222" i="29"/>
  <c r="Y294" i="29"/>
  <c r="Y359" i="29"/>
  <c r="Y96" i="29"/>
  <c r="Y457" i="29"/>
  <c r="Y301" i="29"/>
  <c r="Y79" i="29"/>
  <c r="Y332" i="29"/>
  <c r="Y139" i="29"/>
  <c r="Y164" i="29"/>
  <c r="Y415" i="29"/>
  <c r="Y454" i="29"/>
  <c r="Y490" i="29"/>
  <c r="Y327" i="29"/>
  <c r="Y614" i="29"/>
  <c r="Y287" i="29"/>
  <c r="Y354" i="29"/>
  <c r="Y442" i="29"/>
  <c r="Y283" i="29"/>
  <c r="Y286" i="29"/>
  <c r="Y515" i="29"/>
  <c r="Y72" i="29"/>
  <c r="Y534" i="29"/>
  <c r="Y598" i="29"/>
  <c r="Y247" i="29"/>
  <c r="Y266" i="29"/>
  <c r="Y103" i="29"/>
  <c r="Y125" i="29"/>
  <c r="Y70" i="29"/>
  <c r="Y420" i="29"/>
  <c r="Y342" i="29"/>
  <c r="Y170" i="29"/>
  <c r="Y87" i="29"/>
  <c r="Y581" i="29"/>
  <c r="Y262" i="29"/>
  <c r="Y464" i="29"/>
  <c r="Y401" i="29"/>
  <c r="Y98" i="29"/>
  <c r="Y50" i="29"/>
  <c r="Y97" i="29"/>
  <c r="Y75" i="29"/>
  <c r="Y356" i="29"/>
  <c r="Y575" i="29"/>
  <c r="Y331" i="29"/>
  <c r="Y226" i="29"/>
  <c r="Y610" i="29"/>
  <c r="Y392" i="29"/>
  <c r="Y242" i="29"/>
  <c r="Y171" i="29"/>
  <c r="Y117" i="29"/>
  <c r="Y483" i="29"/>
  <c r="Y210" i="29"/>
  <c r="Y201" i="29"/>
  <c r="Y137" i="29"/>
  <c r="Y463" i="29"/>
  <c r="Y529" i="29"/>
  <c r="Y64" i="29"/>
  <c r="Y140" i="29"/>
  <c r="Y268" i="29"/>
  <c r="Y399" i="29"/>
  <c r="Y358" i="29"/>
  <c r="Y618" i="29"/>
  <c r="Y107" i="29"/>
  <c r="Y198" i="29"/>
  <c r="Y423" i="29"/>
  <c r="Y416" i="29"/>
  <c r="Y31" i="29"/>
  <c r="Y461" i="29"/>
  <c r="Y209" i="29"/>
  <c r="Y129" i="29"/>
  <c r="Y421" i="29"/>
  <c r="Y100" i="29"/>
  <c r="Y533" i="29"/>
  <c r="Y275" i="29"/>
  <c r="Y526" i="29"/>
  <c r="Y235" i="29"/>
  <c r="Y243" i="29"/>
  <c r="Y474" i="29"/>
  <c r="Y397" i="29"/>
  <c r="Y549" i="29"/>
  <c r="Y265" i="29"/>
  <c r="Y467" i="29"/>
  <c r="Y609" i="29"/>
  <c r="Y216" i="29"/>
  <c r="Y552" i="29"/>
  <c r="Y491" i="29"/>
  <c r="Y161" i="29"/>
  <c r="Y162" i="29"/>
  <c r="Y455" i="29"/>
  <c r="Y244" i="29"/>
  <c r="Y26" i="29"/>
  <c r="Y37" i="29"/>
  <c r="Y189" i="29"/>
  <c r="Y183" i="29"/>
  <c r="Y225" i="29"/>
  <c r="Y214" i="29"/>
  <c r="Y448" i="29"/>
  <c r="Y496" i="29"/>
  <c r="Y34" i="29"/>
  <c r="Y120" i="29"/>
  <c r="Y584" i="29"/>
  <c r="Y155" i="29"/>
  <c r="Y502" i="29"/>
  <c r="Y369" i="29"/>
  <c r="Y153" i="29"/>
  <c r="Y298" i="29"/>
  <c r="Y206" i="29"/>
  <c r="Y540" i="29"/>
  <c r="Y347" i="29"/>
  <c r="Y151" i="29"/>
  <c r="Y220" i="29"/>
  <c r="Y367" i="29"/>
  <c r="Y348" i="29"/>
  <c r="Y435" i="29" l="1"/>
  <c r="Y65" i="29"/>
  <c r="Y163" i="29"/>
  <c r="Y538" i="29"/>
  <c r="Y390" i="29"/>
  <c r="Y535" i="29"/>
  <c r="Y196" i="29"/>
  <c r="Y559" i="29"/>
  <c r="Y178" i="29"/>
  <c r="Y564" i="29"/>
  <c r="Y513" i="29"/>
  <c r="Y627" i="29"/>
  <c r="Y310" i="29"/>
  <c r="Y173" i="29"/>
  <c r="Y208" i="29"/>
  <c r="Y69" i="29"/>
  <c r="Y323" i="29"/>
  <c r="Y413" i="29"/>
  <c r="Y407" i="29"/>
  <c r="Y284" i="29"/>
  <c r="Y508" i="29"/>
  <c r="Y551" i="29"/>
  <c r="Y299" i="29"/>
  <c r="Y629" i="29"/>
  <c r="Y439" i="29"/>
  <c r="Y521" i="29"/>
  <c r="Y594" i="29"/>
  <c r="Y312" i="29"/>
  <c r="Y29" i="29"/>
  <c r="Y527" i="29"/>
  <c r="Y546" i="29"/>
  <c r="Y363" i="29"/>
  <c r="Y245" i="29"/>
  <c r="Y586" i="29"/>
  <c r="Y52" i="29"/>
  <c r="Y238" i="29"/>
  <c r="Y115" i="29"/>
  <c r="Y616" i="29"/>
  <c r="Y587" i="29"/>
  <c r="Y167" i="29"/>
  <c r="Y134" i="29"/>
  <c r="Y628" i="29"/>
  <c r="Y278" i="29"/>
  <c r="Y553" i="29"/>
  <c r="Y475" i="29"/>
  <c r="Y194" i="29"/>
  <c r="Y147" i="29"/>
  <c r="Y156" i="29"/>
  <c r="Y195" i="29"/>
  <c r="Y489" i="29"/>
  <c r="Y414" i="29"/>
  <c r="Y234" i="29"/>
  <c r="Y154" i="29"/>
  <c r="Y531" i="29"/>
  <c r="Y425" i="29"/>
  <c r="Y199" i="29"/>
  <c r="Y630" i="29"/>
  <c r="Y376" i="29"/>
  <c r="Y592" i="29"/>
  <c r="Y453" i="29"/>
  <c r="Y256" i="29"/>
  <c r="Y86" i="29"/>
  <c r="Y462" i="29"/>
  <c r="Y276" i="29"/>
  <c r="Y54" i="29"/>
  <c r="Y333" i="29"/>
  <c r="Y438" i="29"/>
  <c r="Y470" i="29"/>
  <c r="Y101" i="29"/>
  <c r="Y157" i="29"/>
  <c r="Y341" i="29"/>
  <c r="Y308" i="29"/>
  <c r="Y132" i="29"/>
  <c r="Y395" i="29"/>
  <c r="Y297" i="29"/>
  <c r="Y304" i="29"/>
  <c r="Y626" i="29"/>
  <c r="Y510" i="29"/>
  <c r="Y66" i="29"/>
  <c r="Y263" i="29"/>
  <c r="Y109" i="29"/>
  <c r="Y28" i="29"/>
  <c r="Y507" i="29"/>
  <c r="Y445" i="29"/>
  <c r="Y622" i="29"/>
  <c r="Y303" i="29"/>
  <c r="Y25" i="29"/>
  <c r="Y600" i="29"/>
  <c r="Y319" i="29"/>
  <c r="Y357" i="29"/>
  <c r="Y406" i="29"/>
  <c r="Y78" i="29"/>
  <c r="Y378" i="29"/>
  <c r="Y95" i="29"/>
  <c r="Y313" i="29"/>
  <c r="Y91" i="29"/>
  <c r="Y524" i="29"/>
  <c r="Y118" i="29"/>
  <c r="Y59" i="29"/>
  <c r="Y485" i="29"/>
  <c r="Y567" i="29"/>
  <c r="Y543" i="29"/>
  <c r="Y615" i="29"/>
  <c r="Y251" i="29"/>
  <c r="Y296" i="29"/>
  <c r="Y380" i="29"/>
  <c r="Y344" i="29"/>
  <c r="Y169" i="29"/>
  <c r="Y43" i="29"/>
  <c r="Y404" i="29"/>
  <c r="Y579" i="29"/>
  <c r="Y408" i="29"/>
  <c r="Y403" i="29"/>
  <c r="Y383" i="29"/>
  <c r="Y122" i="29"/>
  <c r="Y487" i="29"/>
  <c r="Y382" i="29"/>
  <c r="Y590" i="29"/>
  <c r="Y334" i="29"/>
  <c r="Y279" i="29"/>
  <c r="Y346" i="29"/>
  <c r="Y314" i="29"/>
  <c r="Y41" i="29"/>
  <c r="Y81" i="29"/>
  <c r="Y563" i="29"/>
  <c r="Y371" i="29"/>
  <c r="Y47" i="29"/>
  <c r="Y583" i="29"/>
  <c r="Y291" i="29"/>
  <c r="Y555" i="29"/>
  <c r="Y136" i="29"/>
  <c r="Y89" i="29"/>
  <c r="Y566" i="29"/>
  <c r="Y106" i="29"/>
  <c r="Y343" i="29"/>
  <c r="Y441" i="29"/>
  <c r="Y605" i="29"/>
  <c r="Y116" i="29"/>
  <c r="Y593" i="29"/>
  <c r="Y572" i="29"/>
  <c r="Y588" i="29"/>
  <c r="Y499" i="29"/>
  <c r="Y384" i="29"/>
  <c r="Y364" i="29"/>
  <c r="Y211" i="29"/>
  <c r="Y182" i="29"/>
  <c r="Y257" i="29"/>
  <c r="Y53" i="29"/>
  <c r="Y240" i="29"/>
  <c r="Y571" i="29"/>
  <c r="Y203" i="29"/>
  <c r="Y400" i="29"/>
  <c r="Y51" i="29"/>
  <c r="Y32" i="29"/>
  <c r="Y471" i="29"/>
  <c r="Y146" i="29"/>
  <c r="Y619" i="29"/>
  <c r="Y625" i="29"/>
  <c r="Y302" i="29"/>
  <c r="Y444" i="29"/>
  <c r="Y386" i="29"/>
  <c r="Y123" i="29"/>
  <c r="Y429" i="29"/>
  <c r="Y281" i="29"/>
  <c r="Y561" i="29"/>
  <c r="Y60" i="29"/>
  <c r="Y424" i="29"/>
  <c r="Y373" i="29"/>
  <c r="Y221" i="29"/>
  <c r="Y536" i="29"/>
  <c r="Y478" i="29"/>
  <c r="Y452" i="29"/>
  <c r="Y557" i="29"/>
  <c r="Y197" i="29"/>
  <c r="Y419" i="29"/>
  <c r="Y204" i="29"/>
  <c r="Y27" i="29"/>
  <c r="Y427" i="29"/>
  <c r="Y405" i="29"/>
  <c r="Y61" i="29"/>
  <c r="Y550" i="29"/>
  <c r="Y148" i="29"/>
  <c r="Y477" i="29"/>
  <c r="Y230" i="29"/>
  <c r="Y539" i="29"/>
  <c r="Y17" i="29"/>
  <c r="Y179" i="29"/>
  <c r="Y315" i="29"/>
  <c r="Y128" i="29"/>
  <c r="Y93" i="29"/>
  <c r="Y389" i="29"/>
  <c r="Y186" i="29"/>
  <c r="Y576" i="29"/>
  <c r="Y497" i="29"/>
  <c r="Y73" i="29"/>
  <c r="Y254" i="29"/>
  <c r="Y277" i="29"/>
  <c r="Y248" i="29"/>
  <c r="Y519" i="29"/>
  <c r="Y191" i="29"/>
  <c r="Y185" i="29"/>
  <c r="Y23" i="29"/>
  <c r="Y511" i="29"/>
  <c r="Y190" i="29"/>
  <c r="Y366" i="29"/>
  <c r="Y142" i="29"/>
  <c r="Y63" i="29"/>
  <c r="Y516" i="29"/>
  <c r="Y249" i="29"/>
  <c r="Y396" i="29"/>
  <c r="Y446" i="29"/>
  <c r="Y85" i="29"/>
  <c r="Y271" i="29"/>
  <c r="Y306" i="29"/>
  <c r="Y432" i="29"/>
  <c r="Y394" i="29"/>
  <c r="Y548" i="29"/>
  <c r="Y596" i="29"/>
  <c r="Y517" i="29"/>
  <c r="Y126" i="29"/>
  <c r="Y150" i="29"/>
  <c r="Y353" i="29"/>
  <c r="Y488" i="29"/>
  <c r="Y523" i="29"/>
  <c r="Y431" i="29"/>
  <c r="Y305" i="29"/>
  <c r="Y272" i="29"/>
  <c r="Y336" i="29"/>
  <c r="Y233" i="29"/>
  <c r="Y484" i="29"/>
  <c r="Y443" i="29"/>
  <c r="Y269" i="29"/>
  <c r="Y76" i="29"/>
  <c r="Y259" i="29"/>
  <c r="Y74" i="29"/>
  <c r="Y574" i="29"/>
  <c r="Y38" i="29"/>
  <c r="Y365" i="29"/>
  <c r="Y57" i="29"/>
  <c r="Y289" i="29"/>
  <c r="Y601" i="29"/>
  <c r="Y293" i="29"/>
  <c r="Y255" i="29"/>
  <c r="Y80" i="29"/>
  <c r="Y578" i="29"/>
  <c r="Y318" i="29"/>
  <c r="Y67" i="29"/>
  <c r="Y119" i="29"/>
  <c r="Y168" i="29"/>
  <c r="Y200" i="29"/>
  <c r="Y300" i="29"/>
  <c r="Y339" i="29"/>
  <c r="Y329" i="29"/>
  <c r="Y512" i="29"/>
  <c r="Y476" i="29"/>
  <c r="Y556" i="29"/>
  <c r="Y316" i="29"/>
  <c r="Y94" i="29"/>
  <c r="Y542" i="29"/>
  <c r="Y591" i="29"/>
  <c r="Y411" i="29"/>
  <c r="Y241" i="29"/>
  <c r="Y77" i="29"/>
  <c r="Y505" i="29"/>
  <c r="Y40" i="29"/>
  <c r="Y202" i="29"/>
  <c r="Y430" i="29"/>
  <c r="Y387" i="29"/>
  <c r="Y138" i="29"/>
  <c r="Y379" i="29"/>
  <c r="Y180" i="29"/>
  <c r="Y428" i="29"/>
  <c r="Y337" i="29"/>
  <c r="Y46" i="29"/>
  <c r="Y187" i="29"/>
  <c r="Y145" i="29"/>
  <c r="Y568" i="29"/>
  <c r="Y520" i="29"/>
  <c r="Y473" i="29"/>
  <c r="Y176" i="29"/>
  <c r="Y264" i="29"/>
  <c r="Y30" i="29"/>
  <c r="Y288" i="29"/>
  <c r="Y328" i="29"/>
  <c r="Y71" i="29"/>
  <c r="Y611" i="29"/>
  <c r="Y447" i="29"/>
  <c r="Y239" i="29"/>
  <c r="Y495" i="29"/>
  <c r="Y223" i="29"/>
  <c r="Y227" i="29"/>
  <c r="Y175" i="29"/>
  <c r="Y229" i="29"/>
  <c r="Y22" i="29"/>
  <c r="Y280" i="29"/>
  <c r="Y545" i="29"/>
  <c r="Y274" i="29"/>
  <c r="Y412" i="29"/>
  <c r="Y613" i="29"/>
  <c r="Y570" i="29"/>
  <c r="Y528" i="29"/>
  <c r="Y388" i="29"/>
  <c r="Y273" i="29"/>
  <c r="Y105" i="29"/>
  <c r="Y562" i="29"/>
  <c r="Y340" i="29"/>
  <c r="Y205" i="29"/>
  <c r="Y554" i="29"/>
  <c r="Y351" i="29"/>
  <c r="Y608" i="29"/>
  <c r="Y426" i="29"/>
  <c r="Y560" i="29"/>
  <c r="Y345" i="29"/>
  <c r="Y193" i="29"/>
  <c r="Y20" i="29"/>
  <c r="Y544" i="29"/>
  <c r="Y224" i="29"/>
  <c r="Y160" i="29"/>
  <c r="Y102" i="29"/>
  <c r="Y84" i="29"/>
  <c r="Y350" i="29"/>
  <c r="Y320" i="29"/>
  <c r="Y558" i="29"/>
  <c r="Y449" i="29"/>
  <c r="Y33" i="29"/>
  <c r="Y599" i="29"/>
  <c r="Y582" i="29"/>
  <c r="Y482" i="29"/>
  <c r="Y141" i="29"/>
  <c r="Y498" i="29"/>
  <c r="Y218" i="29"/>
  <c r="Y192" i="29"/>
  <c r="Y92" i="29"/>
  <c r="Y290" i="29"/>
  <c r="Y295" i="29"/>
  <c r="Y440" i="29"/>
  <c r="Y111" i="29"/>
  <c r="Y493" i="29"/>
  <c r="Y595" i="29"/>
  <c r="Y144" i="29"/>
  <c r="Y456" i="29"/>
  <c r="Y309" i="29"/>
  <c r="Y602" i="29"/>
  <c r="Y355" i="29"/>
  <c r="Y24" i="29"/>
  <c r="Y212" i="29"/>
  <c r="Y36" i="29"/>
  <c r="Y458" i="29"/>
  <c r="Y472" i="29"/>
  <c r="Y181" i="29"/>
  <c r="Y352" i="29"/>
  <c r="Y481" i="29"/>
  <c r="Y88" i="29"/>
  <c r="Y577" i="29"/>
  <c r="Y466" i="29"/>
  <c r="Y231" i="29"/>
  <c r="Y99" i="29"/>
  <c r="Y152" i="29"/>
  <c r="Y135" i="29"/>
  <c r="Y377" i="29"/>
  <c r="Y604" i="29"/>
  <c r="Y165" i="29"/>
  <c r="Y42" i="29"/>
  <c r="Y311" i="29"/>
  <c r="Y620" i="29"/>
  <c r="Y324" i="29"/>
  <c r="Y597" i="29"/>
  <c r="Y385" i="29"/>
  <c r="Y585" i="29"/>
  <c r="Y361" i="29"/>
  <c r="Y252" i="29"/>
  <c r="Y514" i="29"/>
  <c r="Y537" i="29"/>
  <c r="Y285" i="29"/>
  <c r="Y417" i="29"/>
  <c r="Y174" i="29"/>
  <c r="Y237" i="29"/>
  <c r="Y409" i="29"/>
  <c r="Y133" i="29"/>
  <c r="Y270" i="29"/>
  <c r="Y213" i="29"/>
  <c r="Y166" i="29"/>
  <c r="Y504" i="29"/>
  <c r="Y322" i="29"/>
  <c r="Y45" i="29"/>
  <c r="Y68" i="29"/>
  <c r="Y433" i="29"/>
  <c r="Y372" i="29"/>
  <c r="Y110" i="29"/>
  <c r="Y58" i="29"/>
  <c r="Y460" i="29"/>
  <c r="Y184" i="29"/>
  <c r="Y108" i="29"/>
  <c r="Y530" i="29"/>
  <c r="Y267" i="29"/>
  <c r="Y374" i="29"/>
  <c r="Y131" i="29"/>
  <c r="Y349" i="29"/>
  <c r="Y130" i="29"/>
  <c r="Y479" i="29"/>
  <c r="Y450" i="29"/>
  <c r="Y35" i="29"/>
  <c r="Y236" i="29"/>
  <c r="Y83" i="29"/>
  <c r="Y565" i="29"/>
  <c r="Y362" i="29"/>
  <c r="Y617" i="29"/>
  <c r="Y260" i="29"/>
  <c r="Y159" i="29"/>
  <c r="Y603" i="29"/>
  <c r="Y589" i="29"/>
  <c r="Y258" i="29"/>
  <c r="Y368" i="29"/>
  <c r="Y292" i="29"/>
  <c r="Y506" i="29"/>
  <c r="Y121" i="29"/>
  <c r="Y253" i="29"/>
  <c r="Y541" i="29"/>
  <c r="Y480" i="29"/>
  <c r="Y391" i="29"/>
  <c r="Y49" i="29"/>
  <c r="Y436" i="29"/>
  <c r="Y82" i="29"/>
  <c r="Y48" i="29"/>
  <c r="Y18" i="29"/>
  <c r="Y325" i="29"/>
  <c r="Y573" i="29"/>
  <c r="Y282" i="29"/>
  <c r="Y459" i="29"/>
  <c r="Y569" i="29"/>
  <c r="Y250" i="29"/>
  <c r="Y465" i="29"/>
  <c r="Y104" i="29"/>
  <c r="Y177" i="29"/>
  <c r="Y434" i="29"/>
  <c r="Y232" i="29"/>
  <c r="Y518" i="29"/>
  <c r="Y580" i="29"/>
  <c r="Y606" i="29"/>
  <c r="Y501" i="29"/>
  <c r="Y317" i="29"/>
  <c r="Y62" i="29"/>
  <c r="Y503" i="29"/>
  <c r="Y509" i="29"/>
  <c r="Y398" i="29"/>
  <c r="Y19" i="29"/>
  <c r="Y437" i="29"/>
  <c r="Y55" i="29"/>
  <c r="Y44" i="29"/>
  <c r="Y90" i="29"/>
  <c r="Y612" i="29"/>
  <c r="Y158" i="29"/>
  <c r="Y321" i="29"/>
  <c r="Y149" i="29"/>
  <c r="Y623" i="29"/>
  <c r="Z10" i="29"/>
  <c r="Z81" i="29" s="1"/>
  <c r="Z23" i="29"/>
  <c r="Z530" i="29"/>
  <c r="Z221" i="29"/>
  <c r="Z245" i="29"/>
  <c r="Z528" i="29"/>
  <c r="Y492" i="29"/>
  <c r="Y469" i="29"/>
  <c r="Y381" i="29"/>
  <c r="Y468" i="29"/>
  <c r="Y56" i="29"/>
  <c r="Y410" i="29"/>
  <c r="Y525" i="29"/>
  <c r="Y113" i="29"/>
  <c r="Y307" i="29"/>
  <c r="Y451" i="29"/>
  <c r="Z629" i="29" l="1"/>
  <c r="Z627" i="29"/>
  <c r="Z349" i="29"/>
  <c r="Z628" i="29"/>
  <c r="Z626" i="29"/>
  <c r="Z630" i="29"/>
  <c r="Z308" i="29"/>
  <c r="Z385" i="29"/>
  <c r="Z289" i="29"/>
  <c r="Z297" i="29"/>
  <c r="Z400" i="29"/>
  <c r="Z369" i="29"/>
  <c r="Z562" i="29"/>
  <c r="Z485" i="29"/>
  <c r="Z581" i="29"/>
  <c r="Z502" i="29"/>
  <c r="Z71" i="29"/>
  <c r="Z42" i="29"/>
  <c r="Z35" i="29"/>
  <c r="Z516" i="29"/>
  <c r="Z179" i="29"/>
  <c r="Z109" i="29"/>
  <c r="Z321" i="29"/>
  <c r="Z428" i="29"/>
  <c r="Z29" i="29"/>
  <c r="Z544" i="29"/>
  <c r="Z198" i="29"/>
  <c r="Z203" i="29"/>
  <c r="Z340" i="29"/>
  <c r="Z32" i="29"/>
  <c r="Z337" i="29"/>
  <c r="Z26" i="29"/>
  <c r="Z458" i="29"/>
  <c r="Z102" i="29"/>
  <c r="Z490" i="29"/>
  <c r="Z543" i="29"/>
  <c r="Z421" i="29"/>
  <c r="Z258" i="29"/>
  <c r="Z174" i="29"/>
  <c r="Z152" i="29"/>
  <c r="Z85" i="29"/>
  <c r="Z518" i="29"/>
  <c r="Z278" i="29"/>
  <c r="Z147" i="29"/>
  <c r="Z339" i="29"/>
  <c r="Z201" i="29"/>
  <c r="Z509" i="29"/>
  <c r="Z512" i="29"/>
  <c r="Z441" i="29"/>
  <c r="Z214" i="29"/>
  <c r="Z542" i="29"/>
  <c r="Z353" i="29"/>
  <c r="Z590" i="29"/>
  <c r="Z17" i="29"/>
  <c r="Z291" i="29"/>
  <c r="Z237" i="29"/>
  <c r="Z515" i="29"/>
  <c r="Z507" i="29"/>
  <c r="Z139" i="29"/>
  <c r="Z160" i="29"/>
  <c r="Z183" i="29"/>
  <c r="Z67" i="29"/>
  <c r="Z401" i="29"/>
  <c r="Z586" i="29"/>
  <c r="Z251" i="29"/>
  <c r="Z190" i="29"/>
  <c r="Z78" i="29"/>
  <c r="Y4" i="29"/>
  <c r="L5" i="30" s="1"/>
  <c r="Z417" i="29"/>
  <c r="Z575" i="29"/>
  <c r="Z463" i="29"/>
  <c r="Z558" i="29"/>
  <c r="Z46" i="29"/>
  <c r="Z416" i="29"/>
  <c r="Z303" i="29"/>
  <c r="Z151" i="29"/>
  <c r="Z239" i="29"/>
  <c r="Z483" i="29"/>
  <c r="Z524" i="29"/>
  <c r="Z500" i="29"/>
  <c r="Z531" i="29"/>
  <c r="Z583" i="29"/>
  <c r="Z255" i="29"/>
  <c r="Z406" i="29"/>
  <c r="Z591" i="29"/>
  <c r="Z316" i="29"/>
  <c r="Z294" i="29"/>
  <c r="Z118" i="29"/>
  <c r="Z345" i="29"/>
  <c r="Z343" i="29"/>
  <c r="Z422" i="29"/>
  <c r="Z513" i="29"/>
  <c r="Z52" i="29"/>
  <c r="Z66" i="29"/>
  <c r="Z412" i="29"/>
  <c r="Z625" i="29"/>
  <c r="Z596" i="29"/>
  <c r="Z244" i="29"/>
  <c r="Z557" i="29"/>
  <c r="Z144" i="29"/>
  <c r="Z556" i="29"/>
  <c r="Z266" i="29"/>
  <c r="Z469" i="29"/>
  <c r="Z451" i="29"/>
  <c r="Z243" i="29"/>
  <c r="Z525" i="29"/>
  <c r="Z381" i="29"/>
  <c r="Z290" i="29"/>
  <c r="Z232" i="29"/>
  <c r="Z70" i="29"/>
  <c r="Z264" i="29"/>
  <c r="Z621" i="29"/>
  <c r="Z473" i="29"/>
  <c r="Z478" i="29"/>
  <c r="Z25" i="29"/>
  <c r="Z529" i="29"/>
  <c r="Z222" i="29"/>
  <c r="Z411" i="29"/>
  <c r="Z475" i="29"/>
  <c r="Z497" i="29"/>
  <c r="Z54" i="29"/>
  <c r="Z539" i="29"/>
  <c r="Z392" i="29"/>
  <c r="Z33" i="29"/>
  <c r="Z65" i="29"/>
  <c r="Z28" i="29"/>
  <c r="Z141" i="29"/>
  <c r="Z105" i="29"/>
  <c r="Z98" i="29"/>
  <c r="Z120" i="29"/>
  <c r="Z365" i="29"/>
  <c r="Z236" i="29"/>
  <c r="Z522" i="29"/>
  <c r="Z286" i="29"/>
  <c r="Z572" i="29"/>
  <c r="Z134" i="29"/>
  <c r="Z480" i="29"/>
  <c r="Z94" i="29"/>
  <c r="Z145" i="29"/>
  <c r="Z452" i="29"/>
  <c r="Z377" i="29"/>
  <c r="Z322" i="29"/>
  <c r="Z292" i="29"/>
  <c r="Z298" i="29"/>
  <c r="Z319" i="29"/>
  <c r="Z40" i="29"/>
  <c r="Z129" i="29"/>
  <c r="Z261" i="29"/>
  <c r="Z254" i="29"/>
  <c r="Z208" i="29"/>
  <c r="Z602" i="29"/>
  <c r="Z153" i="29"/>
  <c r="Z38" i="29"/>
  <c r="Z240" i="29"/>
  <c r="Z169" i="29"/>
  <c r="Z92" i="29"/>
  <c r="Z216" i="29"/>
  <c r="Z197" i="29"/>
  <c r="Z607" i="29"/>
  <c r="Z249" i="29"/>
  <c r="Z514" i="29"/>
  <c r="Z74" i="29"/>
  <c r="Z242" i="29"/>
  <c r="Z31" i="29"/>
  <c r="Z504" i="29"/>
  <c r="Z394" i="29"/>
  <c r="Z231" i="29"/>
  <c r="Z107" i="29"/>
  <c r="Z56" i="29"/>
  <c r="Z224" i="29"/>
  <c r="Z481" i="29"/>
  <c r="Z387" i="29"/>
  <c r="Z128" i="29"/>
  <c r="Z457" i="29"/>
  <c r="Z396" i="29"/>
  <c r="Z130" i="29"/>
  <c r="Z374" i="29"/>
  <c r="Z620" i="29"/>
  <c r="Z228" i="29"/>
  <c r="Z57" i="29"/>
  <c r="Z487" i="29"/>
  <c r="Z424" i="29"/>
  <c r="Z117" i="29"/>
  <c r="Z110" i="29"/>
  <c r="Z252" i="29"/>
  <c r="Z418" i="29"/>
  <c r="Z334" i="29"/>
  <c r="Z611" i="29"/>
  <c r="Z69" i="29"/>
  <c r="Z619" i="29"/>
  <c r="Z235" i="29"/>
  <c r="Z195" i="29"/>
  <c r="Z476" i="29"/>
  <c r="Z352" i="29"/>
  <c r="Z403" i="29"/>
  <c r="Z178" i="29"/>
  <c r="Z124" i="29"/>
  <c r="Z537" i="29"/>
  <c r="Z246" i="29"/>
  <c r="Z263" i="29"/>
  <c r="Z84" i="29"/>
  <c r="Z395" i="29"/>
  <c r="Z287" i="29"/>
  <c r="Z62" i="29"/>
  <c r="Z363" i="29"/>
  <c r="Z589" i="29"/>
  <c r="Z561" i="29"/>
  <c r="Z176" i="29"/>
  <c r="Z429" i="29"/>
  <c r="Z205" i="29"/>
  <c r="Z598" i="29"/>
  <c r="Z431" i="29"/>
  <c r="Z63" i="29"/>
  <c r="Z155" i="29"/>
  <c r="Z60" i="29"/>
  <c r="Z453" i="29"/>
  <c r="Z442" i="29"/>
  <c r="Z247" i="29"/>
  <c r="Z161" i="29"/>
  <c r="Z551" i="29"/>
  <c r="Z267" i="29"/>
  <c r="Z182" i="29"/>
  <c r="Z87" i="29"/>
  <c r="Z564" i="29"/>
  <c r="Z282" i="29"/>
  <c r="Z199" i="29"/>
  <c r="Z346" i="29"/>
  <c r="Z138" i="29"/>
  <c r="Z168" i="29"/>
  <c r="Z439" i="29"/>
  <c r="Z595" i="29"/>
  <c r="Z137" i="29"/>
  <c r="Z270" i="29"/>
  <c r="Z225" i="29"/>
  <c r="Z88" i="29"/>
  <c r="Z187" i="29"/>
  <c r="Z211" i="29"/>
  <c r="Z468" i="29"/>
  <c r="Z535" i="29"/>
  <c r="Z126" i="29"/>
  <c r="Z101" i="29"/>
  <c r="Z466" i="29"/>
  <c r="Z79" i="29"/>
  <c r="Z310" i="29"/>
  <c r="Z277" i="29"/>
  <c r="Z505" i="29"/>
  <c r="Z184" i="29"/>
  <c r="Z495" i="29"/>
  <c r="Z600" i="29"/>
  <c r="Z188" i="29"/>
  <c r="Z304" i="29"/>
  <c r="Z218" i="29"/>
  <c r="Z618" i="29"/>
  <c r="Z488" i="29"/>
  <c r="Z357" i="29"/>
  <c r="Z491" i="29"/>
  <c r="Z440" i="29"/>
  <c r="Z114" i="29"/>
  <c r="Z64" i="29"/>
  <c r="Z260" i="29"/>
  <c r="Z354" i="29"/>
  <c r="Z601" i="29"/>
  <c r="Z574" i="29"/>
  <c r="Z597" i="29"/>
  <c r="Z215" i="29"/>
  <c r="Z99" i="29"/>
  <c r="Z383" i="29"/>
  <c r="Z344" i="29"/>
  <c r="Z367" i="29"/>
  <c r="Z157" i="29"/>
  <c r="Z560" i="29"/>
  <c r="Z534" i="29"/>
  <c r="Z180" i="29"/>
  <c r="Z285" i="29"/>
  <c r="Z162" i="29"/>
  <c r="Z248" i="29"/>
  <c r="Z599" i="29"/>
  <c r="Z43" i="29"/>
  <c r="Z113" i="29"/>
  <c r="Z399" i="29"/>
  <c r="Z470" i="29"/>
  <c r="Z327" i="29"/>
  <c r="Z133" i="29"/>
  <c r="Z566" i="29"/>
  <c r="Z569" i="29"/>
  <c r="Z455" i="29"/>
  <c r="Z75" i="29"/>
  <c r="Z312" i="29"/>
  <c r="Z489" i="29"/>
  <c r="Z332" i="29"/>
  <c r="Z613" i="29"/>
  <c r="Z115" i="29"/>
  <c r="Z350" i="29"/>
  <c r="Z624" i="29"/>
  <c r="Z552" i="29"/>
  <c r="Z427" i="29"/>
  <c r="Z293" i="29"/>
  <c r="Z299" i="29"/>
  <c r="Z499" i="29"/>
  <c r="Z527" i="29"/>
  <c r="Z210" i="29"/>
  <c r="Z578" i="29"/>
  <c r="Z61" i="29"/>
  <c r="Z404" i="29"/>
  <c r="Z338" i="29"/>
  <c r="Z58" i="29"/>
  <c r="Z413" i="29"/>
  <c r="Z410" i="29"/>
  <c r="Z91" i="29"/>
  <c r="Z30" i="29"/>
  <c r="Z325" i="29"/>
  <c r="Z587" i="29"/>
  <c r="Z47" i="29"/>
  <c r="Z202" i="29"/>
  <c r="Z506" i="29"/>
  <c r="Z72" i="29"/>
  <c r="Z456" i="29"/>
  <c r="Z206" i="29"/>
  <c r="Z449" i="29"/>
  <c r="Z375" i="29"/>
  <c r="Z93" i="29"/>
  <c r="Z438" i="29"/>
  <c r="Z142" i="29"/>
  <c r="Z511" i="29"/>
  <c r="Z370" i="29"/>
  <c r="Z302" i="29"/>
  <c r="Z163" i="29"/>
  <c r="Z156" i="29"/>
  <c r="Z496" i="29"/>
  <c r="Z573" i="29"/>
  <c r="Z384" i="29"/>
  <c r="Z588" i="29"/>
  <c r="Z318" i="29"/>
  <c r="Z550" i="29"/>
  <c r="Z269" i="29"/>
  <c r="Z279" i="29"/>
  <c r="Z186" i="29"/>
  <c r="Z324" i="29"/>
  <c r="Z262" i="29"/>
  <c r="Z545" i="29"/>
  <c r="Z386" i="29"/>
  <c r="Z360" i="29"/>
  <c r="Z592" i="29"/>
  <c r="Z311" i="29"/>
  <c r="Z335" i="29"/>
  <c r="Z295" i="29"/>
  <c r="Z271" i="29"/>
  <c r="Z305" i="29"/>
  <c r="Z536" i="29"/>
  <c r="Z547" i="29"/>
  <c r="Z579" i="29"/>
  <c r="Z472" i="29"/>
  <c r="Z209" i="29"/>
  <c r="Z444" i="29"/>
  <c r="Z549" i="29"/>
  <c r="Z21" i="29"/>
  <c r="Z86" i="29"/>
  <c r="Z519" i="29"/>
  <c r="Z167" i="29"/>
  <c r="Z50" i="29"/>
  <c r="Z541" i="29"/>
  <c r="Z165" i="29"/>
  <c r="Z420" i="29"/>
  <c r="Z219" i="29"/>
  <c r="Z49" i="29"/>
  <c r="Z622" i="29"/>
  <c r="Z257" i="29"/>
  <c r="Z159" i="29"/>
  <c r="Z526" i="29"/>
  <c r="Z104" i="29"/>
  <c r="Z433" i="29"/>
  <c r="Z450" i="29"/>
  <c r="Z314" i="29"/>
  <c r="Z447" i="29"/>
  <c r="Z540" i="29"/>
  <c r="Z471" i="29"/>
  <c r="Z379" i="29"/>
  <c r="Z484" i="29"/>
  <c r="Z149" i="29"/>
  <c r="Z585" i="29"/>
  <c r="Z390" i="29"/>
  <c r="Z77" i="29"/>
  <c r="Z382" i="29"/>
  <c r="Z407" i="29"/>
  <c r="Z532" i="29"/>
  <c r="Z333" i="29"/>
  <c r="Z593" i="29"/>
  <c r="Z398" i="29"/>
  <c r="Z140" i="29"/>
  <c r="Z419" i="29"/>
  <c r="Z200" i="29"/>
  <c r="Z48" i="29"/>
  <c r="Z250" i="29"/>
  <c r="Z446" i="29"/>
  <c r="Z482" i="29"/>
  <c r="Z474" i="29"/>
  <c r="Z548" i="29"/>
  <c r="Z230" i="29"/>
  <c r="Z426" i="29"/>
  <c r="Z320" i="29"/>
  <c r="Z226" i="29"/>
  <c r="Z173" i="29"/>
  <c r="Z594" i="29"/>
  <c r="Z425" i="29"/>
  <c r="Z238" i="29"/>
  <c r="Z486" i="29"/>
  <c r="Z148" i="29"/>
  <c r="Z567" i="29"/>
  <c r="Z614" i="29"/>
  <c r="Z272" i="29"/>
  <c r="Z273" i="29"/>
  <c r="Z393" i="29"/>
  <c r="Z284" i="29"/>
  <c r="Z315" i="29"/>
  <c r="Z76" i="29"/>
  <c r="Z20" i="29"/>
  <c r="Z194" i="29"/>
  <c r="Z523" i="29"/>
  <c r="Z610" i="29"/>
  <c r="Z331" i="29"/>
  <c r="Z533" i="29"/>
  <c r="Z288" i="29"/>
  <c r="Z356" i="29"/>
  <c r="Z576" i="29"/>
  <c r="Z347" i="29"/>
  <c r="Z59" i="29"/>
  <c r="Z123" i="29"/>
  <c r="Z389" i="29"/>
  <c r="Z520" i="29"/>
  <c r="Z373" i="29"/>
  <c r="Z372" i="29"/>
  <c r="Z477" i="29"/>
  <c r="Z604" i="29"/>
  <c r="Z309" i="29"/>
  <c r="Z414" i="29"/>
  <c r="Z103" i="29"/>
  <c r="Z19" i="29"/>
  <c r="Z371" i="29"/>
  <c r="Z606" i="29"/>
  <c r="Z510" i="29"/>
  <c r="Z323" i="29"/>
  <c r="Z313" i="29"/>
  <c r="Z461" i="29"/>
  <c r="Z391" i="29"/>
  <c r="Z170" i="29"/>
  <c r="Z229" i="29"/>
  <c r="Z136" i="29"/>
  <c r="Z617" i="29"/>
  <c r="Z172" i="29"/>
  <c r="Z24" i="29"/>
  <c r="Z213" i="29"/>
  <c r="Z568" i="29"/>
  <c r="Z501" i="29"/>
  <c r="Z27" i="29"/>
  <c r="Z362" i="29"/>
  <c r="Z265" i="29"/>
  <c r="Z355" i="29"/>
  <c r="Z68" i="29"/>
  <c r="Z328" i="29"/>
  <c r="Z436" i="29"/>
  <c r="Z570" i="29"/>
  <c r="Z45" i="29"/>
  <c r="Z82" i="29"/>
  <c r="Z143" i="29"/>
  <c r="Z448" i="29"/>
  <c r="Z146" i="29"/>
  <c r="Z493" i="29"/>
  <c r="Z521" i="29"/>
  <c r="Z253" i="29"/>
  <c r="Z164" i="29"/>
  <c r="Z508" i="29"/>
  <c r="Z256" i="29"/>
  <c r="Z612" i="29"/>
  <c r="Z388" i="29"/>
  <c r="Z204" i="29"/>
  <c r="Z538" i="29"/>
  <c r="Z90" i="29"/>
  <c r="Z36" i="29"/>
  <c r="Z189" i="29"/>
  <c r="Z119" i="29"/>
  <c r="Z223" i="29"/>
  <c r="Z378" i="29"/>
  <c r="Z135" i="29"/>
  <c r="Z39" i="29"/>
  <c r="Z121" i="29"/>
  <c r="Z106" i="29"/>
  <c r="Z192" i="29"/>
  <c r="Z196" i="29"/>
  <c r="Z460" i="29"/>
  <c r="Z409" i="29"/>
  <c r="Z116" i="29"/>
  <c r="Z175" i="29"/>
  <c r="Z498" i="29"/>
  <c r="Z376" i="29"/>
  <c r="Z553" i="29"/>
  <c r="Z616" i="29"/>
  <c r="Z443" i="29"/>
  <c r="Z348" i="29"/>
  <c r="Z361" i="29"/>
  <c r="Z380" i="29"/>
  <c r="Z402" i="29"/>
  <c r="Z366" i="29"/>
  <c r="Z405" i="29"/>
  <c r="Z51" i="29"/>
  <c r="Z233" i="29"/>
  <c r="Z177" i="29"/>
  <c r="Z171" i="29"/>
  <c r="Z330" i="29"/>
  <c r="Z22" i="29"/>
  <c r="Z191" i="29"/>
  <c r="Z430" i="29"/>
  <c r="Z408" i="29"/>
  <c r="Z100" i="29"/>
  <c r="Z623" i="29"/>
  <c r="Z368" i="29"/>
  <c r="Z517" i="29"/>
  <c r="Z122" i="29"/>
  <c r="Z359" i="29"/>
  <c r="Z605" i="29"/>
  <c r="Z241" i="29"/>
  <c r="Z127" i="29"/>
  <c r="Z454" i="29"/>
  <c r="Z465" i="29"/>
  <c r="Z565" i="29"/>
  <c r="Z464" i="29"/>
  <c r="Z584" i="29"/>
  <c r="Z154" i="29"/>
  <c r="Z358" i="29"/>
  <c r="Z432" i="29"/>
  <c r="Z96" i="29"/>
  <c r="Z437" i="29"/>
  <c r="Z41" i="29"/>
  <c r="Z307" i="29"/>
  <c r="Z111" i="29"/>
  <c r="Z73" i="29"/>
  <c r="Z603" i="29"/>
  <c r="Z467" i="29"/>
  <c r="Z131" i="29"/>
  <c r="Z494" i="29"/>
  <c r="Z423" i="29"/>
  <c r="Z435" i="29"/>
  <c r="Z459" i="29"/>
  <c r="Z329" i="29"/>
  <c r="Z181" i="29"/>
  <c r="Z571" i="29"/>
  <c r="Z53" i="29"/>
  <c r="Z132" i="29"/>
  <c r="Z125" i="29"/>
  <c r="Z259" i="29"/>
  <c r="Z351" i="29"/>
  <c r="Z89" i="29"/>
  <c r="Z227" i="29"/>
  <c r="Z342" i="29"/>
  <c r="Z217" i="29"/>
  <c r="Z158" i="29"/>
  <c r="Z415" i="29"/>
  <c r="Z559" i="29"/>
  <c r="Z445" i="29"/>
  <c r="Z397" i="29"/>
  <c r="Z268" i="29"/>
  <c r="Z276" i="29"/>
  <c r="Z166" i="29"/>
  <c r="Z37" i="29"/>
  <c r="Z275" i="29"/>
  <c r="Z220" i="29"/>
  <c r="Z234" i="29"/>
  <c r="Z462" i="29"/>
  <c r="Z283" i="29"/>
  <c r="Z108" i="29"/>
  <c r="Z503" i="29"/>
  <c r="Z563" i="29"/>
  <c r="Z615" i="29"/>
  <c r="Z336" i="29"/>
  <c r="Z301" i="29"/>
  <c r="Z80" i="29"/>
  <c r="Z212" i="29"/>
  <c r="Z434" i="29"/>
  <c r="Z18" i="29"/>
  <c r="Z300" i="29"/>
  <c r="Z296" i="29"/>
  <c r="Z580" i="29"/>
  <c r="Z609" i="29"/>
  <c r="AA9" i="29"/>
  <c r="Z55" i="29"/>
  <c r="Z326" i="29"/>
  <c r="Z577" i="29"/>
  <c r="Z207" i="29"/>
  <c r="Z274" i="29"/>
  <c r="Z280" i="29"/>
  <c r="Z83" i="29"/>
  <c r="Z479" i="29"/>
  <c r="Z34" i="29"/>
  <c r="Z555" i="29"/>
  <c r="Z608" i="29"/>
  <c r="Z150" i="29"/>
  <c r="Z554" i="29"/>
  <c r="Z306" i="29"/>
  <c r="Z546" i="29"/>
  <c r="Z281" i="29"/>
  <c r="Z97" i="29"/>
  <c r="Z95" i="29"/>
  <c r="Z364" i="29"/>
  <c r="Z492" i="29"/>
  <c r="Z193" i="29"/>
  <c r="Z317" i="29"/>
  <c r="Z341" i="29"/>
  <c r="Z44" i="29"/>
  <c r="Z112" i="29"/>
  <c r="Z582" i="29"/>
  <c r="Z185" i="29"/>
  <c r="Z4" i="29" l="1"/>
  <c r="M5" i="30" s="1"/>
  <c r="AA10" i="29"/>
  <c r="AB9" i="29" s="1"/>
  <c r="AA407" i="29"/>
  <c r="AA257" i="29"/>
  <c r="AA320" i="29"/>
  <c r="AA484" i="29"/>
  <c r="AA60" i="29"/>
  <c r="AA459" i="29"/>
  <c r="AA298" i="29"/>
  <c r="AA289" i="29"/>
  <c r="AA439" i="29"/>
  <c r="AA17" i="29"/>
  <c r="AA240" i="29"/>
  <c r="AA611" i="29"/>
  <c r="AA285" i="29"/>
  <c r="AA226" i="29"/>
  <c r="AA155" i="29"/>
  <c r="AA448" i="29"/>
  <c r="AA347" i="29"/>
  <c r="AA570" i="29"/>
  <c r="AA542" i="29"/>
  <c r="AA386" i="29"/>
  <c r="AA453" i="29"/>
  <c r="AA328" i="29"/>
  <c r="AA618" i="29"/>
  <c r="AA587" i="29"/>
  <c r="AA444" i="29"/>
  <c r="AA187" i="29"/>
  <c r="AA306" i="29"/>
  <c r="AA381" i="29"/>
  <c r="AA326" i="29"/>
  <c r="AA526" i="29"/>
  <c r="AA502" i="29"/>
  <c r="AA249" i="29"/>
  <c r="AA419" i="29"/>
  <c r="AA164" i="29"/>
  <c r="AA88" i="29"/>
  <c r="AA433" i="29"/>
  <c r="AA188" i="29"/>
  <c r="AA573" i="29"/>
  <c r="AA42" i="29"/>
  <c r="AA173" i="29"/>
  <c r="AA46" i="29"/>
  <c r="AA313" i="29"/>
  <c r="AA337" i="29"/>
  <c r="AA26" i="29"/>
  <c r="AA369" i="29"/>
  <c r="AA478" i="29"/>
  <c r="AA136" i="29"/>
  <c r="AA479" i="29"/>
  <c r="AA308" i="29"/>
  <c r="AA490" i="29"/>
  <c r="AA534" i="29"/>
  <c r="AA305" i="29"/>
  <c r="AA614" i="29"/>
  <c r="AA590" i="29"/>
  <c r="AA495" i="29"/>
  <c r="AA477" i="29"/>
  <c r="AA378" i="29"/>
  <c r="AA518" i="29"/>
  <c r="AA571" i="29"/>
  <c r="AA431" i="29"/>
  <c r="AA120" i="29"/>
  <c r="AA279" i="29"/>
  <c r="AA384" i="29"/>
  <c r="AA595" i="29"/>
  <c r="AA543" i="29"/>
  <c r="AA334" i="29"/>
  <c r="AA327" i="29"/>
  <c r="AA89" i="29"/>
  <c r="AA397" i="29"/>
  <c r="AA345" i="29"/>
  <c r="AA151" i="29"/>
  <c r="AA383" i="29"/>
  <c r="AA445" i="29"/>
  <c r="AA303" i="29"/>
  <c r="AA521" i="29"/>
  <c r="AA38" i="29"/>
  <c r="AA56" i="29"/>
  <c r="AA322" i="29"/>
  <c r="AA19" i="29"/>
  <c r="AA441" i="29"/>
  <c r="AA498" i="29"/>
  <c r="AA584" i="29"/>
  <c r="AA201" i="29"/>
  <c r="AA512" i="29"/>
  <c r="AA415" i="29"/>
  <c r="AA462" i="29"/>
  <c r="AA186" i="29"/>
  <c r="AA430" i="29"/>
  <c r="AA530" i="29"/>
  <c r="AA230" i="29"/>
  <c r="AA276" i="29"/>
  <c r="AA185" i="29"/>
  <c r="AA532" i="29"/>
  <c r="AA191" i="29"/>
  <c r="AA342" i="29"/>
  <c r="AA606" i="29"/>
  <c r="AA265" i="29"/>
  <c r="AA330" i="29"/>
  <c r="AA547" i="29"/>
  <c r="AA22" i="29"/>
  <c r="AA368" i="29"/>
  <c r="AA255" i="29"/>
  <c r="AA449" i="29"/>
  <c r="AA242" i="29"/>
  <c r="AA339" i="29"/>
  <c r="AA133" i="29"/>
  <c r="AA374" i="29"/>
  <c r="AA208" i="29"/>
  <c r="AA78" i="29"/>
  <c r="AA409" i="29"/>
  <c r="AA463" i="29"/>
  <c r="AA284" i="29"/>
  <c r="AA130" i="29"/>
  <c r="AA189" i="29"/>
  <c r="AA599" i="29"/>
  <c r="AA382" i="29"/>
  <c r="AA307" i="29"/>
  <c r="AA615" i="29"/>
  <c r="AA556" i="29"/>
  <c r="AA597" i="29"/>
  <c r="AA316" i="29"/>
  <c r="AA488" i="29"/>
  <c r="AA121" i="29"/>
  <c r="AA413" i="29"/>
  <c r="AA324" i="29"/>
  <c r="AA81" i="29"/>
  <c r="AA399" i="29"/>
  <c r="AA264" i="29"/>
  <c r="AA268" i="29"/>
  <c r="AA160" i="29"/>
  <c r="AA426" i="29"/>
  <c r="AA565" i="29"/>
  <c r="AA204" i="29"/>
  <c r="AA111" i="29"/>
  <c r="AA569" i="29"/>
  <c r="AA152" i="29"/>
  <c r="AA47" i="29"/>
  <c r="AA225" i="29"/>
  <c r="AA263" i="29"/>
  <c r="AA290" i="29"/>
  <c r="AA437" i="29"/>
  <c r="AA468" i="29"/>
  <c r="AA295" i="29"/>
  <c r="AA469" i="29"/>
  <c r="AA524" i="29"/>
  <c r="AA423" i="29"/>
  <c r="AA228" i="29"/>
  <c r="AA161" i="29"/>
  <c r="AA454" i="29"/>
  <c r="AA297" i="29"/>
  <c r="AA128" i="29"/>
  <c r="AA567" i="29"/>
  <c r="AA473" i="29"/>
  <c r="AA266" i="29"/>
  <c r="AA548" i="29"/>
  <c r="AA508" i="29"/>
  <c r="AA79" i="29"/>
  <c r="AA293" i="29"/>
  <c r="AA465" i="29"/>
  <c r="AA554" i="29"/>
  <c r="AA504" i="29"/>
  <c r="AA507" i="29"/>
  <c r="AA592" i="29"/>
  <c r="AA140" i="29"/>
  <c r="AA487" i="29"/>
  <c r="AA181" i="29"/>
  <c r="AA229" i="29"/>
  <c r="AA346" i="29"/>
  <c r="AA107" i="29"/>
  <c r="AA396" i="29"/>
  <c r="AA123" i="29"/>
  <c r="AA300" i="29"/>
  <c r="AA417" i="29"/>
  <c r="AA73" i="29"/>
  <c r="AA234" i="29"/>
  <c r="AA51" i="29"/>
  <c r="AA538" i="29"/>
  <c r="AA418" i="29"/>
  <c r="AA101" i="29"/>
  <c r="AA214" i="29"/>
  <c r="AA63" i="29"/>
  <c r="AA65" i="29"/>
  <c r="AA24" i="29"/>
  <c r="AA336" i="29"/>
  <c r="AA496" i="29"/>
  <c r="AA338" i="29"/>
  <c r="AA137" i="29"/>
  <c r="AA560" i="29"/>
  <c r="AA274" i="29"/>
  <c r="AA436" i="29"/>
  <c r="AA146" i="29"/>
  <c r="AA231" i="29"/>
  <c r="AA391" i="29"/>
  <c r="AA183" i="29"/>
  <c r="AA30" i="29"/>
  <c r="AA559" i="29"/>
  <c r="AA354" i="29"/>
  <c r="AA598" i="29"/>
  <c r="AA304" i="29"/>
  <c r="AA400" i="29"/>
  <c r="AA90" i="29"/>
  <c r="AA244" i="29"/>
  <c r="AA404" i="29"/>
  <c r="AA119" i="29"/>
  <c r="AA93" i="29"/>
  <c r="AA302" i="29"/>
  <c r="AA332" i="29"/>
  <c r="AA555" i="29"/>
  <c r="AA149" i="29"/>
  <c r="AA213" i="29"/>
  <c r="AA23" i="29"/>
  <c r="AA552" i="29"/>
  <c r="AA106" i="29"/>
  <c r="AA494" i="29"/>
  <c r="AA331" i="29"/>
  <c r="AA458" i="29"/>
  <c r="AA360" i="29"/>
  <c r="AA143" i="29"/>
  <c r="AA335" i="29"/>
  <c r="AA69" i="29"/>
  <c r="AA561" i="29"/>
  <c r="AA390" i="29"/>
  <c r="AA371" i="29"/>
  <c r="AA483" i="29"/>
  <c r="AA144" i="29"/>
  <c r="AA455" i="29"/>
  <c r="AA57" i="29"/>
  <c r="AA621" i="29"/>
  <c r="AA139" i="29"/>
  <c r="AA348" i="29"/>
  <c r="AA620" i="29"/>
  <c r="AA358" i="29"/>
  <c r="AA380" i="29"/>
  <c r="AA99" i="29"/>
  <c r="AA562" i="29"/>
  <c r="AA280" i="29"/>
  <c r="AA501" i="29"/>
  <c r="AA588" i="29"/>
  <c r="AA283" i="29"/>
  <c r="AA416" i="29"/>
  <c r="AA575" i="29"/>
  <c r="AA440" i="29"/>
  <c r="AA258" i="29"/>
  <c r="AA288" i="29"/>
  <c r="AA70" i="29"/>
  <c r="AA237" i="29"/>
  <c r="AA53" i="29"/>
  <c r="AA132" i="29"/>
  <c r="AA623" i="29"/>
  <c r="AA211" i="29"/>
  <c r="AA544" i="29"/>
  <c r="AA395" i="29"/>
  <c r="AA352" i="29"/>
  <c r="AA438" i="29"/>
  <c r="AA387" i="29"/>
  <c r="AA109" i="29"/>
  <c r="AA613" i="29"/>
  <c r="AA333" i="29"/>
  <c r="AA456" i="29"/>
  <c r="AA574" i="29"/>
  <c r="AA180" i="29"/>
  <c r="AA83" i="29"/>
  <c r="AA622" i="29"/>
  <c r="AA549" i="29"/>
  <c r="AA476" i="29"/>
  <c r="AA31" i="29"/>
  <c r="AA612" i="29"/>
  <c r="AA94" i="29"/>
  <c r="AA364" i="29"/>
  <c r="AA44" i="29"/>
  <c r="AA457" i="29"/>
  <c r="AA394" i="29"/>
  <c r="AA260" i="29"/>
  <c r="AA619" i="29"/>
  <c r="AA85" i="29"/>
  <c r="AA76" i="29"/>
  <c r="AA486" i="29"/>
  <c r="AA168" i="29"/>
  <c r="AA517" i="29"/>
  <c r="AA405" i="29"/>
  <c r="AA366" i="29"/>
  <c r="AA474" i="29"/>
  <c r="AA254" i="29"/>
  <c r="AA607" i="29"/>
  <c r="AA68" i="29"/>
  <c r="AA92" i="29"/>
  <c r="AA531" i="29"/>
  <c r="AA20" i="29"/>
  <c r="AA425" i="29"/>
  <c r="AA296" i="29"/>
  <c r="AA580" i="29"/>
  <c r="AA603" i="29"/>
  <c r="AA110" i="29"/>
  <c r="AA157" i="29"/>
  <c r="AA516" i="29"/>
  <c r="AA513" i="29"/>
  <c r="AA272" i="29"/>
  <c r="AA40" i="29"/>
  <c r="AA224" i="29"/>
  <c r="AA568" i="29"/>
  <c r="AA403" i="29"/>
  <c r="AA218" i="29"/>
  <c r="AA499" i="29"/>
  <c r="AA434" i="29"/>
  <c r="AA447" i="29"/>
  <c r="AA219" i="29"/>
  <c r="AA372" i="29"/>
  <c r="AA95" i="29"/>
  <c r="AA105" i="29"/>
  <c r="AA312" i="29"/>
  <c r="AA86" i="29"/>
  <c r="AA34" i="29"/>
  <c r="AA388" i="29"/>
  <c r="AA310" i="29"/>
  <c r="AA551" i="29"/>
  <c r="AA233" i="29"/>
  <c r="AA412" i="29"/>
  <c r="AA170" i="29"/>
  <c r="AA609" i="29"/>
  <c r="AA572" i="29"/>
  <c r="AA540" i="29"/>
  <c r="AA37" i="29"/>
  <c r="AA506" i="29"/>
  <c r="AA475" i="29"/>
  <c r="AA167" i="29"/>
  <c r="AA301" i="29"/>
  <c r="AA108" i="29"/>
  <c r="AA210" i="29"/>
  <c r="AA421" i="29"/>
  <c r="AA585" i="29"/>
  <c r="AA539" i="29"/>
  <c r="AA601" i="29"/>
  <c r="AA175" i="29"/>
  <c r="AA18" i="29"/>
  <c r="AA64" i="29"/>
  <c r="AA541" i="29"/>
  <c r="AA196" i="29"/>
  <c r="AA100" i="29"/>
  <c r="AA116" i="29"/>
  <c r="AA442" i="29"/>
  <c r="AA174" i="29"/>
  <c r="AA87" i="29"/>
  <c r="AA84" i="29"/>
  <c r="AA365" i="29"/>
  <c r="AA221" i="29"/>
  <c r="AA287" i="29"/>
  <c r="AA376" i="29"/>
  <c r="AA35" i="29"/>
  <c r="AA165" i="29"/>
  <c r="AA617" i="29"/>
  <c r="AA200" i="29"/>
  <c r="AA428" i="29"/>
  <c r="AA248" i="29"/>
  <c r="AA124" i="29"/>
  <c r="AA277" i="29"/>
  <c r="AA117" i="29"/>
  <c r="AA315" i="29"/>
  <c r="AA261" i="29"/>
  <c r="AA533" i="29"/>
  <c r="AA247" i="29"/>
  <c r="AA246" i="29"/>
  <c r="AA192" i="29"/>
  <c r="AA67" i="29"/>
  <c r="AA245" i="29"/>
  <c r="AA375" i="29"/>
  <c r="AA351" i="29"/>
  <c r="AA61" i="29"/>
  <c r="AA195" i="29"/>
  <c r="AA252" i="29"/>
  <c r="AA91" i="29"/>
  <c r="AA377" i="29"/>
  <c r="AA528" i="29"/>
  <c r="AA138" i="29"/>
  <c r="AA250" i="29"/>
  <c r="AA563" i="29"/>
  <c r="AA505" i="29"/>
  <c r="AA292" i="29"/>
  <c r="AA537" i="29"/>
  <c r="AA420" i="29"/>
  <c r="AA162" i="29"/>
  <c r="AA236" i="29"/>
  <c r="AA33" i="29"/>
  <c r="AA199" i="29"/>
  <c r="AA481" i="29"/>
  <c r="AA510" i="29"/>
  <c r="AA529" i="29"/>
  <c r="AA122" i="29"/>
  <c r="AA608" i="29"/>
  <c r="AA291" i="29"/>
  <c r="AA349" i="29"/>
  <c r="AA553" i="29"/>
  <c r="AA215" i="29"/>
  <c r="AA323" i="29"/>
  <c r="AA197" i="29"/>
  <c r="AA401" i="29"/>
  <c r="AA350" i="29"/>
  <c r="AA71" i="29"/>
  <c r="AA275" i="29"/>
  <c r="AA217" i="29"/>
  <c r="AA602" i="29"/>
  <c r="AA281" i="29"/>
  <c r="AA535" i="29"/>
  <c r="AA511" i="29"/>
  <c r="AA135" i="29"/>
  <c r="AA159" i="29"/>
  <c r="AA190" i="29"/>
  <c r="AA344" i="29"/>
  <c r="AA393" i="29"/>
  <c r="AA235" i="29"/>
  <c r="AA515" i="29"/>
  <c r="AA586" i="29"/>
  <c r="AA392" i="29"/>
  <c r="AA594" i="29"/>
  <c r="AA74" i="29"/>
  <c r="AA546" i="29"/>
  <c r="AA172" i="29"/>
  <c r="AA54" i="29"/>
  <c r="AA66" i="29"/>
  <c r="AA239" i="29"/>
  <c r="AA319" i="29"/>
  <c r="AA209" i="29"/>
  <c r="AA370" i="29"/>
  <c r="AA408" i="29"/>
  <c r="AA402" i="29"/>
  <c r="AA270" i="29"/>
  <c r="AA579" i="29"/>
  <c r="AA359" i="29"/>
  <c r="AA398" i="29"/>
  <c r="AA299" i="29"/>
  <c r="AA318" i="29"/>
  <c r="AA446" i="29"/>
  <c r="AA166" i="29"/>
  <c r="AA227" i="29"/>
  <c r="AA232" i="29"/>
  <c r="AA115" i="29"/>
  <c r="AA216" i="29"/>
  <c r="AA593" i="29"/>
  <c r="AA148" i="29"/>
  <c r="AA163" i="29"/>
  <c r="AA514" i="29"/>
  <c r="AA126" i="29"/>
  <c r="AA223" i="29"/>
  <c r="AA50" i="29"/>
  <c r="AA527" i="29"/>
  <c r="AA98" i="29"/>
  <c r="AA341" i="29"/>
  <c r="AA497" i="29"/>
  <c r="AA39" i="29"/>
  <c r="AA464" i="29"/>
  <c r="AA600" i="29"/>
  <c r="AA59" i="29"/>
  <c r="AA536" i="29"/>
  <c r="AA489" i="29"/>
  <c r="AA410" i="29"/>
  <c r="AA271" i="29"/>
  <c r="AA523" i="29"/>
  <c r="AA432" i="29"/>
  <c r="AA177" i="29"/>
  <c r="AA243" i="29"/>
  <c r="AA367" i="29"/>
  <c r="AA127" i="29"/>
  <c r="AA558" i="29"/>
  <c r="AA581" i="29"/>
  <c r="AA198" i="29"/>
  <c r="AA557" i="29"/>
  <c r="AA49" i="29"/>
  <c r="AA362" i="29"/>
  <c r="AA48" i="29"/>
  <c r="AA460" i="29"/>
  <c r="AA112" i="29"/>
  <c r="AA193" i="29"/>
  <c r="AA238" i="29"/>
  <c r="AA102" i="29"/>
  <c r="AA194" i="29"/>
  <c r="AA207" i="29" l="1"/>
  <c r="AA176" i="29"/>
  <c r="AA21" i="29"/>
  <c r="AA389" i="29"/>
  <c r="AA145" i="29"/>
  <c r="AA267" i="29"/>
  <c r="AA329" i="29"/>
  <c r="AA466" i="29"/>
  <c r="AA492" i="29"/>
  <c r="AA321" i="29"/>
  <c r="AA125" i="29"/>
  <c r="AA427" i="29"/>
  <c r="AA626" i="29"/>
  <c r="AA589" i="29"/>
  <c r="AA340" i="29"/>
  <c r="AA55" i="29"/>
  <c r="AA171" i="29"/>
  <c r="AA182" i="29"/>
  <c r="AA113" i="29"/>
  <c r="AA253" i="29"/>
  <c r="AA178" i="29"/>
  <c r="AA141" i="29"/>
  <c r="AA273" i="29"/>
  <c r="AA493" i="29"/>
  <c r="AA576" i="29"/>
  <c r="AA406" i="29"/>
  <c r="AA627" i="29"/>
  <c r="AA278" i="29"/>
  <c r="AA411" i="29"/>
  <c r="AA443" i="29"/>
  <c r="AA317" i="29"/>
  <c r="AA451" i="29"/>
  <c r="AA545" i="29"/>
  <c r="AA114" i="29"/>
  <c r="AA583" i="29"/>
  <c r="AA32" i="29"/>
  <c r="AA582" i="29"/>
  <c r="AA96" i="29"/>
  <c r="AA212" i="29"/>
  <c r="AA158" i="29"/>
  <c r="AA251" i="29"/>
  <c r="AA134" i="29"/>
  <c r="AA435" i="29"/>
  <c r="AA628" i="29"/>
  <c r="AA118" i="29"/>
  <c r="AA241" i="29"/>
  <c r="AA80" i="29"/>
  <c r="AA154" i="29"/>
  <c r="AA509" i="29"/>
  <c r="AA131" i="29"/>
  <c r="AA97" i="29"/>
  <c r="AA578" i="29"/>
  <c r="AA519" i="29"/>
  <c r="AA485" i="29"/>
  <c r="AA470" i="29"/>
  <c r="AA373" i="29"/>
  <c r="AA202" i="29"/>
  <c r="AA604" i="29"/>
  <c r="AA591" i="29"/>
  <c r="AA41" i="29"/>
  <c r="AA520" i="29"/>
  <c r="AA452" i="29"/>
  <c r="AA625" i="29"/>
  <c r="AA629" i="29"/>
  <c r="AA179" i="29"/>
  <c r="AA461" i="29"/>
  <c r="AA256" i="29"/>
  <c r="AA522" i="29"/>
  <c r="AA45" i="29"/>
  <c r="AA27" i="29"/>
  <c r="AA353" i="29"/>
  <c r="AA103" i="29"/>
  <c r="AA605" i="29"/>
  <c r="AA62" i="29"/>
  <c r="AA467" i="29"/>
  <c r="AA153" i="29"/>
  <c r="AA361" i="29"/>
  <c r="AA482" i="29"/>
  <c r="AA205" i="29"/>
  <c r="AA471" i="29"/>
  <c r="AA480" i="29"/>
  <c r="AA363" i="29"/>
  <c r="AA184" i="29"/>
  <c r="AA52" i="29"/>
  <c r="AA262" i="29"/>
  <c r="AA222" i="29"/>
  <c r="AA630" i="29"/>
  <c r="AA472" i="29"/>
  <c r="AA129" i="29"/>
  <c r="AA422" i="29"/>
  <c r="AA356" i="29"/>
  <c r="AA311" i="29"/>
  <c r="AA104" i="29"/>
  <c r="AA142" i="29"/>
  <c r="AA314" i="29"/>
  <c r="AA379" i="29"/>
  <c r="AA414" i="29"/>
  <c r="AA147" i="29"/>
  <c r="AA156" i="29"/>
  <c r="AA294" i="29"/>
  <c r="AA286" i="29"/>
  <c r="AA169" i="29"/>
  <c r="AA259" i="29"/>
  <c r="AA385" i="29"/>
  <c r="AA36" i="29"/>
  <c r="AA28" i="29"/>
  <c r="AA206" i="29"/>
  <c r="AA610" i="29"/>
  <c r="AA82" i="29"/>
  <c r="AA424" i="29"/>
  <c r="AA491" i="29"/>
  <c r="AA525" i="29"/>
  <c r="AA325" i="29"/>
  <c r="AA269" i="29"/>
  <c r="AA58" i="29"/>
  <c r="AA150" i="29"/>
  <c r="AA566" i="29"/>
  <c r="AA355" i="29"/>
  <c r="AA25" i="29"/>
  <c r="AA429" i="29"/>
  <c r="AA357" i="29"/>
  <c r="AA43" i="29"/>
  <c r="AA577" i="29"/>
  <c r="AA72" i="29"/>
  <c r="AA596" i="29"/>
  <c r="AA77" i="29"/>
  <c r="AA29" i="29"/>
  <c r="AA503" i="29"/>
  <c r="AA450" i="29"/>
  <c r="AA624" i="29"/>
  <c r="AB10" i="29"/>
  <c r="AB623" i="29" s="1"/>
  <c r="AB228" i="29"/>
  <c r="AA203" i="29"/>
  <c r="AA220" i="29"/>
  <c r="AA282" i="29"/>
  <c r="AA616" i="29"/>
  <c r="AA564" i="29"/>
  <c r="AA75" i="29"/>
  <c r="AA343" i="29"/>
  <c r="AA500" i="29"/>
  <c r="AA309" i="29"/>
  <c r="AA550" i="29"/>
  <c r="AG16" i="29"/>
  <c r="U16" i="29"/>
  <c r="T16" i="29"/>
  <c r="S16" i="29"/>
  <c r="R16" i="29"/>
  <c r="Q16" i="29"/>
  <c r="AA16" i="29"/>
  <c r="Z16" i="29"/>
  <c r="Y16" i="29"/>
  <c r="X16" i="29"/>
  <c r="W16" i="29"/>
  <c r="V16" i="29"/>
  <c r="AB626" i="29" l="1"/>
  <c r="AB630" i="29"/>
  <c r="AB627" i="29"/>
  <c r="AB628" i="29"/>
  <c r="AB629" i="29"/>
  <c r="AB544" i="29"/>
  <c r="AB21" i="29"/>
  <c r="AB502" i="29"/>
  <c r="AB202" i="29"/>
  <c r="AB359" i="29"/>
  <c r="AB141" i="29"/>
  <c r="AB504" i="29"/>
  <c r="AB362" i="29"/>
  <c r="AB157" i="29"/>
  <c r="AB533" i="29"/>
  <c r="AB18" i="29"/>
  <c r="AB381" i="29"/>
  <c r="AB16" i="29"/>
  <c r="AB226" i="29"/>
  <c r="AB28" i="29"/>
  <c r="AB419" i="29"/>
  <c r="AB25" i="29"/>
  <c r="AB212" i="29"/>
  <c r="AB92" i="29"/>
  <c r="AB358" i="29"/>
  <c r="AB249" i="29"/>
  <c r="AB133" i="29"/>
  <c r="AB311" i="29"/>
  <c r="AB568" i="29"/>
  <c r="AB580" i="29"/>
  <c r="AB193" i="29"/>
  <c r="AB258" i="29"/>
  <c r="AB44" i="29"/>
  <c r="AB209" i="29"/>
  <c r="AB310" i="29"/>
  <c r="AB483" i="29"/>
  <c r="AB462" i="29"/>
  <c r="AB114" i="29"/>
  <c r="AB521" i="29"/>
  <c r="AB485" i="29"/>
  <c r="AB589" i="29"/>
  <c r="AB46" i="29"/>
  <c r="AB382" i="29"/>
  <c r="AB452" i="29"/>
  <c r="AB256" i="29"/>
  <c r="AB162" i="29"/>
  <c r="AB23" i="29"/>
  <c r="AB528" i="29"/>
  <c r="AB415" i="29"/>
  <c r="AB370" i="29"/>
  <c r="AB444" i="29"/>
  <c r="AB143" i="29"/>
  <c r="AB308" i="29"/>
  <c r="AB279" i="29"/>
  <c r="AB154" i="29"/>
  <c r="AB612" i="29"/>
  <c r="AB259" i="29"/>
  <c r="AB144" i="29"/>
  <c r="AB547" i="29"/>
  <c r="AB320" i="29"/>
  <c r="AB535" i="29"/>
  <c r="AB214" i="29"/>
  <c r="AB575" i="29"/>
  <c r="AB374" i="29"/>
  <c r="AB121" i="29"/>
  <c r="AB445" i="29"/>
  <c r="AB56" i="29"/>
  <c r="AB150" i="29"/>
  <c r="AB130" i="29"/>
  <c r="AB356" i="29"/>
  <c r="AB316" i="29"/>
  <c r="AB97" i="29"/>
  <c r="AB377" i="29"/>
  <c r="AB88" i="29"/>
  <c r="AB395" i="29"/>
  <c r="AB556" i="29"/>
  <c r="AB123" i="29"/>
  <c r="AB17" i="29"/>
  <c r="AB548" i="29"/>
  <c r="AB422" i="29"/>
  <c r="AB244" i="29"/>
  <c r="AB566" i="29"/>
  <c r="AB367" i="29"/>
  <c r="AB472" i="29"/>
  <c r="AB321" i="29"/>
  <c r="AB282" i="29"/>
  <c r="AB366" i="29"/>
  <c r="AB506" i="29"/>
  <c r="AB39" i="29"/>
  <c r="AB40" i="29"/>
  <c r="AB64" i="29"/>
  <c r="AB319" i="29"/>
  <c r="AB336" i="29"/>
  <c r="AB71" i="29"/>
  <c r="AB515" i="29"/>
  <c r="AB111" i="29"/>
  <c r="AB442" i="29"/>
  <c r="AB301" i="29"/>
  <c r="AB84" i="29"/>
  <c r="AB471" i="29"/>
  <c r="AB590" i="29"/>
  <c r="AB585" i="29"/>
  <c r="AB169" i="29"/>
  <c r="AB306" i="29"/>
  <c r="AB199" i="29"/>
  <c r="AA4" i="29"/>
  <c r="N5" i="30" s="1"/>
  <c r="AB539" i="29"/>
  <c r="AB106" i="29"/>
  <c r="AB614" i="29"/>
  <c r="AB369" i="29"/>
  <c r="AB186" i="29"/>
  <c r="AB161" i="29"/>
  <c r="AB478" i="29"/>
  <c r="AB620" i="29"/>
  <c r="AB473" i="29"/>
  <c r="AB572" i="29"/>
  <c r="AB450" i="29"/>
  <c r="AB48" i="29"/>
  <c r="AB573" i="29"/>
  <c r="AB241" i="29"/>
  <c r="AB531" i="29"/>
  <c r="AB410" i="29"/>
  <c r="AB569" i="29"/>
  <c r="AB303" i="29"/>
  <c r="AB610" i="29"/>
  <c r="AB296" i="29"/>
  <c r="AB481" i="29"/>
  <c r="AB584" i="29"/>
  <c r="AB553" i="29"/>
  <c r="AB428" i="29"/>
  <c r="AB412" i="29"/>
  <c r="AB285" i="29"/>
  <c r="AB326" i="29"/>
  <c r="AB198" i="29"/>
  <c r="AB288" i="29"/>
  <c r="AB131" i="29"/>
  <c r="AB295" i="29"/>
  <c r="AB254" i="29"/>
  <c r="AB436" i="29"/>
  <c r="AB30" i="29"/>
  <c r="AB407" i="29"/>
  <c r="AB90" i="29"/>
  <c r="AB431" i="29"/>
  <c r="AB47" i="29"/>
  <c r="AB597" i="29"/>
  <c r="AB460" i="29"/>
  <c r="AB98" i="29"/>
  <c r="AB625" i="29"/>
  <c r="AB482" i="29"/>
  <c r="AB190" i="29"/>
  <c r="AB406" i="29"/>
  <c r="AB484" i="29"/>
  <c r="AB41" i="29"/>
  <c r="AB227" i="29"/>
  <c r="AB317" i="29"/>
  <c r="AB206" i="29"/>
  <c r="AB305" i="29"/>
  <c r="AB204" i="29"/>
  <c r="AB323" i="29"/>
  <c r="AB416" i="29"/>
  <c r="AB372" i="29"/>
  <c r="AB364" i="29"/>
  <c r="AB405" i="29"/>
  <c r="AB75" i="29"/>
  <c r="AB609" i="29"/>
  <c r="AB318" i="29"/>
  <c r="AB58" i="29"/>
  <c r="AB333" i="29"/>
  <c r="AB37" i="29"/>
  <c r="AB350" i="29"/>
  <c r="AB223" i="29"/>
  <c r="AB427" i="29"/>
  <c r="AB300" i="29"/>
  <c r="AB277" i="29"/>
  <c r="AB152" i="29"/>
  <c r="AB91" i="29"/>
  <c r="AB220" i="29"/>
  <c r="AB115" i="29"/>
  <c r="AB171" i="29"/>
  <c r="AB378" i="29"/>
  <c r="AB215" i="29"/>
  <c r="AB188" i="29"/>
  <c r="AB185" i="29"/>
  <c r="AB203" i="29"/>
  <c r="AB466" i="29"/>
  <c r="AB269" i="29"/>
  <c r="AB101" i="29"/>
  <c r="AB477" i="29"/>
  <c r="AB408" i="29"/>
  <c r="AB117" i="29"/>
  <c r="AB302" i="29"/>
  <c r="AB348" i="29"/>
  <c r="AB426" i="29"/>
  <c r="AB287" i="29"/>
  <c r="AB136" i="29"/>
  <c r="AB128" i="29"/>
  <c r="AB173" i="29"/>
  <c r="AB77" i="29"/>
  <c r="AB602" i="29"/>
  <c r="AB365" i="29"/>
  <c r="AB443" i="29"/>
  <c r="AB437" i="29"/>
  <c r="AB24" i="29"/>
  <c r="AB513" i="29"/>
  <c r="AB393" i="29"/>
  <c r="AB340" i="29"/>
  <c r="AB94" i="29"/>
  <c r="AB457" i="29"/>
  <c r="AB496" i="29"/>
  <c r="AB96" i="29"/>
  <c r="AB201" i="29"/>
  <c r="AB219" i="29"/>
  <c r="AB400" i="29"/>
  <c r="AB409" i="29"/>
  <c r="AB605" i="29"/>
  <c r="AB102" i="29"/>
  <c r="AB19" i="29"/>
  <c r="AB577" i="29"/>
  <c r="AB611" i="29"/>
  <c r="AB459" i="29"/>
  <c r="AB599" i="29"/>
  <c r="AB270" i="29"/>
  <c r="AB31" i="29"/>
  <c r="AB266" i="29"/>
  <c r="AB337" i="29"/>
  <c r="AB476" i="29"/>
  <c r="AB257" i="29"/>
  <c r="AB465" i="29"/>
  <c r="AB380" i="29"/>
  <c r="AB49" i="29"/>
  <c r="AB418" i="29"/>
  <c r="AB385" i="29"/>
  <c r="AB170" i="29"/>
  <c r="AB368" i="29"/>
  <c r="AB145" i="29"/>
  <c r="AB63" i="29"/>
  <c r="AB260" i="29"/>
  <c r="AB22" i="29"/>
  <c r="AB76" i="29"/>
  <c r="AB312" i="29"/>
  <c r="AB404" i="29"/>
  <c r="AB387" i="29"/>
  <c r="AB264" i="29"/>
  <c r="AB281" i="29"/>
  <c r="AB541" i="29"/>
  <c r="AB373" i="29"/>
  <c r="AB618" i="29"/>
  <c r="AB425" i="29"/>
  <c r="AB347" i="29"/>
  <c r="AB163" i="29"/>
  <c r="AB581" i="29"/>
  <c r="AB467" i="29"/>
  <c r="AB53" i="29"/>
  <c r="AB166" i="29"/>
  <c r="AB532" i="29"/>
  <c r="AB324" i="29"/>
  <c r="AB495" i="29"/>
  <c r="AB335" i="29"/>
  <c r="AB346" i="29"/>
  <c r="AB155" i="29"/>
  <c r="AB621" i="29"/>
  <c r="AB514" i="29"/>
  <c r="AB397" i="29"/>
  <c r="AB207" i="29"/>
  <c r="AB149" i="29"/>
  <c r="AB435" i="29"/>
  <c r="AB132" i="29"/>
  <c r="AB183" i="29"/>
  <c r="AB195" i="29"/>
  <c r="AB565" i="29"/>
  <c r="AB232" i="29"/>
  <c r="AB122" i="29"/>
  <c r="AB523" i="29"/>
  <c r="AB529" i="29"/>
  <c r="AB613" i="29"/>
  <c r="AB113" i="29"/>
  <c r="AB218" i="29"/>
  <c r="AB233" i="29"/>
  <c r="AB394" i="29"/>
  <c r="AB392" i="29"/>
  <c r="AB578" i="29"/>
  <c r="AB325" i="29"/>
  <c r="AB352" i="29"/>
  <c r="AB560" i="29"/>
  <c r="AB187" i="29"/>
  <c r="AB537" i="29"/>
  <c r="AB191" i="29"/>
  <c r="AB470" i="29"/>
  <c r="AB464" i="29"/>
  <c r="AB468" i="29"/>
  <c r="AB449" i="29"/>
  <c r="AB383" i="29"/>
  <c r="AB562" i="29"/>
  <c r="AB413" i="29"/>
  <c r="AB600" i="29"/>
  <c r="AB363" i="29"/>
  <c r="AB512" i="29"/>
  <c r="AB357" i="29"/>
  <c r="AB608" i="29"/>
  <c r="AB224" i="29"/>
  <c r="AB298" i="29"/>
  <c r="AB525" i="29"/>
  <c r="AB455" i="29"/>
  <c r="AB342" i="29"/>
  <c r="AB530" i="29"/>
  <c r="AB557" i="29"/>
  <c r="AB138" i="29"/>
  <c r="AB490" i="29"/>
  <c r="AB579" i="29"/>
  <c r="AB379" i="29"/>
  <c r="AB475" i="29"/>
  <c r="AB105" i="29"/>
  <c r="AB594" i="29"/>
  <c r="AB135" i="29"/>
  <c r="AB334" i="29"/>
  <c r="AB293" i="29"/>
  <c r="AB508" i="29"/>
  <c r="AB104" i="29"/>
  <c r="AB417" i="29"/>
  <c r="AB507" i="29"/>
  <c r="AB80" i="29"/>
  <c r="AB343" i="29"/>
  <c r="AB251" i="29"/>
  <c r="AB175" i="29"/>
  <c r="AB446" i="29"/>
  <c r="AB278" i="29"/>
  <c r="AB619" i="29"/>
  <c r="AB454" i="29"/>
  <c r="AB35" i="29"/>
  <c r="AB137" i="29"/>
  <c r="AB498" i="29"/>
  <c r="AB262" i="29"/>
  <c r="AB160" i="29"/>
  <c r="AB604" i="29"/>
  <c r="AB309" i="29"/>
  <c r="AB592" i="29"/>
  <c r="AB555" i="29"/>
  <c r="AB607" i="29"/>
  <c r="AB192" i="29"/>
  <c r="AB127" i="29"/>
  <c r="AB297" i="29"/>
  <c r="AB272" i="29"/>
  <c r="AB81" i="29"/>
  <c r="AB593" i="29"/>
  <c r="AB55" i="29"/>
  <c r="AB432" i="29"/>
  <c r="AB546" i="29"/>
  <c r="AB376" i="29"/>
  <c r="AB329" i="29"/>
  <c r="AB398" i="29"/>
  <c r="AB361" i="29"/>
  <c r="AB511" i="29"/>
  <c r="AB45" i="29"/>
  <c r="AB222" i="29"/>
  <c r="AB261" i="29"/>
  <c r="AB26" i="29"/>
  <c r="AB120" i="29"/>
  <c r="AB401" i="29"/>
  <c r="AB434" i="29"/>
  <c r="AB570" i="29"/>
  <c r="AB420" i="29"/>
  <c r="AB255" i="29"/>
  <c r="AB38" i="29"/>
  <c r="AB54" i="29"/>
  <c r="AB236" i="29"/>
  <c r="AB391" i="29"/>
  <c r="AB142" i="29"/>
  <c r="AB74" i="29"/>
  <c r="AB456" i="29"/>
  <c r="AB66" i="29"/>
  <c r="AB524" i="29"/>
  <c r="AB299" i="29"/>
  <c r="AB112" i="29"/>
  <c r="AB62" i="29"/>
  <c r="AB503" i="29"/>
  <c r="AB351" i="29"/>
  <c r="AB129" i="29"/>
  <c r="AB151" i="29"/>
  <c r="AB574" i="29"/>
  <c r="AB134" i="29"/>
  <c r="AB616" i="29"/>
  <c r="AB119" i="29"/>
  <c r="AB210" i="29"/>
  <c r="AB108" i="29"/>
  <c r="AB211" i="29"/>
  <c r="AB148" i="29"/>
  <c r="AB489" i="29"/>
  <c r="AB177" i="29"/>
  <c r="AB384" i="29"/>
  <c r="AB99" i="29"/>
  <c r="AB421" i="29"/>
  <c r="AB43" i="29"/>
  <c r="AB93" i="29"/>
  <c r="AB276" i="29"/>
  <c r="AB542" i="29"/>
  <c r="AB217" i="29"/>
  <c r="AB559" i="29"/>
  <c r="AB83" i="29"/>
  <c r="AB494" i="29"/>
  <c r="AB34" i="29"/>
  <c r="AB205" i="29"/>
  <c r="AB543" i="29"/>
  <c r="AB448" i="29"/>
  <c r="AB582" i="29"/>
  <c r="AB598" i="29"/>
  <c r="AB488" i="29"/>
  <c r="AB265" i="29"/>
  <c r="AB332" i="29"/>
  <c r="AB165" i="29"/>
  <c r="AB153" i="29"/>
  <c r="AB246" i="29"/>
  <c r="AB505" i="29"/>
  <c r="AB501" i="29"/>
  <c r="AB429" i="29"/>
  <c r="AB520" i="29"/>
  <c r="AB27" i="29"/>
  <c r="AB322" i="29"/>
  <c r="AB441" i="29"/>
  <c r="AB624" i="29"/>
  <c r="AB243" i="29"/>
  <c r="AB438" i="29"/>
  <c r="AB388" i="29"/>
  <c r="AB116" i="29"/>
  <c r="AB440" i="29"/>
  <c r="AB252" i="29"/>
  <c r="AB354" i="29"/>
  <c r="AB60" i="29"/>
  <c r="AB248" i="29"/>
  <c r="AB86" i="29"/>
  <c r="AB178" i="29"/>
  <c r="AB345" i="29"/>
  <c r="AB526" i="29"/>
  <c r="AB534" i="29"/>
  <c r="AB396" i="29"/>
  <c r="AB331" i="29"/>
  <c r="AB516" i="29"/>
  <c r="AB349" i="29"/>
  <c r="AB294" i="29"/>
  <c r="AB57" i="29"/>
  <c r="AB615" i="29"/>
  <c r="AB453" i="29"/>
  <c r="AB549" i="29"/>
  <c r="AB147" i="29"/>
  <c r="AB328" i="29"/>
  <c r="AB158" i="29"/>
  <c r="AB273" i="29"/>
  <c r="AB271" i="29"/>
  <c r="AB125" i="29"/>
  <c r="AB239" i="29"/>
  <c r="AB245" i="29"/>
  <c r="AB552" i="29"/>
  <c r="AB527" i="29"/>
  <c r="AB353" i="29"/>
  <c r="AB563" i="29"/>
  <c r="AB463" i="29"/>
  <c r="AB424" i="29"/>
  <c r="AB451" i="29"/>
  <c r="AB536" i="29"/>
  <c r="AB587" i="29"/>
  <c r="AB181" i="29"/>
  <c r="AB327" i="29"/>
  <c r="AB242" i="29"/>
  <c r="AB237" i="29"/>
  <c r="AB110" i="29"/>
  <c r="AB586" i="29"/>
  <c r="AB107" i="29"/>
  <c r="AB274" i="29"/>
  <c r="AB487" i="29"/>
  <c r="AB176" i="29"/>
  <c r="AB492" i="29"/>
  <c r="AB474" i="29"/>
  <c r="AB517" i="29"/>
  <c r="AB550" i="29"/>
  <c r="AB289" i="29"/>
  <c r="AB229" i="29"/>
  <c r="AB283" i="29"/>
  <c r="AB29" i="29"/>
  <c r="AB234" i="29"/>
  <c r="AB551" i="29"/>
  <c r="AB42" i="29"/>
  <c r="AB124" i="29"/>
  <c r="AB307" i="29"/>
  <c r="AB59" i="29"/>
  <c r="AB360" i="29"/>
  <c r="AB290" i="29"/>
  <c r="AB423" i="29"/>
  <c r="AB139" i="29"/>
  <c r="AB389" i="29"/>
  <c r="AB576" i="29"/>
  <c r="AB61" i="29"/>
  <c r="AB386" i="29"/>
  <c r="AB411" i="29"/>
  <c r="AB433" i="29"/>
  <c r="AB414" i="29"/>
  <c r="AB50" i="29"/>
  <c r="AB179" i="29"/>
  <c r="AB292" i="29"/>
  <c r="AB263" i="29"/>
  <c r="AB499" i="29"/>
  <c r="AB545" i="29"/>
  <c r="AB571" i="29"/>
  <c r="AB67" i="29"/>
  <c r="AB480" i="29"/>
  <c r="AB375" i="29"/>
  <c r="AB118" i="29"/>
  <c r="AB231" i="29"/>
  <c r="AB304" i="29"/>
  <c r="AB479" i="29"/>
  <c r="AB200" i="29"/>
  <c r="AB284" i="29"/>
  <c r="AB554" i="29"/>
  <c r="AB561" i="29"/>
  <c r="AB253" i="29"/>
  <c r="AB250" i="29"/>
  <c r="AB168" i="29"/>
  <c r="AB164" i="29"/>
  <c r="AB591" i="29"/>
  <c r="AB197" i="29"/>
  <c r="AB486" i="29"/>
  <c r="AB87" i="29"/>
  <c r="AB189" i="29"/>
  <c r="AB78" i="29"/>
  <c r="AB339" i="29"/>
  <c r="AB518" i="29"/>
  <c r="AB100" i="29"/>
  <c r="AB564" i="29"/>
  <c r="AB338" i="29"/>
  <c r="AB519" i="29"/>
  <c r="AB73" i="29"/>
  <c r="AB221" i="29"/>
  <c r="AB182" i="29"/>
  <c r="AB247" i="29"/>
  <c r="AB330" i="29"/>
  <c r="AB458" i="29"/>
  <c r="AB540" i="29"/>
  <c r="AB36" i="29"/>
  <c r="AB172" i="29"/>
  <c r="AB196" i="29"/>
  <c r="AB146" i="29"/>
  <c r="AB267" i="29"/>
  <c r="AB180" i="29"/>
  <c r="AB371" i="29"/>
  <c r="AB194" i="29"/>
  <c r="AB167" i="29"/>
  <c r="AB439" i="29"/>
  <c r="AB567" i="29"/>
  <c r="AB341" i="29"/>
  <c r="AB95" i="29"/>
  <c r="AB65" i="29"/>
  <c r="AB140" i="29"/>
  <c r="AB213" i="29"/>
  <c r="AB208" i="29"/>
  <c r="AB403" i="29"/>
  <c r="AB344" i="29"/>
  <c r="AB72" i="29"/>
  <c r="AB497" i="29"/>
  <c r="AB82" i="29"/>
  <c r="AB291" i="29"/>
  <c r="AB596" i="29"/>
  <c r="AB230" i="29"/>
  <c r="AB402" i="29"/>
  <c r="AB238" i="29"/>
  <c r="AB355" i="29"/>
  <c r="AB510" i="29"/>
  <c r="AB68" i="29"/>
  <c r="AB583" i="29"/>
  <c r="AB622" i="29"/>
  <c r="AB491" i="29"/>
  <c r="AB315" i="29"/>
  <c r="AB32" i="29"/>
  <c r="AB156" i="29"/>
  <c r="AB522" i="29"/>
  <c r="AB399" i="29"/>
  <c r="AB275" i="29"/>
  <c r="AB509" i="29"/>
  <c r="AB588" i="29"/>
  <c r="AB159" i="29"/>
  <c r="AB69" i="29"/>
  <c r="AB447" i="29"/>
  <c r="AB109" i="29"/>
  <c r="AB52" i="29"/>
  <c r="AB617" i="29"/>
  <c r="AB286" i="29"/>
  <c r="AB558" i="29"/>
  <c r="AB500" i="29"/>
  <c r="AB20" i="29"/>
  <c r="AB430" i="29"/>
  <c r="AB51" i="29"/>
  <c r="AB469" i="29"/>
  <c r="AB606" i="29"/>
  <c r="AB216" i="29"/>
  <c r="AB268" i="29"/>
  <c r="AB603" i="29"/>
  <c r="AB184" i="29"/>
  <c r="AB33" i="29"/>
  <c r="AB240" i="29"/>
  <c r="AB103" i="29"/>
  <c r="AB235" i="29"/>
  <c r="AB126" i="29"/>
  <c r="AB461" i="29"/>
  <c r="AB174" i="29"/>
  <c r="AB70" i="29"/>
  <c r="AB538" i="29"/>
  <c r="AB390" i="29"/>
  <c r="AB79" i="29"/>
  <c r="AB493" i="29"/>
  <c r="AB280" i="29"/>
  <c r="AB314" i="29"/>
  <c r="AB313" i="29"/>
  <c r="AB85" i="29"/>
  <c r="AB595" i="29"/>
  <c r="AB601" i="29"/>
  <c r="AB225" i="29"/>
  <c r="AB89" i="29"/>
  <c r="AC9" i="29"/>
  <c r="Q12" i="29"/>
  <c r="AB12" i="29"/>
  <c r="AA12" i="29"/>
  <c r="Z12" i="29"/>
  <c r="Y12" i="29"/>
  <c r="AG12" i="29"/>
  <c r="X12" i="29"/>
  <c r="W12" i="29"/>
  <c r="S12" i="29"/>
  <c r="V12" i="29"/>
  <c r="U12" i="29"/>
  <c r="T12" i="29"/>
  <c r="R12" i="29"/>
  <c r="X13" i="29"/>
  <c r="W13" i="29"/>
  <c r="V13" i="29"/>
  <c r="AG13" i="29"/>
  <c r="U13" i="29"/>
  <c r="T13" i="29"/>
  <c r="S13" i="29"/>
  <c r="AB13" i="29"/>
  <c r="R13" i="29"/>
  <c r="Q13" i="29"/>
  <c r="AA13" i="29"/>
  <c r="Z13" i="29"/>
  <c r="Y13" i="29"/>
  <c r="Z15" i="29"/>
  <c r="Y15" i="29"/>
  <c r="X15" i="29"/>
  <c r="W15" i="29"/>
  <c r="V15" i="29"/>
  <c r="AG15" i="29"/>
  <c r="U15" i="29"/>
  <c r="T15" i="29"/>
  <c r="R15" i="29"/>
  <c r="S15" i="29"/>
  <c r="Q15" i="29"/>
  <c r="AB15" i="29"/>
  <c r="AA15" i="29"/>
  <c r="S14" i="29"/>
  <c r="R14" i="29"/>
  <c r="Q14" i="29"/>
  <c r="W14" i="29"/>
  <c r="AB14" i="29"/>
  <c r="AA14" i="29"/>
  <c r="Z14" i="29"/>
  <c r="Y14" i="29"/>
  <c r="X14" i="29"/>
  <c r="V14" i="29"/>
  <c r="AG14" i="29"/>
  <c r="U14" i="29"/>
  <c r="T14" i="29"/>
  <c r="V5" i="29" l="1"/>
  <c r="Q3" i="29"/>
  <c r="D4" i="30" s="1"/>
  <c r="AB4" i="29"/>
  <c r="O5" i="30" s="1"/>
  <c r="AC10" i="29"/>
  <c r="AC617" i="29" s="1"/>
  <c r="AC477" i="29"/>
  <c r="AC454" i="29"/>
  <c r="AC71" i="29"/>
  <c r="AC243" i="29"/>
  <c r="AC592" i="29"/>
  <c r="AC234" i="29"/>
  <c r="AC195" i="29"/>
  <c r="AC351" i="29"/>
  <c r="AC587" i="29"/>
  <c r="AC538" i="29"/>
  <c r="AC515" i="29"/>
  <c r="AC311" i="29"/>
  <c r="AC156" i="29"/>
  <c r="AC570" i="29"/>
  <c r="AC50" i="29"/>
  <c r="AC40" i="29"/>
  <c r="AC97" i="29"/>
  <c r="AC185" i="29"/>
  <c r="AC415" i="29"/>
  <c r="AC91" i="29"/>
  <c r="AC124" i="29"/>
  <c r="AC439" i="29"/>
  <c r="AC139" i="29"/>
  <c r="AC186" i="29"/>
  <c r="AC613" i="29"/>
  <c r="AC451" i="29"/>
  <c r="AC260" i="29"/>
  <c r="AC274" i="29"/>
  <c r="AC225" i="29"/>
  <c r="AC510" i="29"/>
  <c r="AC385" i="29"/>
  <c r="AC92" i="29"/>
  <c r="AC559" i="29"/>
  <c r="AC399" i="29"/>
  <c r="AC325" i="29"/>
  <c r="AC254" i="29"/>
  <c r="AC75" i="29"/>
  <c r="AC565" i="29"/>
  <c r="AC520" i="29"/>
  <c r="AC218" i="29"/>
  <c r="AC402" i="29"/>
  <c r="AC503" i="29"/>
  <c r="AC88" i="29"/>
  <c r="AC449" i="29"/>
  <c r="AC523" i="29"/>
  <c r="AC609" i="29"/>
  <c r="AC364" i="29"/>
  <c r="AC408" i="29"/>
  <c r="AC610" i="29"/>
  <c r="AC401" i="29"/>
  <c r="AC145" i="29"/>
  <c r="AC484" i="29"/>
  <c r="AC514" i="29"/>
  <c r="AC232" i="29"/>
  <c r="AC447" i="29"/>
  <c r="AC330" i="29"/>
  <c r="AC214" i="29"/>
  <c r="AC359" i="29"/>
  <c r="AC95" i="29"/>
  <c r="AC318" i="29"/>
  <c r="AC363" i="29"/>
  <c r="AC582" i="29"/>
  <c r="AC215" i="29"/>
  <c r="AC314" i="29"/>
  <c r="AC119" i="29"/>
  <c r="AC166" i="29"/>
  <c r="AC125" i="29"/>
  <c r="AC349" i="29"/>
  <c r="AC529" i="29"/>
  <c r="AC162" i="29"/>
  <c r="AC34" i="29"/>
  <c r="AC177" i="29"/>
  <c r="AC331" i="29"/>
  <c r="AC271" i="29"/>
  <c r="AC569" i="29"/>
  <c r="AC381" i="29"/>
  <c r="AC138" i="29"/>
  <c r="AC445" i="29"/>
  <c r="AC55" i="29"/>
  <c r="AC521" i="29"/>
  <c r="AC72" i="29"/>
  <c r="AC387" i="29"/>
  <c r="AC500" i="29"/>
  <c r="AC74" i="29"/>
  <c r="AC599" i="29"/>
  <c r="AC344" i="29"/>
  <c r="AC614" i="29"/>
  <c r="AC544" i="29"/>
  <c r="AC36" i="29"/>
  <c r="AC30" i="29"/>
  <c r="AC109" i="29"/>
  <c r="AC306" i="29"/>
  <c r="AC536" i="29"/>
  <c r="AC267" i="29"/>
  <c r="AC22" i="29"/>
  <c r="AC577" i="29"/>
  <c r="AC89" i="29"/>
  <c r="AC480" i="29"/>
  <c r="AC490" i="29"/>
  <c r="AC261" i="29"/>
  <c r="AC259" i="29"/>
  <c r="AC540" i="29"/>
  <c r="AC169" i="29"/>
  <c r="AC255" i="29"/>
  <c r="AC31" i="29"/>
  <c r="AC498" i="29"/>
  <c r="AC392" i="29"/>
  <c r="AC564" i="29"/>
  <c r="AC473" i="29"/>
  <c r="AC541" i="29"/>
  <c r="AC112" i="29"/>
  <c r="AC406" i="29"/>
  <c r="AC128" i="29"/>
  <c r="AC526" i="29"/>
  <c r="AC467" i="29"/>
  <c r="AC598" i="29"/>
  <c r="AC465" i="29"/>
  <c r="AC272" i="29"/>
  <c r="AC24" i="29"/>
  <c r="AC390" i="29"/>
  <c r="AC236" i="29"/>
  <c r="AC287" i="29"/>
  <c r="AC129" i="29"/>
  <c r="AC114" i="29"/>
  <c r="AC527" i="29"/>
  <c r="AC595" i="29"/>
  <c r="AC605" i="29"/>
  <c r="R5" i="29"/>
  <c r="S5" i="29"/>
  <c r="AA3" i="29"/>
  <c r="AA7" i="29" s="1"/>
  <c r="N7" i="30" s="1"/>
  <c r="N56" i="30" s="1"/>
  <c r="W3" i="29"/>
  <c r="J4" i="30" s="1"/>
  <c r="AG3" i="29"/>
  <c r="AG7" i="29" s="1"/>
  <c r="T7" i="30" s="1"/>
  <c r="T13" i="30" s="1"/>
  <c r="AB3" i="29"/>
  <c r="O4" i="30" s="1"/>
  <c r="Y3" i="29"/>
  <c r="Y7" i="29" s="1"/>
  <c r="L7" i="30" s="1"/>
  <c r="R3" i="29"/>
  <c r="R7" i="29" s="1"/>
  <c r="E7" i="30" s="1"/>
  <c r="W5" i="29"/>
  <c r="X5" i="29"/>
  <c r="AG5" i="29"/>
  <c r="Y5" i="29"/>
  <c r="Z5" i="29"/>
  <c r="AA5" i="29"/>
  <c r="AB5" i="29"/>
  <c r="T5" i="29"/>
  <c r="Q5" i="29"/>
  <c r="U5" i="29"/>
  <c r="Z3" i="29"/>
  <c r="X3" i="29"/>
  <c r="V3" i="29"/>
  <c r="U3" i="29"/>
  <c r="T3" i="29"/>
  <c r="S3" i="29"/>
  <c r="G4" i="11"/>
  <c r="G5" i="11" s="1"/>
  <c r="G6" i="11" s="1"/>
  <c r="G7" i="11" s="1"/>
  <c r="G8" i="11" s="1"/>
  <c r="AC452" i="29" l="1"/>
  <c r="AC155" i="29"/>
  <c r="AC157" i="29"/>
  <c r="AC310" i="29"/>
  <c r="AC295" i="29"/>
  <c r="AC499" i="29"/>
  <c r="AC110" i="29"/>
  <c r="AC430" i="29"/>
  <c r="AC120" i="29"/>
  <c r="AC284" i="29"/>
  <c r="AC488" i="29"/>
  <c r="AC579" i="29"/>
  <c r="AC462" i="29"/>
  <c r="AC158" i="29"/>
  <c r="AC291" i="29"/>
  <c r="AC137" i="29"/>
  <c r="AC17" i="29"/>
  <c r="AC85" i="29"/>
  <c r="AC426" i="29"/>
  <c r="AC616" i="29"/>
  <c r="AC629" i="29"/>
  <c r="AC101" i="29"/>
  <c r="AC492" i="29"/>
  <c r="AC383" i="29"/>
  <c r="AC61" i="29"/>
  <c r="AC435" i="29"/>
  <c r="AC246" i="29"/>
  <c r="AC596" i="29"/>
  <c r="AC624" i="29"/>
  <c r="AC99" i="29"/>
  <c r="AC102" i="29"/>
  <c r="AC555" i="29"/>
  <c r="AC441" i="29"/>
  <c r="AC117" i="29"/>
  <c r="AC252" i="29"/>
  <c r="AC496" i="29"/>
  <c r="AC96" i="29"/>
  <c r="AC53" i="29"/>
  <c r="AC32" i="29"/>
  <c r="AC238" i="29"/>
  <c r="AC630" i="29"/>
  <c r="AC47" i="29"/>
  <c r="AC623" i="29"/>
  <c r="AC413" i="29"/>
  <c r="AC213" i="29"/>
  <c r="AC227" i="29"/>
  <c r="AC121" i="29"/>
  <c r="AC472" i="29"/>
  <c r="AC230" i="29"/>
  <c r="AC334" i="29"/>
  <c r="AC418" i="29"/>
  <c r="AC239" i="29"/>
  <c r="AC202" i="29"/>
  <c r="AC294" i="29"/>
  <c r="AC396" i="29"/>
  <c r="AC224" i="29"/>
  <c r="AC581" i="29"/>
  <c r="AC182" i="29"/>
  <c r="AC619" i="29"/>
  <c r="AC297" i="29"/>
  <c r="AC627" i="29"/>
  <c r="AC299" i="29"/>
  <c r="AC292" i="29"/>
  <c r="AC58" i="29"/>
  <c r="AC67" i="29"/>
  <c r="AC84" i="29"/>
  <c r="AC522" i="29"/>
  <c r="AC216" i="29"/>
  <c r="AC148" i="29"/>
  <c r="AC175" i="29"/>
  <c r="AC487" i="29"/>
  <c r="AC130" i="29"/>
  <c r="AC507" i="29"/>
  <c r="AC371" i="29"/>
  <c r="AC391" i="29"/>
  <c r="AC226" i="29"/>
  <c r="AC113" i="29"/>
  <c r="AC204" i="29"/>
  <c r="AC611" i="29"/>
  <c r="AC324" i="29"/>
  <c r="AC628" i="29"/>
  <c r="AC378" i="29"/>
  <c r="AC16" i="29"/>
  <c r="AC423" i="29"/>
  <c r="AC414" i="29"/>
  <c r="AC248" i="29"/>
  <c r="AC240" i="29"/>
  <c r="AC424" i="29"/>
  <c r="AC188" i="29"/>
  <c r="AC100" i="29"/>
  <c r="AC404" i="29"/>
  <c r="AC403" i="29"/>
  <c r="AC57" i="29"/>
  <c r="AC198" i="29"/>
  <c r="AC412" i="29"/>
  <c r="AC428" i="29"/>
  <c r="AC369" i="29"/>
  <c r="AC315" i="29"/>
  <c r="AC563" i="29"/>
  <c r="AC495" i="29"/>
  <c r="AC626" i="29"/>
  <c r="AC142" i="29"/>
  <c r="AC398" i="29"/>
  <c r="AC382" i="29"/>
  <c r="AC135" i="29"/>
  <c r="AC501" i="29"/>
  <c r="AC362" i="29"/>
  <c r="AC279" i="29"/>
  <c r="AC25" i="29"/>
  <c r="AC221" i="29"/>
  <c r="AC19" i="29"/>
  <c r="AC176" i="29"/>
  <c r="AC612" i="29"/>
  <c r="AC434" i="29"/>
  <c r="AC548" i="29"/>
  <c r="AC513" i="29"/>
  <c r="AC436" i="29"/>
  <c r="AC483" i="29"/>
  <c r="AC28" i="29"/>
  <c r="AC320" i="29"/>
  <c r="AC319" i="29"/>
  <c r="AC512" i="29"/>
  <c r="AC615" i="29"/>
  <c r="AC603" i="29"/>
  <c r="AC394" i="29"/>
  <c r="AC571" i="29"/>
  <c r="AC578" i="29"/>
  <c r="AC504" i="29"/>
  <c r="AC373" i="29"/>
  <c r="AC103" i="29"/>
  <c r="AC201" i="29"/>
  <c r="AC332" i="29"/>
  <c r="AC432" i="29"/>
  <c r="AC355" i="29"/>
  <c r="AC343" i="29"/>
  <c r="AC37" i="29"/>
  <c r="AC338" i="29"/>
  <c r="AC146" i="29"/>
  <c r="AC557" i="29"/>
  <c r="AC278" i="29"/>
  <c r="AC222" i="29"/>
  <c r="AC469" i="29"/>
  <c r="AC270" i="29"/>
  <c r="AC304" i="29"/>
  <c r="AC147" i="29"/>
  <c r="AC389" i="29"/>
  <c r="AC329" i="29"/>
  <c r="AC285" i="29"/>
  <c r="AC518" i="29"/>
  <c r="AC524" i="29"/>
  <c r="AC59" i="29"/>
  <c r="AC419" i="29"/>
  <c r="AC517" i="29"/>
  <c r="AC263" i="29"/>
  <c r="AC459" i="29"/>
  <c r="AC379" i="29"/>
  <c r="AC264" i="29"/>
  <c r="AC327" i="29"/>
  <c r="AC276" i="29"/>
  <c r="AC470" i="29"/>
  <c r="AC194" i="29"/>
  <c r="AC370" i="29"/>
  <c r="AC539" i="29"/>
  <c r="AC532" i="29"/>
  <c r="AC29" i="29"/>
  <c r="AC76" i="29"/>
  <c r="AC442" i="29"/>
  <c r="AC622" i="29"/>
  <c r="AC345" i="29"/>
  <c r="AC118" i="29"/>
  <c r="AC21" i="29"/>
  <c r="AC360" i="29"/>
  <c r="AC505" i="29"/>
  <c r="AC257" i="29"/>
  <c r="AC172" i="29"/>
  <c r="AC161" i="29"/>
  <c r="AC250" i="29"/>
  <c r="AC375" i="29"/>
  <c r="AC476" i="29"/>
  <c r="AC164" i="29"/>
  <c r="AC519" i="29"/>
  <c r="AC606" i="29"/>
  <c r="AC63" i="29"/>
  <c r="AC289" i="29"/>
  <c r="AC217" i="29"/>
  <c r="AC533" i="29"/>
  <c r="AC388" i="29"/>
  <c r="AC39" i="29"/>
  <c r="AC531" i="29"/>
  <c r="AC308" i="29"/>
  <c r="AC580" i="29"/>
  <c r="AC35" i="29"/>
  <c r="AC301" i="29"/>
  <c r="AC98" i="29"/>
  <c r="AC127" i="29"/>
  <c r="AC249" i="29"/>
  <c r="AC262" i="29"/>
  <c r="AC211" i="29"/>
  <c r="AC189" i="29"/>
  <c r="AC506" i="29"/>
  <c r="AC197" i="29"/>
  <c r="AC589" i="29"/>
  <c r="AC497" i="29"/>
  <c r="AC159" i="29"/>
  <c r="AC416" i="29"/>
  <c r="AC241" i="29"/>
  <c r="AC411" i="29"/>
  <c r="AC546" i="29"/>
  <c r="AC303" i="29"/>
  <c r="AC42" i="29"/>
  <c r="AC290" i="29"/>
  <c r="AC357" i="29"/>
  <c r="AC594" i="29"/>
  <c r="AC149" i="29"/>
  <c r="AC268" i="29"/>
  <c r="AC206" i="29"/>
  <c r="AC179" i="29"/>
  <c r="AC410" i="29"/>
  <c r="AC537" i="29"/>
  <c r="AC573" i="29"/>
  <c r="AC386" i="29"/>
  <c r="AC193" i="29"/>
  <c r="AC468" i="29"/>
  <c r="AC554" i="29"/>
  <c r="AC313" i="29"/>
  <c r="AC56" i="29"/>
  <c r="AC45" i="29"/>
  <c r="AC171" i="29"/>
  <c r="AC82" i="29"/>
  <c r="AC328" i="29"/>
  <c r="AC170" i="29"/>
  <c r="AC70" i="29"/>
  <c r="AC66" i="29"/>
  <c r="AC143" i="29"/>
  <c r="AC160" i="29"/>
  <c r="AC525" i="29"/>
  <c r="AC348" i="29"/>
  <c r="AC340" i="29"/>
  <c r="AC200" i="29"/>
  <c r="AC489" i="29"/>
  <c r="AC152" i="29"/>
  <c r="AC18" i="29"/>
  <c r="AC79" i="29"/>
  <c r="AC618" i="29"/>
  <c r="AC62" i="29"/>
  <c r="AC352" i="29"/>
  <c r="AC307" i="29"/>
  <c r="AC122" i="29"/>
  <c r="AC275" i="29"/>
  <c r="AC209" i="29"/>
  <c r="AC80" i="29"/>
  <c r="AC163" i="29"/>
  <c r="AC421" i="29"/>
  <c r="AC132" i="29"/>
  <c r="AC607" i="29"/>
  <c r="AC405" i="29"/>
  <c r="AC219" i="29"/>
  <c r="AC277" i="29"/>
  <c r="AC44" i="29"/>
  <c r="AC549" i="29"/>
  <c r="AC140" i="29"/>
  <c r="AC572" i="29"/>
  <c r="AC558" i="29"/>
  <c r="AC305" i="29"/>
  <c r="AC516" i="29"/>
  <c r="AC283" i="29"/>
  <c r="AC208" i="29"/>
  <c r="AC433" i="29"/>
  <c r="AC440" i="29"/>
  <c r="AC269" i="29"/>
  <c r="AC560" i="29"/>
  <c r="AC273" i="29"/>
  <c r="AC247" i="29"/>
  <c r="AC562" i="29"/>
  <c r="AC561" i="29"/>
  <c r="AC493" i="29"/>
  <c r="AC253" i="29"/>
  <c r="AC168" i="29"/>
  <c r="AC323" i="29"/>
  <c r="AC356" i="29"/>
  <c r="AC461" i="29"/>
  <c r="AC33" i="29"/>
  <c r="AC178" i="29"/>
  <c r="AC458" i="29"/>
  <c r="AC281" i="29"/>
  <c r="AC49" i="29"/>
  <c r="AC575" i="29"/>
  <c r="AC337" i="29"/>
  <c r="AC361" i="29"/>
  <c r="AC288" i="29"/>
  <c r="AC601" i="29"/>
  <c r="AC534" i="29"/>
  <c r="AC203" i="29"/>
  <c r="AC107" i="29"/>
  <c r="AC374" i="29"/>
  <c r="AC535" i="29"/>
  <c r="AC212" i="29"/>
  <c r="AC466" i="29"/>
  <c r="AC425" i="29"/>
  <c r="AC309" i="29"/>
  <c r="AC68" i="29"/>
  <c r="AC478" i="29"/>
  <c r="AC251" i="29"/>
  <c r="AC457" i="29"/>
  <c r="AC69" i="29"/>
  <c r="AC568" i="29"/>
  <c r="AC78" i="29"/>
  <c r="AC545" i="29"/>
  <c r="AC231" i="29"/>
  <c r="AC282" i="29"/>
  <c r="AC566" i="29"/>
  <c r="AC136" i="29"/>
  <c r="AC393" i="29"/>
  <c r="AC43" i="29"/>
  <c r="AC180" i="29"/>
  <c r="AC358" i="29"/>
  <c r="AC51" i="29"/>
  <c r="AC258" i="29"/>
  <c r="AC48" i="29"/>
  <c r="AC395" i="29"/>
  <c r="AC528" i="29"/>
  <c r="AC552" i="29"/>
  <c r="AC223" i="29"/>
  <c r="AC551" i="29"/>
  <c r="AC372" i="29"/>
  <c r="AC237" i="29"/>
  <c r="AC23" i="29"/>
  <c r="AC141" i="29"/>
  <c r="AC65" i="29"/>
  <c r="AC593" i="29"/>
  <c r="AC444" i="29"/>
  <c r="AC151" i="29"/>
  <c r="AC584" i="29"/>
  <c r="AC266" i="29"/>
  <c r="AC38" i="29"/>
  <c r="AC184" i="29"/>
  <c r="AC131" i="29"/>
  <c r="AC336" i="29"/>
  <c r="AC621" i="29"/>
  <c r="AC376" i="29"/>
  <c r="AC20" i="29"/>
  <c r="AC481" i="29"/>
  <c r="AC190" i="29"/>
  <c r="AC377" i="29"/>
  <c r="AC26" i="29"/>
  <c r="AC556" i="29"/>
  <c r="AC46" i="29"/>
  <c r="AC90" i="29"/>
  <c r="AC205" i="29"/>
  <c r="AC153" i="29"/>
  <c r="AC207" i="29"/>
  <c r="AC335" i="29"/>
  <c r="AC482" i="29"/>
  <c r="AC346" i="29"/>
  <c r="AC590" i="29"/>
  <c r="AC502" i="29"/>
  <c r="AC220" i="29"/>
  <c r="AC417" i="29"/>
  <c r="AC608" i="29"/>
  <c r="AC174" i="29"/>
  <c r="AC429" i="29"/>
  <c r="AC167" i="29"/>
  <c r="AC455" i="29"/>
  <c r="AC116" i="29"/>
  <c r="AC183" i="29"/>
  <c r="AC350" i="29"/>
  <c r="AC591" i="29"/>
  <c r="AC485" i="29"/>
  <c r="AC446" i="29"/>
  <c r="AC321" i="29"/>
  <c r="AC41" i="29"/>
  <c r="AC486" i="29"/>
  <c r="AC597" i="29"/>
  <c r="AC400" i="29"/>
  <c r="AC475" i="29"/>
  <c r="AC316" i="29"/>
  <c r="AC625" i="29"/>
  <c r="AC588" i="29"/>
  <c r="AC543" i="29"/>
  <c r="AC511" i="29"/>
  <c r="AC199" i="29"/>
  <c r="AC108" i="29"/>
  <c r="AC242" i="29"/>
  <c r="AC322" i="29"/>
  <c r="AC228" i="29"/>
  <c r="AC547" i="29"/>
  <c r="AC450" i="29"/>
  <c r="AD9" i="29"/>
  <c r="AC12" i="29"/>
  <c r="AC14" i="29"/>
  <c r="AC13" i="29"/>
  <c r="AC15" i="29"/>
  <c r="AC491" i="29"/>
  <c r="AC422" i="29"/>
  <c r="AC380" i="29"/>
  <c r="AC317" i="29"/>
  <c r="AC150" i="29"/>
  <c r="AC73" i="29"/>
  <c r="AC479" i="29"/>
  <c r="AC104" i="29"/>
  <c r="AC553" i="29"/>
  <c r="AC464" i="29"/>
  <c r="AC367" i="29"/>
  <c r="AC365" i="29"/>
  <c r="AC87" i="29"/>
  <c r="AC366" i="29"/>
  <c r="AC86" i="29"/>
  <c r="AC296" i="29"/>
  <c r="AC460" i="29"/>
  <c r="AC111" i="29"/>
  <c r="AC456" i="29"/>
  <c r="AC353" i="29"/>
  <c r="AC333" i="29"/>
  <c r="AC134" i="29"/>
  <c r="AC530" i="29"/>
  <c r="AC196" i="29"/>
  <c r="AC586" i="29"/>
  <c r="AC77" i="29"/>
  <c r="AC280" i="29"/>
  <c r="AC93" i="29"/>
  <c r="AC144" i="29"/>
  <c r="AC448" i="29"/>
  <c r="AC368" i="29"/>
  <c r="AC326" i="29"/>
  <c r="AC210" i="29"/>
  <c r="AC64" i="29"/>
  <c r="AC123" i="29"/>
  <c r="AC342" i="29"/>
  <c r="AC293" i="29"/>
  <c r="AC354" i="29"/>
  <c r="AC83" i="29"/>
  <c r="AC235" i="29"/>
  <c r="AC126" i="29"/>
  <c r="AC191" i="29"/>
  <c r="AC438" i="29"/>
  <c r="AC453" i="29"/>
  <c r="AC154" i="29"/>
  <c r="AC407" i="29"/>
  <c r="AC286" i="29"/>
  <c r="AC81" i="29"/>
  <c r="AC187" i="29"/>
  <c r="AC52" i="29"/>
  <c r="AC431" i="29"/>
  <c r="AC494" i="29"/>
  <c r="AC600" i="29"/>
  <c r="AC576" i="29"/>
  <c r="AC244" i="29"/>
  <c r="AC173" i="29"/>
  <c r="AC604" i="29"/>
  <c r="AC245" i="29"/>
  <c r="AC347" i="29"/>
  <c r="AC620" i="29"/>
  <c r="AC27" i="29"/>
  <c r="AC509" i="29"/>
  <c r="AC300" i="29"/>
  <c r="AC567" i="29"/>
  <c r="AC443" i="29"/>
  <c r="AC192" i="29"/>
  <c r="AC233" i="29"/>
  <c r="AC542" i="29"/>
  <c r="AC583" i="29"/>
  <c r="AC298" i="29"/>
  <c r="AC508" i="29"/>
  <c r="AC106" i="29"/>
  <c r="AC602" i="29"/>
  <c r="AC105" i="29"/>
  <c r="AC550" i="29"/>
  <c r="AC471" i="29"/>
  <c r="AC427" i="29"/>
  <c r="AC256" i="29"/>
  <c r="AC115" i="29"/>
  <c r="AC463" i="29"/>
  <c r="AC302" i="29"/>
  <c r="AC312" i="29"/>
  <c r="AC420" i="29"/>
  <c r="AC574" i="29"/>
  <c r="AC585" i="29"/>
  <c r="AC165" i="29"/>
  <c r="AC409" i="29"/>
  <c r="AC474" i="29"/>
  <c r="AC265" i="29"/>
  <c r="AC94" i="29"/>
  <c r="AC133" i="29"/>
  <c r="AC341" i="29"/>
  <c r="AC384" i="29"/>
  <c r="AC229" i="29"/>
  <c r="AC60" i="29"/>
  <c r="AC181" i="29"/>
  <c r="AC54" i="29"/>
  <c r="AC437" i="29"/>
  <c r="AC397" i="29"/>
  <c r="AC339" i="29"/>
  <c r="N4" i="30"/>
  <c r="W7" i="29"/>
  <c r="J7" i="30" s="1"/>
  <c r="J56" i="30" s="1"/>
  <c r="T4" i="30"/>
  <c r="AB7" i="29"/>
  <c r="O7" i="30" s="1"/>
  <c r="O13" i="30" s="1"/>
  <c r="L17" i="30"/>
  <c r="L60" i="30"/>
  <c r="L52" i="30"/>
  <c r="L11" i="30"/>
  <c r="L56" i="30"/>
  <c r="L62" i="30"/>
  <c r="L66" i="30"/>
  <c r="L4" i="30"/>
  <c r="L21" i="30"/>
  <c r="L58" i="30"/>
  <c r="T15" i="30"/>
  <c r="T62" i="30"/>
  <c r="T64" i="30"/>
  <c r="T52" i="30"/>
  <c r="T56" i="30"/>
  <c r="L64" i="30"/>
  <c r="L13" i="30"/>
  <c r="L19" i="30"/>
  <c r="L15" i="30"/>
  <c r="N19" i="30"/>
  <c r="N52" i="30"/>
  <c r="N60" i="30"/>
  <c r="N11" i="30"/>
  <c r="N17" i="30"/>
  <c r="N66" i="30"/>
  <c r="N15" i="30"/>
  <c r="N21" i="30"/>
  <c r="N62" i="30"/>
  <c r="N13" i="30"/>
  <c r="N58" i="30"/>
  <c r="N64" i="30"/>
  <c r="E19" i="30"/>
  <c r="E17" i="30"/>
  <c r="E15" i="30"/>
  <c r="E62" i="30"/>
  <c r="E66" i="30"/>
  <c r="E56" i="30"/>
  <c r="E13" i="30"/>
  <c r="E58" i="30"/>
  <c r="E52" i="30"/>
  <c r="E74" i="30" s="1"/>
  <c r="E29" i="30"/>
  <c r="E11" i="30"/>
  <c r="E21" i="30"/>
  <c r="E60" i="30"/>
  <c r="E64" i="30"/>
  <c r="E4" i="30"/>
  <c r="T66" i="30"/>
  <c r="T19" i="30"/>
  <c r="T11" i="30"/>
  <c r="T17" i="30"/>
  <c r="T21" i="30"/>
  <c r="T60" i="30"/>
  <c r="T58" i="30"/>
  <c r="U7" i="29"/>
  <c r="H7" i="30" s="1"/>
  <c r="H62" i="30" s="1"/>
  <c r="H4" i="30"/>
  <c r="V7" i="29"/>
  <c r="I7" i="30" s="1"/>
  <c r="I11" i="30" s="1"/>
  <c r="I4" i="30"/>
  <c r="X7" i="29"/>
  <c r="K7" i="30" s="1"/>
  <c r="K60" i="30" s="1"/>
  <c r="K4" i="30"/>
  <c r="Z7" i="29"/>
  <c r="M7" i="30" s="1"/>
  <c r="M66" i="30" s="1"/>
  <c r="M4" i="30"/>
  <c r="T7" i="29"/>
  <c r="G7" i="30" s="1"/>
  <c r="G58" i="30" s="1"/>
  <c r="G4" i="30"/>
  <c r="S7" i="29"/>
  <c r="F7" i="30" s="1"/>
  <c r="F11" i="30" s="1"/>
  <c r="F4" i="30"/>
  <c r="Q7" i="29"/>
  <c r="D7" i="30" s="1"/>
  <c r="AC4" i="29" l="1"/>
  <c r="P5" i="30" s="1"/>
  <c r="AC3" i="29"/>
  <c r="AD10" i="29"/>
  <c r="AD99" i="29" s="1"/>
  <c r="AD421" i="29"/>
  <c r="AD220" i="29"/>
  <c r="AD237" i="29"/>
  <c r="AD260" i="29"/>
  <c r="AD153" i="29"/>
  <c r="AD263" i="29"/>
  <c r="AD362" i="29"/>
  <c r="AD244" i="29"/>
  <c r="AD379" i="29"/>
  <c r="AD485" i="29"/>
  <c r="AD168" i="29"/>
  <c r="AD470" i="29"/>
  <c r="AD515" i="29"/>
  <c r="AD343" i="29"/>
  <c r="AD540" i="29"/>
  <c r="AD502" i="29"/>
  <c r="AD13" i="29"/>
  <c r="AD195" i="29"/>
  <c r="AD423" i="29"/>
  <c r="AD317" i="29"/>
  <c r="AD19" i="29"/>
  <c r="AD373" i="29"/>
  <c r="AD454" i="29"/>
  <c r="AD535" i="29"/>
  <c r="AD191" i="29"/>
  <c r="AD241" i="29"/>
  <c r="AD433" i="29"/>
  <c r="AD364" i="29"/>
  <c r="AD262" i="29"/>
  <c r="AD120" i="29"/>
  <c r="AD96" i="29"/>
  <c r="AD441" i="29"/>
  <c r="AD214" i="29"/>
  <c r="AD100" i="29"/>
  <c r="AD64" i="29"/>
  <c r="AD156" i="29"/>
  <c r="AD199" i="29"/>
  <c r="AD316" i="29"/>
  <c r="AD154" i="29"/>
  <c r="AD189" i="29"/>
  <c r="AD157" i="29"/>
  <c r="AD372" i="29"/>
  <c r="AD210" i="29"/>
  <c r="AD302" i="29"/>
  <c r="AD132" i="29"/>
  <c r="AD135" i="29"/>
  <c r="AD296" i="29"/>
  <c r="AD460" i="29"/>
  <c r="AD307" i="29"/>
  <c r="AD319" i="29"/>
  <c r="AD555" i="29"/>
  <c r="AD331" i="29"/>
  <c r="AD593" i="29"/>
  <c r="AD387" i="29"/>
  <c r="AD12" i="29"/>
  <c r="AD462" i="29"/>
  <c r="AD406" i="29"/>
  <c r="AD438" i="29"/>
  <c r="AD122" i="29"/>
  <c r="AD138" i="29"/>
  <c r="AD78" i="29"/>
  <c r="AD140" i="29"/>
  <c r="AD230" i="29"/>
  <c r="AD119" i="29"/>
  <c r="AD57" i="29"/>
  <c r="AD510" i="29"/>
  <c r="AD563" i="29"/>
  <c r="AD240" i="29"/>
  <c r="AD338" i="29"/>
  <c r="AD537" i="29"/>
  <c r="AD245" i="29"/>
  <c r="AD275" i="29"/>
  <c r="AD534" i="29"/>
  <c r="AD169" i="29"/>
  <c r="AD513" i="29"/>
  <c r="AD411" i="29"/>
  <c r="AD252" i="29"/>
  <c r="AD580" i="29"/>
  <c r="AD192" i="29"/>
  <c r="AD103" i="29"/>
  <c r="AD148" i="29"/>
  <c r="AD418" i="29"/>
  <c r="AD123" i="29"/>
  <c r="AD59" i="29"/>
  <c r="AD45" i="29"/>
  <c r="AD473" i="29"/>
  <c r="AD564" i="29"/>
  <c r="AD451" i="29"/>
  <c r="AD211" i="29"/>
  <c r="AD68" i="29"/>
  <c r="AD197" i="29"/>
  <c r="AD425" i="29"/>
  <c r="AD578" i="29"/>
  <c r="AD625" i="29"/>
  <c r="AD89" i="29"/>
  <c r="AD190" i="29"/>
  <c r="AD203" i="29"/>
  <c r="AD346" i="29"/>
  <c r="AD80" i="29"/>
  <c r="AD309" i="29"/>
  <c r="AD624" i="29"/>
  <c r="AD480" i="29"/>
  <c r="AD509" i="29"/>
  <c r="AD597" i="29"/>
  <c r="AD46" i="29"/>
  <c r="AD330" i="29"/>
  <c r="AD561" i="29"/>
  <c r="AD407" i="29"/>
  <c r="AD584" i="29"/>
  <c r="AD453" i="29"/>
  <c r="AD489" i="29"/>
  <c r="AD503" i="29"/>
  <c r="AD434" i="29"/>
  <c r="AD129" i="29"/>
  <c r="AD271" i="29"/>
  <c r="AD83" i="29"/>
  <c r="AD36" i="29"/>
  <c r="AD143" i="29"/>
  <c r="AD287" i="29"/>
  <c r="AD443" i="29"/>
  <c r="AD261" i="29"/>
  <c r="AD595" i="29"/>
  <c r="AD94" i="29"/>
  <c r="AD308" i="29"/>
  <c r="AD303" i="29"/>
  <c r="AD243" i="29"/>
  <c r="AD333" i="29"/>
  <c r="AD576" i="29"/>
  <c r="AD73" i="29"/>
  <c r="AD180" i="29"/>
  <c r="AD21" i="29"/>
  <c r="AD339" i="29"/>
  <c r="AD110" i="29"/>
  <c r="AD34" i="29"/>
  <c r="AD201" i="29"/>
  <c r="AD139" i="29"/>
  <c r="AD392" i="29"/>
  <c r="AD15" i="29"/>
  <c r="AD569" i="29"/>
  <c r="AD295" i="29"/>
  <c r="AD301" i="29"/>
  <c r="AD251" i="29"/>
  <c r="AD550" i="29"/>
  <c r="AD289" i="29"/>
  <c r="AD492" i="29"/>
  <c r="AD101" i="29"/>
  <c r="AD554" i="29"/>
  <c r="AD512" i="29"/>
  <c r="AD127" i="29"/>
  <c r="AD170" i="29"/>
  <c r="AD315" i="29"/>
  <c r="AD272" i="29"/>
  <c r="AD326" i="29"/>
  <c r="AD288" i="29"/>
  <c r="AD176" i="29"/>
  <c r="AD618" i="29"/>
  <c r="AD358" i="29"/>
  <c r="AD457" i="29"/>
  <c r="AD23" i="29"/>
  <c r="AD524" i="29"/>
  <c r="AD226" i="29"/>
  <c r="AD229" i="29"/>
  <c r="AD17" i="29"/>
  <c r="AD282" i="29"/>
  <c r="AD381" i="29"/>
  <c r="AD125" i="29"/>
  <c r="AD404" i="29"/>
  <c r="AD612" i="29"/>
  <c r="AD442" i="29"/>
  <c r="AD383" i="29"/>
  <c r="AD424" i="29"/>
  <c r="AD501" i="29"/>
  <c r="AD285" i="29"/>
  <c r="AD341" i="29"/>
  <c r="AD172" i="29"/>
  <c r="AD538" i="29"/>
  <c r="AD318" i="29"/>
  <c r="AD22" i="29"/>
  <c r="AD235" i="29"/>
  <c r="AD49" i="29"/>
  <c r="AD495" i="29"/>
  <c r="AD277" i="29"/>
  <c r="AD166" i="29"/>
  <c r="AD242" i="29"/>
  <c r="AD452" i="29"/>
  <c r="AD227" i="29"/>
  <c r="AD378" i="29"/>
  <c r="AD209" i="29"/>
  <c r="AD532" i="29"/>
  <c r="AD179" i="29"/>
  <c r="AD430" i="29"/>
  <c r="AD546" i="29"/>
  <c r="AD217" i="29"/>
  <c r="AD280" i="29"/>
  <c r="AD293" i="29"/>
  <c r="AD472" i="29"/>
  <c r="AD173" i="29"/>
  <c r="AD184" i="29"/>
  <c r="AD543" i="29"/>
  <c r="AD18" i="29"/>
  <c r="AD232" i="29"/>
  <c r="AD221" i="29"/>
  <c r="AD607" i="29"/>
  <c r="AD574" i="29"/>
  <c r="AD428" i="29"/>
  <c r="AD352" i="29"/>
  <c r="AD599" i="29"/>
  <c r="AD257" i="29"/>
  <c r="AD396" i="29"/>
  <c r="AD447" i="29"/>
  <c r="AD468" i="29"/>
  <c r="AD164" i="29"/>
  <c r="AD38" i="29"/>
  <c r="AD61" i="29"/>
  <c r="AD616" i="29"/>
  <c r="AD32" i="29"/>
  <c r="AD216" i="29"/>
  <c r="AD594" i="29"/>
  <c r="AD200" i="29"/>
  <c r="AD87" i="29"/>
  <c r="AD112" i="29"/>
  <c r="AD340" i="29"/>
  <c r="AD581" i="29"/>
  <c r="AD611" i="29"/>
  <c r="AD579" i="29"/>
  <c r="AD520" i="29"/>
  <c r="AD128" i="29"/>
  <c r="AD545" i="29"/>
  <c r="AD336" i="29"/>
  <c r="AD297" i="29"/>
  <c r="AD104" i="29"/>
  <c r="AD196" i="29"/>
  <c r="AD474" i="29"/>
  <c r="AD202" i="29"/>
  <c r="AD185" i="29"/>
  <c r="AD514" i="29"/>
  <c r="AD539" i="29"/>
  <c r="AD106" i="29"/>
  <c r="AD299" i="29"/>
  <c r="AD84" i="29"/>
  <c r="AD350" i="29"/>
  <c r="AD105" i="29"/>
  <c r="AD560" i="29"/>
  <c r="AD357" i="29"/>
  <c r="AD377" i="29"/>
  <c r="AD478" i="29"/>
  <c r="AD294" i="29"/>
  <c r="AD337" i="29"/>
  <c r="AD370" i="29"/>
  <c r="AD52" i="29"/>
  <c r="AD236" i="29"/>
  <c r="AD16" i="29"/>
  <c r="AD506" i="29"/>
  <c r="AD431" i="29"/>
  <c r="AD558" i="29"/>
  <c r="AD469" i="29"/>
  <c r="AD570" i="29"/>
  <c r="AD71" i="29"/>
  <c r="AD608" i="29"/>
  <c r="AD114" i="29"/>
  <c r="AD274" i="29"/>
  <c r="AD206" i="29"/>
  <c r="AD475" i="29"/>
  <c r="AD161" i="29"/>
  <c r="AD278" i="29"/>
  <c r="AD181" i="29"/>
  <c r="AD300" i="29"/>
  <c r="AD582" i="29"/>
  <c r="AD386" i="29"/>
  <c r="AD439" i="29"/>
  <c r="AD238" i="29"/>
  <c r="AD43" i="29"/>
  <c r="AD426" i="29"/>
  <c r="AD603" i="29"/>
  <c r="AD76" i="29"/>
  <c r="AD572" i="29"/>
  <c r="AD329" i="29"/>
  <c r="AD484" i="29"/>
  <c r="AD617" i="29"/>
  <c r="AD455" i="29"/>
  <c r="AD215" i="29"/>
  <c r="AD568" i="29"/>
  <c r="AD327" i="29"/>
  <c r="AD483" i="29"/>
  <c r="AD349" i="29"/>
  <c r="AD40" i="29"/>
  <c r="AD270" i="29"/>
  <c r="AD130" i="29"/>
  <c r="AD102" i="29"/>
  <c r="AD496" i="29"/>
  <c r="AD188" i="29"/>
  <c r="AD445" i="29"/>
  <c r="AD44" i="29"/>
  <c r="AD354" i="29"/>
  <c r="AD619" i="29"/>
  <c r="AD286" i="29"/>
  <c r="AD450" i="29"/>
  <c r="AD63" i="29"/>
  <c r="AD147" i="29"/>
  <c r="AD494" i="29"/>
  <c r="AD193" i="29"/>
  <c r="AD207" i="29"/>
  <c r="AD389" i="29"/>
  <c r="AD562" i="29"/>
  <c r="AD353" i="29"/>
  <c r="AD479" i="29"/>
  <c r="AD58" i="29"/>
  <c r="AD228" i="29"/>
  <c r="AD526" i="29"/>
  <c r="AD456" i="29"/>
  <c r="AD224" i="29"/>
  <c r="AD615" i="29"/>
  <c r="AD136" i="29"/>
  <c r="AD33" i="29"/>
  <c r="AD253" i="29"/>
  <c r="AD586" i="29"/>
  <c r="AD162" i="29"/>
  <c r="AD497" i="29"/>
  <c r="AD463" i="29"/>
  <c r="AD113" i="29"/>
  <c r="AD50" i="29"/>
  <c r="AD81" i="29"/>
  <c r="AD536" i="29"/>
  <c r="AD573" i="29"/>
  <c r="AD310" i="29"/>
  <c r="AD409" i="29"/>
  <c r="AD82" i="29"/>
  <c r="AD91" i="29"/>
  <c r="AD374" i="29"/>
  <c r="AD175" i="29"/>
  <c r="AD366" i="29"/>
  <c r="AD600" i="29"/>
  <c r="AD163" i="29"/>
  <c r="AD42" i="29"/>
  <c r="AD222" i="29"/>
  <c r="AD446" i="29"/>
  <c r="AD482" i="29"/>
  <c r="AD367" i="29"/>
  <c r="AD395" i="29"/>
  <c r="AD155" i="29"/>
  <c r="AD498" i="29"/>
  <c r="AD41" i="29"/>
  <c r="AD234" i="29"/>
  <c r="AD403" i="29"/>
  <c r="AD587" i="29"/>
  <c r="AD178" i="29"/>
  <c r="AD400" i="29"/>
  <c r="AD531" i="29"/>
  <c r="AD258" i="29"/>
  <c r="AD397" i="29"/>
  <c r="AD402" i="29"/>
  <c r="AD604" i="29"/>
  <c r="AD72" i="29"/>
  <c r="AD614" i="29"/>
  <c r="AD133" i="29"/>
  <c r="AD290" i="29"/>
  <c r="AD399" i="29"/>
  <c r="AD622" i="29"/>
  <c r="AD414" i="29"/>
  <c r="AD39" i="29"/>
  <c r="AD588" i="29"/>
  <c r="AD54" i="29"/>
  <c r="AD405" i="29"/>
  <c r="AD523" i="29"/>
  <c r="AD522" i="29"/>
  <c r="AD356" i="29"/>
  <c r="AD69" i="29"/>
  <c r="AD291" i="29"/>
  <c r="AD613" i="29"/>
  <c r="AD152" i="29"/>
  <c r="AD412" i="29"/>
  <c r="AD85" i="29"/>
  <c r="AD416" i="29"/>
  <c r="AD464" i="29"/>
  <c r="AD328" i="29"/>
  <c r="AD342" i="29"/>
  <c r="AD75" i="29"/>
  <c r="AD247" i="29"/>
  <c r="AD528" i="29"/>
  <c r="AD150" i="29"/>
  <c r="AD541" i="29"/>
  <c r="AD137" i="29"/>
  <c r="AD566" i="29"/>
  <c r="AD65" i="29"/>
  <c r="AD198" i="29"/>
  <c r="AD620" i="29"/>
  <c r="AD29" i="29"/>
  <c r="AD312" i="29"/>
  <c r="AD167" i="29"/>
  <c r="AD436" i="29"/>
  <c r="AD332" i="29"/>
  <c r="AD134" i="29"/>
  <c r="AD325" i="29"/>
  <c r="AD565" i="29"/>
  <c r="AD388" i="29"/>
  <c r="AD347" i="29"/>
  <c r="AD413" i="29"/>
  <c r="AD35" i="29"/>
  <c r="AD547" i="29"/>
  <c r="AD304" i="29"/>
  <c r="AD518" i="29"/>
  <c r="AD415" i="29"/>
  <c r="AD529" i="29"/>
  <c r="AD458" i="29"/>
  <c r="AD204" i="29"/>
  <c r="AD493" i="29"/>
  <c r="AD225" i="29"/>
  <c r="AD365" i="29"/>
  <c r="AD98" i="29"/>
  <c r="AD504" i="29"/>
  <c r="AD186" i="29"/>
  <c r="AD48" i="29"/>
  <c r="AD159" i="29"/>
  <c r="AD516" i="29"/>
  <c r="AD142" i="29"/>
  <c r="AD371" i="29"/>
  <c r="AD499" i="29"/>
  <c r="AD590" i="29"/>
  <c r="AD376" i="29"/>
  <c r="AD141" i="29"/>
  <c r="AD146" i="29"/>
  <c r="AD256" i="29"/>
  <c r="AD183" i="29"/>
  <c r="AD419" i="29"/>
  <c r="AD601" i="29"/>
  <c r="AD205" i="29"/>
  <c r="AD344" i="29"/>
  <c r="AD505" i="29"/>
  <c r="AD298" i="29"/>
  <c r="AD126" i="29"/>
  <c r="AD517" i="29"/>
  <c r="AD437" i="29"/>
  <c r="AD549" i="29"/>
  <c r="AD313" i="29"/>
  <c r="AD118" i="29"/>
  <c r="AD109" i="29"/>
  <c r="AD491" i="29"/>
  <c r="AD548" i="29"/>
  <c r="AD70" i="29"/>
  <c r="AD345" i="29"/>
  <c r="AD107" i="29"/>
  <c r="AD432" i="29"/>
  <c r="AD420" i="29"/>
  <c r="AD233" i="29"/>
  <c r="AD557" i="29"/>
  <c r="AD589" i="29"/>
  <c r="AD88" i="29"/>
  <c r="AD292" i="29"/>
  <c r="AD37" i="29"/>
  <c r="AD95" i="29"/>
  <c r="AD592" i="29"/>
  <c r="AD149" i="29"/>
  <c r="AD311" i="29"/>
  <c r="AD264" i="29"/>
  <c r="AD602" i="29"/>
  <c r="AD348" i="29"/>
  <c r="AD165" i="29"/>
  <c r="AD527" i="29"/>
  <c r="AD605" i="29"/>
  <c r="AD213" i="29"/>
  <c r="AD507" i="29"/>
  <c r="AD267" i="29"/>
  <c r="AD323" i="29"/>
  <c r="AD51" i="29"/>
  <c r="AD519" i="29"/>
  <c r="AC5" i="29"/>
  <c r="J58" i="30"/>
  <c r="J52" i="30"/>
  <c r="J74" i="30" s="1"/>
  <c r="J66" i="30"/>
  <c r="J19" i="30"/>
  <c r="J15" i="30"/>
  <c r="J11" i="30"/>
  <c r="J29" i="30"/>
  <c r="J60" i="30"/>
  <c r="J13" i="30"/>
  <c r="J62" i="30"/>
  <c r="J17" i="30"/>
  <c r="J21" i="30"/>
  <c r="J64" i="30"/>
  <c r="O62" i="30"/>
  <c r="O64" i="30"/>
  <c r="O52" i="30"/>
  <c r="O17" i="30"/>
  <c r="O11" i="30"/>
  <c r="O56" i="30"/>
  <c r="O19" i="30"/>
  <c r="O15" i="30"/>
  <c r="O60" i="30"/>
  <c r="O66" i="30"/>
  <c r="O21" i="30"/>
  <c r="O58" i="30"/>
  <c r="P26" i="30"/>
  <c r="P28" i="30" s="1"/>
  <c r="K19" i="30"/>
  <c r="I56" i="30"/>
  <c r="I29" i="30"/>
  <c r="K17" i="30"/>
  <c r="K15" i="30"/>
  <c r="K66" i="30"/>
  <c r="F17" i="30"/>
  <c r="F56" i="30"/>
  <c r="H13" i="30"/>
  <c r="H52" i="30"/>
  <c r="H74" i="30" s="1"/>
  <c r="K56" i="30"/>
  <c r="K21" i="30"/>
  <c r="K13" i="30"/>
  <c r="M13" i="30"/>
  <c r="H56" i="30"/>
  <c r="M21" i="30"/>
  <c r="H19" i="30"/>
  <c r="H66" i="30"/>
  <c r="H60" i="30"/>
  <c r="F62" i="30"/>
  <c r="I21" i="30"/>
  <c r="F13" i="30"/>
  <c r="F60" i="30"/>
  <c r="I64" i="30"/>
  <c r="I62" i="30"/>
  <c r="F29" i="30"/>
  <c r="I17" i="30"/>
  <c r="F64" i="30"/>
  <c r="I15" i="30"/>
  <c r="F21" i="30"/>
  <c r="I52" i="30"/>
  <c r="I74" i="30" s="1"/>
  <c r="H21" i="30"/>
  <c r="F66" i="30"/>
  <c r="I13" i="30"/>
  <c r="H58" i="30"/>
  <c r="H29" i="30"/>
  <c r="F58" i="30"/>
  <c r="H64" i="30"/>
  <c r="F19" i="30"/>
  <c r="I58" i="30"/>
  <c r="H11" i="30"/>
  <c r="H15" i="30"/>
  <c r="F15" i="30"/>
  <c r="I66" i="30"/>
  <c r="I19" i="30"/>
  <c r="I60" i="30"/>
  <c r="H17" i="30"/>
  <c r="F52" i="30"/>
  <c r="F74" i="30" s="1"/>
  <c r="G15" i="30"/>
  <c r="G56" i="30"/>
  <c r="G52" i="30"/>
  <c r="G74" i="30" s="1"/>
  <c r="M60" i="30"/>
  <c r="M56" i="30"/>
  <c r="M19" i="30"/>
  <c r="G60" i="30"/>
  <c r="G11" i="30"/>
  <c r="G66" i="30"/>
  <c r="G64" i="30"/>
  <c r="K62" i="30"/>
  <c r="G62" i="30"/>
  <c r="M52" i="30"/>
  <c r="M17" i="30"/>
  <c r="G21" i="30"/>
  <c r="M15" i="30"/>
  <c r="G13" i="30"/>
  <c r="G19" i="30"/>
  <c r="M64" i="30"/>
  <c r="K58" i="30"/>
  <c r="G29" i="30"/>
  <c r="K52" i="30"/>
  <c r="M58" i="30"/>
  <c r="K64" i="30"/>
  <c r="G17" i="30"/>
  <c r="M11" i="30"/>
  <c r="K11" i="30"/>
  <c r="M62" i="30"/>
  <c r="D56" i="30"/>
  <c r="D64" i="30"/>
  <c r="D13" i="30"/>
  <c r="D11" i="30"/>
  <c r="D19" i="30"/>
  <c r="D21" i="30"/>
  <c r="D17" i="30"/>
  <c r="D58" i="30"/>
  <c r="D60" i="30"/>
  <c r="D52" i="30"/>
  <c r="D74" i="30" s="1"/>
  <c r="D66" i="30"/>
  <c r="D15" i="30"/>
  <c r="D62" i="30"/>
  <c r="D29" i="30"/>
  <c r="AD606" i="29" l="1"/>
  <c r="AD410" i="29"/>
  <c r="AD623" i="29"/>
  <c r="AD544" i="29"/>
  <c r="AD448" i="29"/>
  <c r="AD248" i="29"/>
  <c r="AD47" i="29"/>
  <c r="AD86" i="29"/>
  <c r="AD465" i="29"/>
  <c r="AD488" i="29"/>
  <c r="AD144" i="29"/>
  <c r="AD525" i="29"/>
  <c r="AD259" i="29"/>
  <c r="AD459" i="29"/>
  <c r="AD629" i="29"/>
  <c r="AD249" i="29"/>
  <c r="AD268" i="29"/>
  <c r="AD382" i="29"/>
  <c r="AD90" i="29"/>
  <c r="AD14" i="29"/>
  <c r="AD598" i="29"/>
  <c r="AD571" i="29"/>
  <c r="AD273" i="29"/>
  <c r="AD567" i="29"/>
  <c r="AD368" i="29"/>
  <c r="AD575" i="29"/>
  <c r="AD269" i="29"/>
  <c r="AD408" i="29"/>
  <c r="AD427" i="29"/>
  <c r="AD577" i="29"/>
  <c r="AD476" i="29"/>
  <c r="AD627" i="29"/>
  <c r="AD552" i="29"/>
  <c r="AD30" i="29"/>
  <c r="AD385" i="29"/>
  <c r="AD79" i="29"/>
  <c r="AD56" i="29"/>
  <c r="AD97" i="29"/>
  <c r="AD187" i="29"/>
  <c r="AD74" i="29"/>
  <c r="AD55" i="29"/>
  <c r="AD360" i="29"/>
  <c r="AD355" i="29"/>
  <c r="AD521" i="29"/>
  <c r="AD335" i="29"/>
  <c r="AD324" i="29"/>
  <c r="AD62" i="29"/>
  <c r="AD610" i="29"/>
  <c r="AD556" i="29"/>
  <c r="AD363" i="29"/>
  <c r="AD461" i="29"/>
  <c r="AD108" i="29"/>
  <c r="AD306" i="29"/>
  <c r="AD542" i="29"/>
  <c r="AD250" i="29"/>
  <c r="AD111" i="29"/>
  <c r="AD160" i="29"/>
  <c r="AD630" i="29"/>
  <c r="AD314" i="29"/>
  <c r="AD284" i="29"/>
  <c r="AD124" i="29"/>
  <c r="AD246" i="29"/>
  <c r="AD115" i="29"/>
  <c r="AD380" i="29"/>
  <c r="AD369" i="29"/>
  <c r="AD265" i="29"/>
  <c r="AD174" i="29"/>
  <c r="AD131" i="29"/>
  <c r="AD375" i="29"/>
  <c r="AD384" i="29"/>
  <c r="AD490" i="29"/>
  <c r="AD583" i="29"/>
  <c r="AD585" i="29"/>
  <c r="AD621" i="29"/>
  <c r="AD77" i="29"/>
  <c r="AD66" i="29"/>
  <c r="AD283" i="29"/>
  <c r="AD322" i="29"/>
  <c r="AD467" i="29"/>
  <c r="AD281" i="29"/>
  <c r="AD321" i="29"/>
  <c r="AD218" i="29"/>
  <c r="AD628" i="29"/>
  <c r="AD20" i="29"/>
  <c r="AD508" i="29"/>
  <c r="AD208" i="29"/>
  <c r="AD471" i="29"/>
  <c r="AD477" i="29"/>
  <c r="AD417" i="29"/>
  <c r="AD320" i="29"/>
  <c r="AD533" i="29"/>
  <c r="AD67" i="29"/>
  <c r="AD266" i="29"/>
  <c r="AD444" i="29"/>
  <c r="AD398" i="29"/>
  <c r="AD158" i="29"/>
  <c r="AD121" i="29"/>
  <c r="AD500" i="29"/>
  <c r="AD391" i="29"/>
  <c r="AD305" i="29"/>
  <c r="AD239" i="29"/>
  <c r="AD255" i="29"/>
  <c r="AD279" i="29"/>
  <c r="AD92" i="29"/>
  <c r="AD276" i="29"/>
  <c r="AD194" i="29"/>
  <c r="AD219" i="29"/>
  <c r="AD116" i="29"/>
  <c r="AD53" i="29"/>
  <c r="AD626" i="29"/>
  <c r="AD26" i="29"/>
  <c r="AD390" i="29"/>
  <c r="AD559" i="29"/>
  <c r="AD486" i="29"/>
  <c r="AD440" i="29"/>
  <c r="AD466" i="29"/>
  <c r="AC7" i="29"/>
  <c r="P7" i="30" s="1"/>
  <c r="P62" i="30" s="1"/>
  <c r="P4" i="30"/>
  <c r="AD429" i="29"/>
  <c r="AD393" i="29"/>
  <c r="AD60" i="29"/>
  <c r="AD401" i="29"/>
  <c r="AD361" i="29"/>
  <c r="AD551" i="29"/>
  <c r="AD25" i="29"/>
  <c r="AD171" i="29"/>
  <c r="AD609" i="29"/>
  <c r="AD31" i="29"/>
  <c r="AD334" i="29"/>
  <c r="AD117" i="29"/>
  <c r="AD177" i="29"/>
  <c r="AD591" i="29"/>
  <c r="AD487" i="29"/>
  <c r="AD28" i="29"/>
  <c r="AD24" i="29"/>
  <c r="AD3" i="29" s="1"/>
  <c r="AD231" i="29"/>
  <c r="AD449" i="29"/>
  <c r="AE9" i="29"/>
  <c r="AD394" i="29"/>
  <c r="AD254" i="29"/>
  <c r="AD27" i="29"/>
  <c r="AD223" i="29"/>
  <c r="AD553" i="29"/>
  <c r="AD435" i="29"/>
  <c r="AD182" i="29"/>
  <c r="AD359" i="29"/>
  <c r="AD212" i="29"/>
  <c r="AD93" i="29"/>
  <c r="AD511" i="29"/>
  <c r="AD530" i="29"/>
  <c r="AD481" i="29"/>
  <c r="AD145" i="29"/>
  <c r="AD422" i="29"/>
  <c r="AD596" i="29"/>
  <c r="AD5" i="29" s="1"/>
  <c r="AD151" i="29"/>
  <c r="AD4" i="29" s="1"/>
  <c r="Q5" i="30" s="1"/>
  <c r="AD351" i="29"/>
  <c r="J31" i="30"/>
  <c r="F38" i="30" s="1"/>
  <c r="J76" i="30"/>
  <c r="F83" i="30" s="1"/>
  <c r="P64" i="30" l="1"/>
  <c r="P58" i="30"/>
  <c r="P21" i="30"/>
  <c r="P66" i="30"/>
  <c r="P56" i="30"/>
  <c r="P15" i="30"/>
  <c r="P60" i="30"/>
  <c r="P19" i="30"/>
  <c r="P13" i="30"/>
  <c r="P52" i="30"/>
  <c r="P11" i="30"/>
  <c r="P17" i="30"/>
  <c r="AD7" i="29"/>
  <c r="Q7" i="30" s="1"/>
  <c r="Q4" i="30"/>
  <c r="AE10" i="29"/>
  <c r="AE249" i="29" s="1"/>
  <c r="AE171" i="29" l="1"/>
  <c r="AE548" i="29"/>
  <c r="AE538" i="29"/>
  <c r="AE630" i="29"/>
  <c r="AE626" i="29"/>
  <c r="AE627" i="29"/>
  <c r="AE628" i="29"/>
  <c r="AE421" i="29"/>
  <c r="AE426" i="29"/>
  <c r="AE629" i="29"/>
  <c r="AE251" i="29"/>
  <c r="AE177" i="29"/>
  <c r="AE464" i="29"/>
  <c r="AE467" i="29"/>
  <c r="AE92" i="29"/>
  <c r="AE495" i="29"/>
  <c r="AE313" i="29"/>
  <c r="AE399" i="29"/>
  <c r="AE62" i="29"/>
  <c r="AE529" i="29"/>
  <c r="AE515" i="29"/>
  <c r="AE131" i="29"/>
  <c r="AE48" i="29"/>
  <c r="AE504" i="29"/>
  <c r="AE370" i="29"/>
  <c r="AE459" i="29"/>
  <c r="AE558" i="29"/>
  <c r="AE369" i="29"/>
  <c r="AE162" i="29"/>
  <c r="AE432" i="29"/>
  <c r="AE503" i="29"/>
  <c r="AE51" i="29"/>
  <c r="AE179" i="29"/>
  <c r="AE308" i="29"/>
  <c r="AE178" i="29"/>
  <c r="AE425" i="29"/>
  <c r="AE607" i="29"/>
  <c r="AE299" i="29"/>
  <c r="AE359" i="29"/>
  <c r="AE466" i="29"/>
  <c r="AE283" i="29"/>
  <c r="AE314" i="29"/>
  <c r="AE332" i="29"/>
  <c r="AE422" i="29"/>
  <c r="AE585" i="29"/>
  <c r="AE73" i="29"/>
  <c r="AE551" i="29"/>
  <c r="AE97" i="29"/>
  <c r="AE343" i="29"/>
  <c r="AE535" i="29"/>
  <c r="AE38" i="29"/>
  <c r="AE586" i="29"/>
  <c r="AE28" i="29"/>
  <c r="AE559" i="29"/>
  <c r="AE323" i="29"/>
  <c r="AE615" i="29"/>
  <c r="AE231" i="29"/>
  <c r="AE180" i="29"/>
  <c r="AE173" i="29"/>
  <c r="AE238" i="29"/>
  <c r="AE469" i="29"/>
  <c r="AE117" i="29"/>
  <c r="AE246" i="29"/>
  <c r="AE333" i="29"/>
  <c r="AE616" i="29"/>
  <c r="AE72" i="29"/>
  <c r="AE568" i="29"/>
  <c r="AE59" i="29"/>
  <c r="AE279" i="29"/>
  <c r="AE25" i="29"/>
  <c r="AE363" i="29"/>
  <c r="AE312" i="29"/>
  <c r="AE498" i="29"/>
  <c r="AE366" i="29"/>
  <c r="AE430" i="29"/>
  <c r="AE235" i="29"/>
  <c r="AE458" i="29"/>
  <c r="AE71" i="29"/>
  <c r="AE441" i="29"/>
  <c r="AE391" i="29"/>
  <c r="AE63" i="29"/>
  <c r="AE174" i="29"/>
  <c r="AE269" i="29"/>
  <c r="AE45" i="29"/>
  <c r="AE226" i="29"/>
  <c r="AE429" i="29"/>
  <c r="AE88" i="29"/>
  <c r="AE182" i="29"/>
  <c r="AE150" i="29"/>
  <c r="AE138" i="29"/>
  <c r="AE124" i="29"/>
  <c r="AE13" i="29"/>
  <c r="AE83" i="29"/>
  <c r="AE500" i="29"/>
  <c r="AE449" i="29"/>
  <c r="AE37" i="29"/>
  <c r="AE200" i="29"/>
  <c r="AE350" i="29"/>
  <c r="AE352" i="29"/>
  <c r="AE355" i="29"/>
  <c r="AE582" i="29"/>
  <c r="AE288" i="29"/>
  <c r="AE519" i="29"/>
  <c r="AE239" i="29"/>
  <c r="AE301" i="29"/>
  <c r="AE285" i="29"/>
  <c r="AE211" i="29"/>
  <c r="AE104" i="29"/>
  <c r="AE358" i="29"/>
  <c r="AE306" i="29"/>
  <c r="AE290" i="29"/>
  <c r="AE330" i="29"/>
  <c r="AE395" i="29"/>
  <c r="AE553" i="29"/>
  <c r="AE298" i="29"/>
  <c r="AE619" i="29"/>
  <c r="AE470" i="29"/>
  <c r="AE418" i="29"/>
  <c r="AE262" i="29"/>
  <c r="AE545" i="29"/>
  <c r="AE611" i="29"/>
  <c r="AE427" i="29"/>
  <c r="AE556" i="29"/>
  <c r="AE400" i="29"/>
  <c r="AE317" i="29"/>
  <c r="AE414" i="29"/>
  <c r="AE12" i="29"/>
  <c r="AE555" i="29"/>
  <c r="AE531" i="29"/>
  <c r="AE595" i="29"/>
  <c r="AE142" i="29"/>
  <c r="AE525" i="29"/>
  <c r="AE453" i="29"/>
  <c r="AE275" i="29"/>
  <c r="AE242" i="29"/>
  <c r="AE129" i="29"/>
  <c r="AE277" i="29"/>
  <c r="AE205" i="29"/>
  <c r="AE320" i="29"/>
  <c r="AE479" i="29"/>
  <c r="AE311" i="29"/>
  <c r="AE136" i="29"/>
  <c r="AE387" i="29"/>
  <c r="AE501" i="29"/>
  <c r="AE486" i="29"/>
  <c r="AE272" i="29"/>
  <c r="AE134" i="29"/>
  <c r="AE560" i="29"/>
  <c r="AE234" i="29"/>
  <c r="AE19" i="29"/>
  <c r="AE190" i="29"/>
  <c r="AE408" i="29"/>
  <c r="AE455" i="29"/>
  <c r="AE216" i="29"/>
  <c r="AE125" i="29"/>
  <c r="AE356" i="29"/>
  <c r="AE264" i="29"/>
  <c r="AE47" i="29"/>
  <c r="AE492" i="29"/>
  <c r="AE451" i="29"/>
  <c r="AE64" i="29"/>
  <c r="AE123" i="29"/>
  <c r="AE40" i="29"/>
  <c r="AE98" i="29"/>
  <c r="AE82" i="29"/>
  <c r="AE187" i="29"/>
  <c r="AE513" i="29"/>
  <c r="AE295" i="29"/>
  <c r="AE581" i="29"/>
  <c r="AE564" i="29"/>
  <c r="AE597" i="29"/>
  <c r="AE522" i="29"/>
  <c r="AE482" i="29"/>
  <c r="AE236" i="29"/>
  <c r="AE26" i="29"/>
  <c r="AE157" i="29"/>
  <c r="AE404" i="29"/>
  <c r="AE21" i="29"/>
  <c r="AE439" i="29"/>
  <c r="AE263" i="29"/>
  <c r="AE592" i="29"/>
  <c r="AE160" i="29"/>
  <c r="AE159" i="29"/>
  <c r="AE494" i="29"/>
  <c r="AE193" i="29"/>
  <c r="AE188" i="29"/>
  <c r="AE201" i="29"/>
  <c r="AE220" i="29"/>
  <c r="AE318" i="29"/>
  <c r="AE618" i="29"/>
  <c r="AE393" i="29"/>
  <c r="AE573" i="29"/>
  <c r="AE362" i="29"/>
  <c r="AE259" i="29"/>
  <c r="AE416" i="29"/>
  <c r="AE420" i="29"/>
  <c r="AE304" i="29"/>
  <c r="AE496" i="29"/>
  <c r="AE55" i="29"/>
  <c r="AE336" i="29"/>
  <c r="AE431" i="29"/>
  <c r="AE623" i="29"/>
  <c r="AE382" i="29"/>
  <c r="AE476" i="29"/>
  <c r="AE434" i="29"/>
  <c r="AE491" i="29"/>
  <c r="AE137" i="29"/>
  <c r="AE248" i="29"/>
  <c r="AE335" i="29"/>
  <c r="AE357" i="29"/>
  <c r="AE112" i="29"/>
  <c r="AE209" i="29"/>
  <c r="AE386" i="29"/>
  <c r="AE56" i="29"/>
  <c r="AE324" i="29"/>
  <c r="AE563" i="29"/>
  <c r="AE217" i="29"/>
  <c r="AE584" i="29"/>
  <c r="AE280" i="29"/>
  <c r="AE337" i="29"/>
  <c r="AE603" i="29"/>
  <c r="AE505" i="29"/>
  <c r="AE344" i="29"/>
  <c r="AE146" i="29"/>
  <c r="AE380" i="29"/>
  <c r="AE163" i="29"/>
  <c r="AE237" i="29"/>
  <c r="AE512" i="29"/>
  <c r="AE446" i="29"/>
  <c r="AE329" i="29"/>
  <c r="AE569" i="29"/>
  <c r="AE15" i="29"/>
  <c r="AE232" i="29"/>
  <c r="AE253" i="29"/>
  <c r="AE265" i="29"/>
  <c r="AE58" i="29"/>
  <c r="AE215" i="29"/>
  <c r="AE601" i="29"/>
  <c r="AE221" i="29"/>
  <c r="AE268" i="29"/>
  <c r="AE377" i="29"/>
  <c r="AE338" i="29"/>
  <c r="AE29" i="29"/>
  <c r="AE57" i="29"/>
  <c r="AE191" i="29"/>
  <c r="AE118" i="29"/>
  <c r="AE196" i="29"/>
  <c r="AE183" i="29"/>
  <c r="AE409" i="29"/>
  <c r="AE339" i="29"/>
  <c r="AE613" i="29"/>
  <c r="AE364" i="29"/>
  <c r="AE310" i="29"/>
  <c r="AE167" i="29"/>
  <c r="AE154" i="29"/>
  <c r="AE574" i="29"/>
  <c r="AE30" i="29"/>
  <c r="AE537" i="29"/>
  <c r="AE549" i="29"/>
  <c r="AE589" i="29"/>
  <c r="AE328" i="29"/>
  <c r="AE267" i="29"/>
  <c r="AE546" i="29"/>
  <c r="AE392" i="29"/>
  <c r="AE307" i="29"/>
  <c r="AE141" i="29"/>
  <c r="AE91" i="29"/>
  <c r="AE473" i="29"/>
  <c r="AE465" i="29"/>
  <c r="AE139" i="29"/>
  <c r="AE78" i="29"/>
  <c r="AE16" i="29"/>
  <c r="AE166" i="29"/>
  <c r="AE185" i="29"/>
  <c r="AE222" i="29"/>
  <c r="AE281" i="29"/>
  <c r="AE609" i="29"/>
  <c r="AE35" i="29"/>
  <c r="AE94" i="29"/>
  <c r="AE296" i="29"/>
  <c r="AE454" i="29"/>
  <c r="AE133" i="29"/>
  <c r="AE345" i="29"/>
  <c r="AE116" i="29"/>
  <c r="AE606" i="29"/>
  <c r="AE471" i="29"/>
  <c r="AE605" i="29"/>
  <c r="AE245" i="29"/>
  <c r="AE224" i="29"/>
  <c r="AE287" i="29"/>
  <c r="AE617" i="29"/>
  <c r="AE510" i="29"/>
  <c r="AE383" i="29"/>
  <c r="AE271" i="29"/>
  <c r="AE532" i="29"/>
  <c r="AE604" i="29"/>
  <c r="AE143" i="29"/>
  <c r="AE385" i="29"/>
  <c r="AE488" i="29"/>
  <c r="AE99" i="29"/>
  <c r="AE244" i="29"/>
  <c r="AE135" i="29"/>
  <c r="AE346" i="29"/>
  <c r="AE351" i="29"/>
  <c r="AE381" i="29"/>
  <c r="AE342" i="29"/>
  <c r="AE294" i="29"/>
  <c r="AE223" i="29"/>
  <c r="AE587" i="29"/>
  <c r="AE442" i="29"/>
  <c r="AE115" i="29"/>
  <c r="AE610" i="29"/>
  <c r="AE596" i="29"/>
  <c r="AE354" i="29"/>
  <c r="AE203" i="29"/>
  <c r="AE528" i="29"/>
  <c r="AE388" i="29"/>
  <c r="AE292" i="29"/>
  <c r="AE130" i="29"/>
  <c r="AE436" i="29"/>
  <c r="AE622" i="29"/>
  <c r="AE401" i="29"/>
  <c r="AE410" i="29"/>
  <c r="AE490" i="29"/>
  <c r="AE147" i="29"/>
  <c r="AE534" i="29"/>
  <c r="AE102" i="29"/>
  <c r="AE282" i="29"/>
  <c r="AE602" i="29"/>
  <c r="AE230" i="29"/>
  <c r="AE24" i="29"/>
  <c r="AE326" i="29"/>
  <c r="AE46" i="29"/>
  <c r="AE462" i="29"/>
  <c r="AE202" i="29"/>
  <c r="AE219" i="29"/>
  <c r="AE199" i="29"/>
  <c r="AE517" i="29"/>
  <c r="AE480" i="29"/>
  <c r="AE77" i="29"/>
  <c r="AE207" i="29"/>
  <c r="AE557" i="29"/>
  <c r="AE43" i="29"/>
  <c r="AE105" i="29"/>
  <c r="AE241" i="29"/>
  <c r="AE374" i="29"/>
  <c r="AE101" i="29"/>
  <c r="AE570" i="29"/>
  <c r="AE452" i="29"/>
  <c r="AE591" i="29"/>
  <c r="AE456" i="29"/>
  <c r="AE42" i="29"/>
  <c r="AE158" i="29"/>
  <c r="AE621" i="29"/>
  <c r="AE305" i="29"/>
  <c r="AE227" i="29"/>
  <c r="AE624" i="29"/>
  <c r="AE487" i="29"/>
  <c r="AE164" i="29"/>
  <c r="AE33" i="29"/>
  <c r="AE419" i="29"/>
  <c r="AE192" i="29"/>
  <c r="AE527" i="29"/>
  <c r="AE620" i="29"/>
  <c r="AE32" i="29"/>
  <c r="AE493" i="29"/>
  <c r="AE161" i="29"/>
  <c r="AE322" i="29"/>
  <c r="AE376" i="29"/>
  <c r="AE90" i="29"/>
  <c r="AE334" i="29"/>
  <c r="AE67" i="29"/>
  <c r="AE365" i="29"/>
  <c r="AE128" i="29"/>
  <c r="AE341" i="29"/>
  <c r="AE284" i="29"/>
  <c r="AE371" i="29"/>
  <c r="AE405" i="29"/>
  <c r="AE270" i="29"/>
  <c r="AE206" i="29"/>
  <c r="AE508" i="29"/>
  <c r="AE433" i="29"/>
  <c r="AE315" i="29"/>
  <c r="AE79" i="29"/>
  <c r="AE325" i="29"/>
  <c r="AE625" i="29"/>
  <c r="AE53" i="29"/>
  <c r="AE445" i="29"/>
  <c r="AE273" i="29"/>
  <c r="AE214" i="29"/>
  <c r="AE368" i="29"/>
  <c r="AE69" i="29"/>
  <c r="AE86" i="29"/>
  <c r="AE319" i="29"/>
  <c r="AE156" i="29"/>
  <c r="AE327" i="29"/>
  <c r="AE506" i="29"/>
  <c r="AE428" i="29"/>
  <c r="AE593" i="29"/>
  <c r="AE121" i="29"/>
  <c r="AE415" i="29"/>
  <c r="AE411" i="29"/>
  <c r="AE229" i="29"/>
  <c r="AE52" i="29"/>
  <c r="AE398" i="29"/>
  <c r="AE521" i="29"/>
  <c r="AE176" i="29"/>
  <c r="AE27" i="29"/>
  <c r="AE68" i="29"/>
  <c r="AE233" i="29"/>
  <c r="AE424" i="29"/>
  <c r="AE39" i="29"/>
  <c r="AE583" i="29"/>
  <c r="AE524" i="29"/>
  <c r="AE435" i="29"/>
  <c r="AE122" i="29"/>
  <c r="AE276" i="29"/>
  <c r="AE18" i="29"/>
  <c r="AE250" i="29"/>
  <c r="AE567" i="29"/>
  <c r="AE347" i="29"/>
  <c r="AE126" i="29"/>
  <c r="AE243" i="29"/>
  <c r="AE523" i="29"/>
  <c r="AE536" i="29"/>
  <c r="AE89" i="29"/>
  <c r="AE60" i="29"/>
  <c r="AE145" i="29"/>
  <c r="AE168" i="29"/>
  <c r="AE114" i="29"/>
  <c r="AE198" i="29"/>
  <c r="AE514" i="29"/>
  <c r="AE258" i="29"/>
  <c r="AE107" i="29"/>
  <c r="AE95" i="29"/>
  <c r="AE300" i="29"/>
  <c r="AE144" i="29"/>
  <c r="AE54" i="29"/>
  <c r="AE423" i="29"/>
  <c r="AE450" i="29"/>
  <c r="AE474" i="29"/>
  <c r="AE539" i="29"/>
  <c r="AE576" i="29"/>
  <c r="AE406" i="29"/>
  <c r="AE213" i="29"/>
  <c r="AE41" i="29"/>
  <c r="AE516" i="29"/>
  <c r="AE113" i="29"/>
  <c r="AE321" i="29"/>
  <c r="AE384" i="29"/>
  <c r="AE562" i="29"/>
  <c r="AE110" i="29"/>
  <c r="AE533" i="29"/>
  <c r="AE378" i="29"/>
  <c r="AE554" i="29"/>
  <c r="AE390" i="29"/>
  <c r="AE348" i="29"/>
  <c r="AE266" i="29"/>
  <c r="AE485" i="29"/>
  <c r="AE170" i="29"/>
  <c r="AE228" i="29"/>
  <c r="AE74" i="29"/>
  <c r="AE600" i="29"/>
  <c r="AE22" i="29"/>
  <c r="AE194" i="29"/>
  <c r="AE484" i="29"/>
  <c r="AE31" i="29"/>
  <c r="AE614" i="29"/>
  <c r="AE195" i="29"/>
  <c r="AE375" i="29"/>
  <c r="AE483" i="29"/>
  <c r="AE444" i="29"/>
  <c r="AE540" i="29"/>
  <c r="AE23" i="29"/>
  <c r="AE291" i="29"/>
  <c r="AE108" i="29"/>
  <c r="AE565" i="29"/>
  <c r="AE499" i="29"/>
  <c r="AE612" i="29"/>
  <c r="AE218" i="29"/>
  <c r="AE461" i="29"/>
  <c r="AE165" i="29"/>
  <c r="AE599" i="29"/>
  <c r="AE412" i="29"/>
  <c r="AE120" i="29"/>
  <c r="AE257" i="29"/>
  <c r="AF9" i="29"/>
  <c r="AE225" i="29"/>
  <c r="AE103" i="29"/>
  <c r="AE65" i="29"/>
  <c r="AE518" i="29"/>
  <c r="AE44" i="29"/>
  <c r="AE49" i="29"/>
  <c r="AE340" i="29"/>
  <c r="AE172" i="29"/>
  <c r="AE80" i="29"/>
  <c r="AE507" i="29"/>
  <c r="AE189" i="29"/>
  <c r="AE184" i="29"/>
  <c r="AE448" i="29"/>
  <c r="AE149" i="29"/>
  <c r="AE212" i="29"/>
  <c r="AE543" i="29"/>
  <c r="AE85" i="29"/>
  <c r="AE302" i="29"/>
  <c r="AE20" i="29"/>
  <c r="AE153" i="29"/>
  <c r="AE472" i="29"/>
  <c r="AE544" i="29"/>
  <c r="AE511" i="29"/>
  <c r="AE550" i="29"/>
  <c r="AE75" i="29"/>
  <c r="AE463" i="29"/>
  <c r="AE526" i="29"/>
  <c r="AE509" i="29"/>
  <c r="AE443" i="29"/>
  <c r="AE457" i="29"/>
  <c r="AE403" i="29"/>
  <c r="AE561" i="29"/>
  <c r="AE152" i="29"/>
  <c r="AE286" i="29"/>
  <c r="AE175" i="29"/>
  <c r="AE394" i="29"/>
  <c r="AE106" i="29"/>
  <c r="AE372" i="29"/>
  <c r="AE360" i="29"/>
  <c r="AE261" i="29"/>
  <c r="AE278" i="29"/>
  <c r="AE397" i="29"/>
  <c r="AE17" i="29"/>
  <c r="AE109" i="29"/>
  <c r="AE353" i="29"/>
  <c r="AE111" i="29"/>
  <c r="AE402" i="29"/>
  <c r="AE93" i="29"/>
  <c r="AE252" i="29"/>
  <c r="AE151" i="29"/>
  <c r="AE293" i="29"/>
  <c r="AE34" i="29"/>
  <c r="AE197" i="29"/>
  <c r="AE256" i="29"/>
  <c r="AE541" i="29"/>
  <c r="AE552" i="29"/>
  <c r="AE349" i="29"/>
  <c r="AE96" i="29"/>
  <c r="AE14" i="29"/>
  <c r="AE247" i="29"/>
  <c r="AE132" i="29"/>
  <c r="AE70" i="29"/>
  <c r="AE590" i="29"/>
  <c r="AE61" i="29"/>
  <c r="AE542" i="29"/>
  <c r="AE379" i="29"/>
  <c r="AE437" i="29"/>
  <c r="AE598" i="29"/>
  <c r="AE181" i="29"/>
  <c r="AE577" i="29"/>
  <c r="AE155" i="29"/>
  <c r="AE297" i="29"/>
  <c r="AE579" i="29"/>
  <c r="AE169" i="29"/>
  <c r="AE373" i="29"/>
  <c r="AE489" i="29"/>
  <c r="AE119" i="29"/>
  <c r="AE254" i="29"/>
  <c r="AE81" i="29"/>
  <c r="AE566" i="29"/>
  <c r="AE481" i="29"/>
  <c r="AE76" i="29"/>
  <c r="AE210" i="29"/>
  <c r="AE571" i="29"/>
  <c r="AE255" i="29"/>
  <c r="AE100" i="29"/>
  <c r="AE260" i="29"/>
  <c r="AE460" i="29"/>
  <c r="AE520" i="29"/>
  <c r="AE316" i="29"/>
  <c r="AE36" i="29"/>
  <c r="AE478" i="29"/>
  <c r="AE497" i="29"/>
  <c r="AE575" i="29"/>
  <c r="AE389" i="29"/>
  <c r="AE208" i="29"/>
  <c r="AE309" i="29"/>
  <c r="AE475" i="29"/>
  <c r="AE447" i="29"/>
  <c r="AE140" i="29"/>
  <c r="AE66" i="29"/>
  <c r="AE127" i="29"/>
  <c r="AE438" i="29"/>
  <c r="AE502" i="29"/>
  <c r="AE417" i="29"/>
  <c r="AE407" i="29"/>
  <c r="AE547" i="29"/>
  <c r="AE204" i="29"/>
  <c r="AE413" i="29"/>
  <c r="AE87" i="29"/>
  <c r="AE303" i="29"/>
  <c r="AE240" i="29"/>
  <c r="AE396" i="29"/>
  <c r="AE578" i="29"/>
  <c r="AE274" i="29"/>
  <c r="AE588" i="29"/>
  <c r="AE594" i="29"/>
  <c r="AE530" i="29"/>
  <c r="AE361" i="29"/>
  <c r="AE148" i="29"/>
  <c r="AE84" i="29"/>
  <c r="AE367" i="29"/>
  <c r="AE186" i="29"/>
  <c r="AE440" i="29"/>
  <c r="AE477" i="29"/>
  <c r="AE580" i="29"/>
  <c r="AE572" i="29"/>
  <c r="AE468" i="29"/>
  <c r="AE50" i="29"/>
  <c r="AE331" i="29"/>
  <c r="AE289" i="29"/>
  <c r="AE608" i="29"/>
  <c r="Q17" i="30"/>
  <c r="Q58" i="30"/>
  <c r="Q15" i="30"/>
  <c r="Q56" i="30"/>
  <c r="Q66" i="30"/>
  <c r="Q62" i="30"/>
  <c r="Q19" i="30"/>
  <c r="AK23" i="30"/>
  <c r="Q60" i="30"/>
  <c r="Q64" i="30"/>
  <c r="Q52" i="30"/>
  <c r="Q21" i="30"/>
  <c r="Q11" i="30"/>
  <c r="Q13" i="30"/>
  <c r="AE5" i="29" l="1"/>
  <c r="AE4" i="29"/>
  <c r="R5" i="30" s="1"/>
  <c r="AE3" i="29"/>
  <c r="AF10" i="29"/>
  <c r="AF596" i="29" s="1"/>
  <c r="O596" i="29" s="1"/>
  <c r="AF165" i="29"/>
  <c r="O165" i="29" s="1"/>
  <c r="AF51" i="29"/>
  <c r="O51" i="29" s="1"/>
  <c r="AF136" i="29"/>
  <c r="O136" i="29" s="1"/>
  <c r="AF554" i="29"/>
  <c r="O554" i="29" s="1"/>
  <c r="AF478" i="29"/>
  <c r="O478" i="29" s="1"/>
  <c r="AF531" i="29"/>
  <c r="O531" i="29" s="1"/>
  <c r="AF300" i="29"/>
  <c r="O300" i="29" s="1"/>
  <c r="AF23" i="29"/>
  <c r="O23" i="29" s="1"/>
  <c r="AF552" i="29"/>
  <c r="O552" i="29" s="1"/>
  <c r="AF414" i="29"/>
  <c r="O414" i="29" s="1"/>
  <c r="AF173" i="29"/>
  <c r="O173" i="29" s="1"/>
  <c r="AF336" i="29"/>
  <c r="O336" i="29" s="1"/>
  <c r="AF331" i="29"/>
  <c r="O331" i="29" s="1"/>
  <c r="AF45" i="29"/>
  <c r="O45" i="29" s="1"/>
  <c r="AF96" i="29"/>
  <c r="O96" i="29" s="1"/>
  <c r="AF130" i="29"/>
  <c r="O130" i="29" s="1"/>
  <c r="AF170" i="29"/>
  <c r="O170" i="29" s="1"/>
  <c r="AF429" i="29"/>
  <c r="O429" i="29" s="1"/>
  <c r="AF484" i="29"/>
  <c r="O484" i="29" s="1"/>
  <c r="AF240" i="29"/>
  <c r="O240" i="29" s="1"/>
  <c r="AF68" i="29"/>
  <c r="O68" i="29" s="1"/>
  <c r="AF277" i="29"/>
  <c r="O277" i="29" s="1"/>
  <c r="AF562" i="29"/>
  <c r="O562" i="29" s="1"/>
  <c r="AF119" i="29"/>
  <c r="O119" i="29" s="1"/>
  <c r="AF57" i="29"/>
  <c r="O57" i="29" s="1"/>
  <c r="AF529" i="29"/>
  <c r="O529" i="29" s="1"/>
  <c r="AF107" i="29"/>
  <c r="O107" i="29" s="1"/>
  <c r="AF624" i="29"/>
  <c r="O624" i="29" s="1"/>
  <c r="AF620" i="29"/>
  <c r="O620" i="29" s="1"/>
  <c r="AF335" i="29"/>
  <c r="O335" i="29" s="1"/>
  <c r="AF43" i="29"/>
  <c r="O43" i="29" s="1"/>
  <c r="AF53" i="29"/>
  <c r="O53" i="29" s="1"/>
  <c r="AF357" i="29"/>
  <c r="O357" i="29" s="1"/>
  <c r="AF543" i="29"/>
  <c r="O543" i="29" s="1"/>
  <c r="AF592" i="29"/>
  <c r="O592" i="29" s="1"/>
  <c r="AF483" i="29"/>
  <c r="O483" i="29" s="1"/>
  <c r="AF392" i="29"/>
  <c r="O392" i="29" s="1"/>
  <c r="AF251" i="29"/>
  <c r="O251" i="29" s="1"/>
  <c r="AF245" i="29"/>
  <c r="O245" i="29" s="1"/>
  <c r="AF309" i="29"/>
  <c r="O309" i="29" s="1"/>
  <c r="AF39" i="29"/>
  <c r="O39" i="29" s="1"/>
  <c r="AF599" i="29"/>
  <c r="O599" i="29" s="1"/>
  <c r="AF391" i="29"/>
  <c r="O391" i="29" s="1"/>
  <c r="AF504" i="29"/>
  <c r="O504" i="29" s="1"/>
  <c r="AF111" i="29"/>
  <c r="O111" i="29" s="1"/>
  <c r="AF555" i="29"/>
  <c r="O555" i="29" s="1"/>
  <c r="AF549" i="29"/>
  <c r="O549" i="29" s="1"/>
  <c r="AF188" i="29"/>
  <c r="O188" i="29" s="1"/>
  <c r="AF288" i="29"/>
  <c r="O288" i="29" s="1"/>
  <c r="AF93" i="29"/>
  <c r="O93" i="29" s="1"/>
  <c r="AF244" i="29"/>
  <c r="O244" i="29" s="1"/>
  <c r="AF160" i="29"/>
  <c r="O160" i="29" s="1"/>
  <c r="AF334" i="29"/>
  <c r="O334" i="29" s="1"/>
  <c r="AF461" i="29"/>
  <c r="O461" i="29" s="1"/>
  <c r="AF316" i="29"/>
  <c r="O316" i="29" s="1"/>
  <c r="AF344" i="29"/>
  <c r="O344" i="29" s="1"/>
  <c r="AF31" i="29"/>
  <c r="O31" i="29" s="1"/>
  <c r="AF66" i="29"/>
  <c r="O66" i="29" s="1"/>
  <c r="AF560" i="29"/>
  <c r="O560" i="29" s="1"/>
  <c r="AF359" i="29"/>
  <c r="O359" i="29" s="1"/>
  <c r="AF356" i="29"/>
  <c r="O356" i="29" s="1"/>
  <c r="AF342" i="29"/>
  <c r="O342" i="29" s="1"/>
  <c r="AF296" i="29"/>
  <c r="O296" i="29" s="1"/>
  <c r="AF398" i="29"/>
  <c r="O398" i="29" s="1"/>
  <c r="AF32" i="29"/>
  <c r="O32" i="29" s="1"/>
  <c r="AF535" i="29"/>
  <c r="O535" i="29" s="1"/>
  <c r="AF487" i="29"/>
  <c r="O487" i="29" s="1"/>
  <c r="AF94" i="29"/>
  <c r="O94" i="29" s="1"/>
  <c r="AF505" i="29"/>
  <c r="O505" i="29" s="1"/>
  <c r="AF606" i="29"/>
  <c r="O606" i="29" s="1"/>
  <c r="AF153" i="29"/>
  <c r="O153" i="29" s="1"/>
  <c r="AF463" i="29"/>
  <c r="O463" i="29" s="1"/>
  <c r="AF338" i="29"/>
  <c r="O338" i="29" s="1"/>
  <c r="AF65" i="29"/>
  <c r="O65" i="29" s="1"/>
  <c r="AF44" i="29"/>
  <c r="O44" i="29" s="1"/>
  <c r="AF175" i="29"/>
  <c r="O175" i="29" s="1"/>
  <c r="AF233" i="29"/>
  <c r="O233" i="29" s="1"/>
  <c r="AF354" i="29"/>
  <c r="O354" i="29" s="1"/>
  <c r="AF135" i="29"/>
  <c r="O135" i="29" s="1"/>
  <c r="AF376" i="29"/>
  <c r="O376" i="29" s="1"/>
  <c r="AF274" i="29"/>
  <c r="O274" i="29" s="1"/>
  <c r="AF349" i="29"/>
  <c r="O349" i="29" s="1"/>
  <c r="AF106" i="29"/>
  <c r="O106" i="29" s="1"/>
  <c r="AF591" i="29"/>
  <c r="O591" i="29" s="1"/>
  <c r="AF604" i="29"/>
  <c r="O604" i="29" s="1"/>
  <c r="AF58" i="29"/>
  <c r="O58" i="29" s="1"/>
  <c r="AF320" i="29"/>
  <c r="O320" i="29" s="1"/>
  <c r="AF280" i="29"/>
  <c r="O280" i="29" s="1"/>
  <c r="AF609" i="29"/>
  <c r="O609" i="29" s="1"/>
  <c r="AF21" i="29"/>
  <c r="O21" i="29" s="1"/>
  <c r="AF476" i="29"/>
  <c r="O476" i="29" s="1"/>
  <c r="AF157" i="29"/>
  <c r="O157" i="29" s="1"/>
  <c r="AF503" i="29"/>
  <c r="O503" i="29" s="1"/>
  <c r="AF273" i="29"/>
  <c r="O273" i="29" s="1"/>
  <c r="AF236" i="29"/>
  <c r="O236" i="29" s="1"/>
  <c r="AF302" i="29"/>
  <c r="O302" i="29" s="1"/>
  <c r="AF149" i="29"/>
  <c r="O149" i="29" s="1"/>
  <c r="AF163" i="29"/>
  <c r="O163" i="29" s="1"/>
  <c r="AF63" i="29"/>
  <c r="O63" i="29" s="1"/>
  <c r="AF449" i="29"/>
  <c r="O449" i="29" s="1"/>
  <c r="AF321" i="29"/>
  <c r="O321" i="29" s="1"/>
  <c r="AF182" i="29"/>
  <c r="O182" i="29" s="1"/>
  <c r="AF134" i="29"/>
  <c r="O134" i="29" s="1"/>
  <c r="AF410" i="29"/>
  <c r="O410" i="29" s="1"/>
  <c r="AF231" i="29"/>
  <c r="O231" i="29" s="1"/>
  <c r="AF84" i="29"/>
  <c r="O84" i="29" s="1"/>
  <c r="AF122" i="29"/>
  <c r="O122" i="29" s="1"/>
  <c r="AF566" i="29"/>
  <c r="O566" i="29" s="1"/>
  <c r="AF156" i="29"/>
  <c r="O156" i="29" s="1"/>
  <c r="AF400" i="29"/>
  <c r="O400" i="29" s="1"/>
  <c r="AF479" i="29"/>
  <c r="O479" i="29" s="1"/>
  <c r="AF437" i="29"/>
  <c r="O437" i="29" s="1"/>
  <c r="AF573" i="29"/>
  <c r="AF326" i="29"/>
  <c r="O326" i="29" s="1"/>
  <c r="AF378" i="29"/>
  <c r="O378" i="29" s="1"/>
  <c r="AF482" i="29"/>
  <c r="O482" i="29" s="1"/>
  <c r="AF525" i="29"/>
  <c r="O525" i="29" s="1"/>
  <c r="AF105" i="29"/>
  <c r="O105" i="29" s="1"/>
  <c r="AF284" i="29"/>
  <c r="O284" i="29" s="1"/>
  <c r="AF386" i="29"/>
  <c r="O386" i="29" s="1"/>
  <c r="AF148" i="29"/>
  <c r="O148" i="29" s="1"/>
  <c r="AF598" i="29"/>
  <c r="O598" i="29" s="1"/>
  <c r="AF293" i="29"/>
  <c r="O293" i="29" s="1"/>
  <c r="AF530" i="29"/>
  <c r="O530" i="29" s="1"/>
  <c r="AF408" i="29"/>
  <c r="O408" i="29" s="1"/>
  <c r="AF348" i="29"/>
  <c r="O348" i="29" s="1"/>
  <c r="AF443" i="29"/>
  <c r="O443" i="29" s="1"/>
  <c r="AF216" i="29"/>
  <c r="O216" i="29" s="1"/>
  <c r="AF234" i="29"/>
  <c r="O234" i="29" s="1"/>
  <c r="AF369" i="29"/>
  <c r="O369" i="29" s="1"/>
  <c r="AF558" i="29"/>
  <c r="O558" i="29" s="1"/>
  <c r="AF536" i="29"/>
  <c r="O536" i="29" s="1"/>
  <c r="AF480" i="29"/>
  <c r="O480" i="29" s="1"/>
  <c r="AF323" i="29"/>
  <c r="O323" i="29" s="1"/>
  <c r="AF101" i="29"/>
  <c r="AF48" i="29"/>
  <c r="O48" i="29" s="1"/>
  <c r="AF176" i="29"/>
  <c r="O176" i="29" s="1"/>
  <c r="AF492" i="29"/>
  <c r="O492" i="29" s="1"/>
  <c r="AF212" i="29"/>
  <c r="O212" i="29" s="1"/>
  <c r="AF502" i="29"/>
  <c r="O502" i="29" s="1"/>
  <c r="AF355" i="29"/>
  <c r="O355" i="29" s="1"/>
  <c r="AF16" i="29"/>
  <c r="O16" i="29" s="1"/>
  <c r="AF513" i="29"/>
  <c r="O513" i="29" s="1"/>
  <c r="AF608" i="29"/>
  <c r="O608" i="29" s="1"/>
  <c r="AF37" i="29"/>
  <c r="O37" i="29" s="1"/>
  <c r="AF456" i="29"/>
  <c r="O456" i="29" s="1"/>
  <c r="AF373" i="29"/>
  <c r="O373" i="29" s="1"/>
  <c r="AF381" i="29"/>
  <c r="O381" i="29" s="1"/>
  <c r="AF556" i="29"/>
  <c r="O556" i="29" s="1"/>
  <c r="AF196" i="29"/>
  <c r="O196" i="29" s="1"/>
  <c r="AF108" i="29"/>
  <c r="O108" i="29" s="1"/>
  <c r="AF235" i="29"/>
  <c r="O235" i="29" s="1"/>
  <c r="AF559" i="29"/>
  <c r="O559" i="29" s="1"/>
  <c r="AF255" i="29"/>
  <c r="O255" i="29" s="1"/>
  <c r="AF42" i="29"/>
  <c r="O42" i="29" s="1"/>
  <c r="AF54" i="29"/>
  <c r="O54" i="29" s="1"/>
  <c r="AF33" i="29"/>
  <c r="O33" i="29" s="1"/>
  <c r="AF269" i="29"/>
  <c r="O269" i="29" s="1"/>
  <c r="AF451" i="29"/>
  <c r="O451" i="29" s="1"/>
  <c r="AF86" i="29"/>
  <c r="O86" i="29" s="1"/>
  <c r="AF174" i="29"/>
  <c r="O174" i="29" s="1"/>
  <c r="AF545" i="29"/>
  <c r="O545" i="29" s="1"/>
  <c r="AF594" i="29"/>
  <c r="O594" i="29" s="1"/>
  <c r="AF328" i="29"/>
  <c r="O328" i="29" s="1"/>
  <c r="AF192" i="29"/>
  <c r="O192" i="29" s="1"/>
  <c r="AF275" i="29"/>
  <c r="O275" i="29" s="1"/>
  <c r="AF306" i="29"/>
  <c r="O306" i="29" s="1"/>
  <c r="AF613" i="29"/>
  <c r="O613" i="29" s="1"/>
  <c r="AF61" i="29"/>
  <c r="O61" i="29" s="1"/>
  <c r="AF578" i="29"/>
  <c r="O578" i="29" s="1"/>
  <c r="AF97" i="29"/>
  <c r="O97" i="29" s="1"/>
  <c r="AF450" i="29"/>
  <c r="O450" i="29" s="1"/>
  <c r="AF194" i="29"/>
  <c r="O194" i="29" s="1"/>
  <c r="AF497" i="29"/>
  <c r="O497" i="29" s="1"/>
  <c r="AF278" i="29"/>
  <c r="O278" i="29" s="1"/>
  <c r="AF539" i="29"/>
  <c r="O539" i="29" s="1"/>
  <c r="AF540" i="29"/>
  <c r="O540" i="29" s="1"/>
  <c r="AF155" i="29"/>
  <c r="O155" i="29" s="1"/>
  <c r="AF341" i="29"/>
  <c r="O341" i="29" s="1"/>
  <c r="AF123" i="29"/>
  <c r="O123" i="29" s="1"/>
  <c r="AF337" i="29"/>
  <c r="O337" i="29" s="1"/>
  <c r="AF74" i="29"/>
  <c r="O74" i="29" s="1"/>
  <c r="AF225" i="29"/>
  <c r="O225" i="29" s="1"/>
  <c r="AF125" i="29"/>
  <c r="O125" i="29" s="1"/>
  <c r="AF294" i="29"/>
  <c r="O294" i="29" s="1"/>
  <c r="AF416" i="29"/>
  <c r="O416" i="29" s="1"/>
  <c r="AF199" i="29"/>
  <c r="O199" i="29" s="1"/>
  <c r="AF574" i="29"/>
  <c r="O574" i="29" s="1"/>
  <c r="AF496" i="29"/>
  <c r="O496" i="29" s="1"/>
  <c r="AF168" i="29"/>
  <c r="O168" i="29" s="1"/>
  <c r="AF329" i="29"/>
  <c r="O329" i="29" s="1"/>
  <c r="AF455" i="29"/>
  <c r="O455" i="29" s="1"/>
  <c r="AF276" i="29"/>
  <c r="O276" i="29" s="1"/>
  <c r="AF518" i="29"/>
  <c r="O518" i="29" s="1"/>
  <c r="AF247" i="29"/>
  <c r="O247" i="29" s="1"/>
  <c r="AF617" i="29"/>
  <c r="O617" i="29" s="1"/>
  <c r="AF226" i="29"/>
  <c r="O226" i="29" s="1"/>
  <c r="AF121" i="29"/>
  <c r="O121" i="29" s="1"/>
  <c r="AF229" i="29"/>
  <c r="O229" i="29" s="1"/>
  <c r="AF268" i="29"/>
  <c r="O268" i="29" s="1"/>
  <c r="AF601" i="29"/>
  <c r="O601" i="29" s="1"/>
  <c r="AF364" i="29"/>
  <c r="O364" i="29" s="1"/>
  <c r="AF452" i="29"/>
  <c r="O452" i="29" s="1"/>
  <c r="AF582" i="29"/>
  <c r="O582" i="29" s="1"/>
  <c r="AF47" i="29"/>
  <c r="O47" i="29" s="1"/>
  <c r="AF159" i="29"/>
  <c r="O159" i="29" s="1"/>
  <c r="AF102" i="29"/>
  <c r="O102" i="29" s="1"/>
  <c r="AF186" i="29"/>
  <c r="O186" i="29" s="1"/>
  <c r="AF475" i="29"/>
  <c r="O475" i="29" s="1"/>
  <c r="AF41" i="29"/>
  <c r="O41" i="29" s="1"/>
  <c r="AF187" i="29"/>
  <c r="O187" i="29" s="1"/>
  <c r="AF472" i="29"/>
  <c r="O472" i="29" s="1"/>
  <c r="AF465" i="29"/>
  <c r="O465" i="29" s="1"/>
  <c r="AF389" i="29"/>
  <c r="O389" i="29" s="1"/>
  <c r="AF103" i="29"/>
  <c r="O103" i="29" s="1"/>
  <c r="AF113" i="29"/>
  <c r="O113" i="29" s="1"/>
  <c r="AF405" i="29"/>
  <c r="O405" i="29" s="1"/>
  <c r="AF611" i="29"/>
  <c r="O611" i="29" s="1"/>
  <c r="AF415" i="29"/>
  <c r="O415" i="29" s="1"/>
  <c r="AF426" i="29"/>
  <c r="O426" i="29" s="1"/>
  <c r="AF395" i="29"/>
  <c r="O395" i="29" s="1"/>
  <c r="AF76" i="29"/>
  <c r="O76" i="29" s="1"/>
  <c r="AF19" i="29"/>
  <c r="O19" i="29" s="1"/>
  <c r="AF177" i="29"/>
  <c r="O177" i="29" s="1"/>
  <c r="AF117" i="29"/>
  <c r="O117" i="29" s="1"/>
  <c r="AF551" i="29"/>
  <c r="O551" i="29" s="1"/>
  <c r="AF542" i="29"/>
  <c r="O542" i="29" s="1"/>
  <c r="AF362" i="29"/>
  <c r="O362" i="29" s="1"/>
  <c r="AF340" i="29"/>
  <c r="O340" i="29" s="1"/>
  <c r="AF442" i="29"/>
  <c r="O442" i="29" s="1"/>
  <c r="AF89" i="29"/>
  <c r="O89" i="29" s="1"/>
  <c r="AF82" i="29"/>
  <c r="O82" i="29" s="1"/>
  <c r="AF441" i="29"/>
  <c r="O441" i="29" s="1"/>
  <c r="AF164" i="29"/>
  <c r="O164" i="29" s="1"/>
  <c r="AF384" i="29"/>
  <c r="O384" i="29" s="1"/>
  <c r="AF425" i="29"/>
  <c r="O425" i="29" s="1"/>
  <c r="AF532" i="29"/>
  <c r="O532" i="29" s="1"/>
  <c r="AF69" i="29"/>
  <c r="O69" i="29" s="1"/>
  <c r="AF99" i="29"/>
  <c r="O99" i="29" s="1"/>
  <c r="AF401" i="29"/>
  <c r="O401" i="29" s="1"/>
  <c r="AF330" i="29"/>
  <c r="O330" i="29" s="1"/>
  <c r="AF580" i="29"/>
  <c r="O580" i="29" s="1"/>
  <c r="AF246" i="29"/>
  <c r="O246" i="29" s="1"/>
  <c r="AF563" i="29"/>
  <c r="O563" i="29" s="1"/>
  <c r="AF420" i="29"/>
  <c r="O420" i="29" s="1"/>
  <c r="AF520" i="29"/>
  <c r="O520" i="29" s="1"/>
  <c r="AF477" i="29"/>
  <c r="O477" i="29" s="1"/>
  <c r="AF301" i="29"/>
  <c r="O301" i="29" s="1"/>
  <c r="AF298" i="29"/>
  <c r="O298" i="29" s="1"/>
  <c r="AF412" i="29"/>
  <c r="O412" i="29" s="1"/>
  <c r="AF399" i="29"/>
  <c r="O399" i="29" s="1"/>
  <c r="AF267" i="29"/>
  <c r="O267" i="29" s="1"/>
  <c r="AF203" i="29"/>
  <c r="O203" i="29" s="1"/>
  <c r="AF404" i="29"/>
  <c r="O404" i="29" s="1"/>
  <c r="AF266" i="29"/>
  <c r="O266" i="29" s="1"/>
  <c r="AF567" i="29"/>
  <c r="O567" i="29" s="1"/>
  <c r="AF393" i="29"/>
  <c r="O393" i="29" s="1"/>
  <c r="AF586" i="29"/>
  <c r="O586" i="29" s="1"/>
  <c r="AF209" i="29"/>
  <c r="O209" i="29" s="1"/>
  <c r="AF46" i="29"/>
  <c r="O46" i="29" s="1"/>
  <c r="AF191" i="29"/>
  <c r="O191" i="29" s="1"/>
  <c r="AF208" i="29"/>
  <c r="O208" i="29" s="1"/>
  <c r="AF189" i="29"/>
  <c r="O189" i="29" s="1"/>
  <c r="AF242" i="29"/>
  <c r="O242" i="29" s="1"/>
  <c r="AF428" i="29"/>
  <c r="O428" i="29" s="1"/>
  <c r="AF202" i="29"/>
  <c r="O202" i="29" s="1"/>
  <c r="AF585" i="29"/>
  <c r="O585" i="29" s="1"/>
  <c r="AF13" i="29"/>
  <c r="O13" i="29" s="1"/>
  <c r="AF262" i="29"/>
  <c r="O262" i="29" s="1"/>
  <c r="AF489" i="29"/>
  <c r="O489" i="29" s="1"/>
  <c r="AF464" i="29"/>
  <c r="O464" i="29" s="1"/>
  <c r="AF59" i="29"/>
  <c r="O59" i="29" s="1"/>
  <c r="AF310" i="29"/>
  <c r="O310" i="29" s="1"/>
  <c r="AF605" i="29"/>
  <c r="O605" i="29" s="1"/>
  <c r="AF161" i="29"/>
  <c r="O161" i="29" s="1"/>
  <c r="AF166" i="29"/>
  <c r="O166" i="29" s="1"/>
  <c r="AF312" i="29"/>
  <c r="O312" i="29" s="1"/>
  <c r="AF183" i="29"/>
  <c r="O183" i="29" s="1"/>
  <c r="AF64" i="29"/>
  <c r="O64" i="29" s="1"/>
  <c r="AF491" i="29"/>
  <c r="O491" i="29" s="1"/>
  <c r="AF511" i="29"/>
  <c r="O511" i="29" s="1"/>
  <c r="AF388" i="29"/>
  <c r="O388" i="29" s="1"/>
  <c r="AF200" i="29"/>
  <c r="O200" i="29" s="1"/>
  <c r="AF20" i="29"/>
  <c r="O20" i="29" s="1"/>
  <c r="AF181" i="29"/>
  <c r="O181" i="29" s="1"/>
  <c r="AF418" i="29"/>
  <c r="O418" i="29" s="1"/>
  <c r="AF413" i="29"/>
  <c r="O413" i="29" s="1"/>
  <c r="AF507" i="29"/>
  <c r="O507" i="29" s="1"/>
  <c r="AF110" i="29"/>
  <c r="O110" i="29" s="1"/>
  <c r="AF207" i="29"/>
  <c r="O207" i="29" s="1"/>
  <c r="AF114" i="29"/>
  <c r="O114" i="29" s="1"/>
  <c r="AF387" i="29"/>
  <c r="O387" i="29" s="1"/>
  <c r="AF205" i="29"/>
  <c r="O205" i="29" s="1"/>
  <c r="AF577" i="29"/>
  <c r="O577" i="29" s="1"/>
  <c r="AF98" i="29"/>
  <c r="O98" i="29" s="1"/>
  <c r="AF438" i="29"/>
  <c r="O438" i="29" s="1"/>
  <c r="AF319" i="29"/>
  <c r="O319" i="29" s="1"/>
  <c r="AF283" i="29"/>
  <c r="O283" i="29" s="1"/>
  <c r="AF104" i="29"/>
  <c r="O104" i="29" s="1"/>
  <c r="AF228" i="29"/>
  <c r="O228" i="29" s="1"/>
  <c r="AF421" i="29"/>
  <c r="O421" i="29" s="1"/>
  <c r="AF315" i="29"/>
  <c r="O315" i="29" s="1"/>
  <c r="AF486" i="29"/>
  <c r="O486" i="29" s="1"/>
  <c r="AF466" i="29"/>
  <c r="O466" i="29" s="1"/>
  <c r="AF193" i="29"/>
  <c r="O193" i="29" s="1"/>
  <c r="AF147" i="29"/>
  <c r="O147" i="29" s="1"/>
  <c r="AF372" i="29"/>
  <c r="O372" i="29" s="1"/>
  <c r="AF140" i="29"/>
  <c r="O140" i="29" s="1"/>
  <c r="AF352" i="29"/>
  <c r="O352" i="29" s="1"/>
  <c r="AF220" i="29"/>
  <c r="O220" i="29" s="1"/>
  <c r="AF550" i="29"/>
  <c r="O550" i="29" s="1"/>
  <c r="AF118" i="29"/>
  <c r="O118" i="29" s="1"/>
  <c r="AF14" i="29"/>
  <c r="O14" i="29" s="1"/>
  <c r="AF230" i="29"/>
  <c r="O230" i="29" s="1"/>
  <c r="AF515" i="29"/>
  <c r="O515" i="29" s="1"/>
  <c r="AF358" i="29"/>
  <c r="O358" i="29" s="1"/>
  <c r="AF625" i="29"/>
  <c r="O625" i="29" s="1"/>
  <c r="AF371" i="29"/>
  <c r="O371" i="29" s="1"/>
  <c r="AF495" i="29"/>
  <c r="O495" i="29" s="1"/>
  <c r="AF402" i="29"/>
  <c r="O402" i="29" s="1"/>
  <c r="AF553" i="29"/>
  <c r="O553" i="29" s="1"/>
  <c r="AF158" i="29"/>
  <c r="O158" i="29" s="1"/>
  <c r="AF610" i="29"/>
  <c r="O610" i="29" s="1"/>
  <c r="AF204" i="29"/>
  <c r="O204" i="29" s="1"/>
  <c r="AF150" i="29"/>
  <c r="O150" i="29" s="1"/>
  <c r="AF217" i="29"/>
  <c r="O217" i="29" s="1"/>
  <c r="AF24" i="29"/>
  <c r="O24" i="29" s="1"/>
  <c r="AF127" i="29"/>
  <c r="O127" i="29" s="1"/>
  <c r="AF185" i="29"/>
  <c r="O185" i="29" s="1"/>
  <c r="AF569" i="29"/>
  <c r="O569" i="29" s="1"/>
  <c r="AF50" i="29"/>
  <c r="O50" i="29" s="1"/>
  <c r="AF365" i="29"/>
  <c r="O365" i="29" s="1"/>
  <c r="AF432" i="29"/>
  <c r="O432" i="29" s="1"/>
  <c r="AF375" i="29"/>
  <c r="O375" i="29" s="1"/>
  <c r="AF397" i="29"/>
  <c r="O397" i="29" s="1"/>
  <c r="AF129" i="29"/>
  <c r="O129" i="29" s="1"/>
  <c r="AF538" i="29"/>
  <c r="O538" i="29" s="1"/>
  <c r="AF541" i="29"/>
  <c r="O541" i="29" s="1"/>
  <c r="AF222" i="29"/>
  <c r="O222" i="29" s="1"/>
  <c r="AF468" i="29"/>
  <c r="O468" i="29" s="1"/>
  <c r="AF460" i="29"/>
  <c r="O460" i="29" s="1"/>
  <c r="AF587" i="29"/>
  <c r="O587" i="29" s="1"/>
  <c r="AF91" i="29"/>
  <c r="O91" i="29" s="1"/>
  <c r="AF52" i="29"/>
  <c r="O52" i="29" s="1"/>
  <c r="AF469" i="29"/>
  <c r="O469" i="29" s="1"/>
  <c r="AF17" i="29"/>
  <c r="O17" i="29" s="1"/>
  <c r="AF593" i="29"/>
  <c r="O593" i="29" s="1"/>
  <c r="AF279" i="29"/>
  <c r="O279" i="29" s="1"/>
  <c r="AF363" i="29"/>
  <c r="O363" i="29" s="1"/>
  <c r="AF75" i="29"/>
  <c r="O75" i="29" s="1"/>
  <c r="AF423" i="29"/>
  <c r="O423" i="29" s="1"/>
  <c r="AF600" i="29"/>
  <c r="O600" i="29" s="1"/>
  <c r="AF253" i="29"/>
  <c r="O253" i="29" s="1"/>
  <c r="AF568" i="29"/>
  <c r="O568" i="29" s="1"/>
  <c r="AF197" i="29"/>
  <c r="O197" i="29" s="1"/>
  <c r="AF499" i="29"/>
  <c r="O499" i="29" s="1"/>
  <c r="AF132" i="29"/>
  <c r="O132" i="29" s="1"/>
  <c r="AF307" i="29"/>
  <c r="O307" i="29" s="1"/>
  <c r="AF576" i="29"/>
  <c r="O576" i="29" s="1"/>
  <c r="AF367" i="29"/>
  <c r="O367" i="29" s="1"/>
  <c r="AF232" i="29"/>
  <c r="O232" i="29" s="1"/>
  <c r="AF190" i="29"/>
  <c r="O190" i="29" s="1"/>
  <c r="AF292" i="29"/>
  <c r="O292" i="29" s="1"/>
  <c r="AF459" i="29"/>
  <c r="O459" i="29" s="1"/>
  <c r="AF55" i="29"/>
  <c r="O55" i="29" s="1"/>
  <c r="AF291" i="29"/>
  <c r="O291" i="29" s="1"/>
  <c r="AF462" i="29"/>
  <c r="O462" i="29" s="1"/>
  <c r="AF281" i="29"/>
  <c r="O281" i="29" s="1"/>
  <c r="AF493" i="29"/>
  <c r="O493" i="29" s="1"/>
  <c r="AF126" i="29"/>
  <c r="O126" i="29" s="1"/>
  <c r="AF332" i="29"/>
  <c r="O332" i="29" s="1"/>
  <c r="AF270" i="29"/>
  <c r="O270" i="29" s="1"/>
  <c r="AF506" i="29"/>
  <c r="O506" i="29" s="1"/>
  <c r="AF317" i="29"/>
  <c r="O317" i="29" s="1"/>
  <c r="AF446" i="29"/>
  <c r="O446" i="29" s="1"/>
  <c r="AF436" i="29"/>
  <c r="O436" i="29" s="1"/>
  <c r="AF602" i="29"/>
  <c r="O602" i="29" s="1"/>
  <c r="AF571" i="29"/>
  <c r="O571" i="29" s="1"/>
  <c r="AF411" i="29"/>
  <c r="O411" i="29" s="1"/>
  <c r="AF597" i="29"/>
  <c r="O597" i="29" s="1"/>
  <c r="AF537" i="29"/>
  <c r="O537" i="29" s="1"/>
  <c r="AF572" i="29"/>
  <c r="O572" i="29" s="1"/>
  <c r="AF141" i="29"/>
  <c r="O141" i="29" s="1"/>
  <c r="AF143" i="29"/>
  <c r="O143" i="29" s="1"/>
  <c r="AF142" i="29"/>
  <c r="O142" i="29" s="1"/>
  <c r="AF297" i="29"/>
  <c r="O297" i="29" s="1"/>
  <c r="AF138" i="29"/>
  <c r="O138" i="29" s="1"/>
  <c r="AF73" i="29"/>
  <c r="O73" i="29" s="1"/>
  <c r="AF227" i="29"/>
  <c r="O227" i="29" s="1"/>
  <c r="AF72" i="29"/>
  <c r="O72" i="29" s="1"/>
  <c r="AF36" i="29"/>
  <c r="O36" i="29" s="1"/>
  <c r="AF419" i="29"/>
  <c r="O419" i="29" s="1"/>
  <c r="AF67" i="29" l="1"/>
  <c r="O67" i="29" s="1"/>
  <c r="AF318" i="29"/>
  <c r="O318" i="29" s="1"/>
  <c r="AF603" i="29"/>
  <c r="O603" i="29" s="1"/>
  <c r="AF263" i="29"/>
  <c r="O263" i="29" s="1"/>
  <c r="AF87" i="29"/>
  <c r="O87" i="29" s="1"/>
  <c r="AF533" i="29"/>
  <c r="O533" i="29" s="1"/>
  <c r="AF481" i="29"/>
  <c r="O481" i="29" s="1"/>
  <c r="AF249" i="29"/>
  <c r="O249" i="29" s="1"/>
  <c r="AF366" i="29"/>
  <c r="O366" i="29" s="1"/>
  <c r="AF15" i="29"/>
  <c r="O15" i="29" s="1"/>
  <c r="AF265" i="29"/>
  <c r="O265" i="29" s="1"/>
  <c r="AF346" i="29"/>
  <c r="O346" i="29" s="1"/>
  <c r="AF12" i="29"/>
  <c r="AF561" i="29"/>
  <c r="O561" i="29" s="1"/>
  <c r="AF325" i="29"/>
  <c r="O325" i="29" s="1"/>
  <c r="AF290" i="29"/>
  <c r="O290" i="29" s="1"/>
  <c r="AF179" i="29"/>
  <c r="O179" i="29" s="1"/>
  <c r="AF629" i="29"/>
  <c r="O629" i="29" s="1"/>
  <c r="AF353" i="29"/>
  <c r="O353" i="29" s="1"/>
  <c r="AF35" i="29"/>
  <c r="O35" i="29" s="1"/>
  <c r="AF22" i="29"/>
  <c r="O22" i="29" s="1"/>
  <c r="AF254" i="29"/>
  <c r="O254" i="29" s="1"/>
  <c r="AF151" i="29"/>
  <c r="O151" i="29" s="1"/>
  <c r="AF457" i="29"/>
  <c r="O457" i="29" s="1"/>
  <c r="AF152" i="29"/>
  <c r="O152" i="29" s="1"/>
  <c r="AF589" i="29"/>
  <c r="O589" i="29" s="1"/>
  <c r="AF78" i="29"/>
  <c r="O78" i="29" s="1"/>
  <c r="AF128" i="29"/>
  <c r="O128" i="29" s="1"/>
  <c r="AF360" i="29"/>
  <c r="O360" i="29" s="1"/>
  <c r="AF171" i="29"/>
  <c r="O171" i="29" s="1"/>
  <c r="AF71" i="29"/>
  <c r="O71" i="29" s="1"/>
  <c r="AF390" i="29"/>
  <c r="O390" i="29" s="1"/>
  <c r="AF169" i="29"/>
  <c r="O169" i="29" s="1"/>
  <c r="AF584" i="29"/>
  <c r="O584" i="29" s="1"/>
  <c r="AF286" i="29"/>
  <c r="O286" i="29" s="1"/>
  <c r="AF615" i="29"/>
  <c r="O615" i="29" s="1"/>
  <c r="AF219" i="29"/>
  <c r="O219" i="29" s="1"/>
  <c r="AF626" i="29"/>
  <c r="O626" i="29" s="1"/>
  <c r="AF454" i="29"/>
  <c r="O454" i="29" s="1"/>
  <c r="AF272" i="29"/>
  <c r="O272" i="29" s="1"/>
  <c r="AF77" i="29"/>
  <c r="O77" i="29" s="1"/>
  <c r="AF557" i="29"/>
  <c r="O557" i="29" s="1"/>
  <c r="AF424" i="29"/>
  <c r="O424" i="29" s="1"/>
  <c r="AF70" i="29"/>
  <c r="O70" i="29" s="1"/>
  <c r="AF38" i="29"/>
  <c r="O38" i="29" s="1"/>
  <c r="AF221" i="29"/>
  <c r="O221" i="29" s="1"/>
  <c r="AF131" i="29"/>
  <c r="O131" i="29" s="1"/>
  <c r="AF488" i="29"/>
  <c r="O488" i="29" s="1"/>
  <c r="AF514" i="29"/>
  <c r="O514" i="29" s="1"/>
  <c r="AF575" i="29"/>
  <c r="O575" i="29" s="1"/>
  <c r="AF422" i="29"/>
  <c r="O422" i="29" s="1"/>
  <c r="AF85" i="29"/>
  <c r="O85" i="29" s="1"/>
  <c r="AF295" i="29"/>
  <c r="O295" i="29" s="1"/>
  <c r="AF81" i="29"/>
  <c r="O81" i="29" s="1"/>
  <c r="AF517" i="29"/>
  <c r="O517" i="29" s="1"/>
  <c r="AF377" i="29"/>
  <c r="O377" i="29" s="1"/>
  <c r="AF271" i="29"/>
  <c r="O271" i="29" s="1"/>
  <c r="AF112" i="29"/>
  <c r="O112" i="29" s="1"/>
  <c r="AF144" i="29"/>
  <c r="O144" i="29" s="1"/>
  <c r="AF453" i="29"/>
  <c r="O453" i="29" s="1"/>
  <c r="AF516" i="29"/>
  <c r="O516" i="29" s="1"/>
  <c r="AF224" i="29"/>
  <c r="O224" i="29" s="1"/>
  <c r="AF83" i="29"/>
  <c r="O83" i="29" s="1"/>
  <c r="AF471" i="29"/>
  <c r="O471" i="29" s="1"/>
  <c r="AF439" i="29"/>
  <c r="O439" i="29" s="1"/>
  <c r="AF627" i="29"/>
  <c r="O627" i="29" s="1"/>
  <c r="AF250" i="29"/>
  <c r="O250" i="29" s="1"/>
  <c r="AF379" i="29"/>
  <c r="O379" i="29" s="1"/>
  <c r="AF583" i="29"/>
  <c r="O583" i="29" s="1"/>
  <c r="AF544" i="29"/>
  <c r="O544" i="29" s="1"/>
  <c r="AF616" i="29"/>
  <c r="O616" i="29" s="1"/>
  <c r="AF313" i="29"/>
  <c r="O313" i="29" s="1"/>
  <c r="AF510" i="29"/>
  <c r="O510" i="29" s="1"/>
  <c r="AF34" i="29"/>
  <c r="O34" i="29" s="1"/>
  <c r="AF201" i="29"/>
  <c r="O201" i="29" s="1"/>
  <c r="AF88" i="29"/>
  <c r="O88" i="29" s="1"/>
  <c r="AF29" i="29"/>
  <c r="O29" i="29" s="1"/>
  <c r="AF90" i="29"/>
  <c r="O90" i="29" s="1"/>
  <c r="AF427" i="29"/>
  <c r="O427" i="29" s="1"/>
  <c r="AF327" i="29"/>
  <c r="O327" i="29" s="1"/>
  <c r="AF607" i="29"/>
  <c r="O607" i="29" s="1"/>
  <c r="AF623" i="29"/>
  <c r="O623" i="29" s="1"/>
  <c r="AF133" i="29"/>
  <c r="O133" i="29" s="1"/>
  <c r="AF18" i="29"/>
  <c r="O18" i="29" s="1"/>
  <c r="AF210" i="29"/>
  <c r="O210" i="29" s="1"/>
  <c r="AF347" i="29"/>
  <c r="O347" i="29" s="1"/>
  <c r="AF172" i="29"/>
  <c r="O172" i="29" s="1"/>
  <c r="AF261" i="29"/>
  <c r="O261" i="29" s="1"/>
  <c r="AF370" i="29"/>
  <c r="O370" i="29" s="1"/>
  <c r="AF167" i="29"/>
  <c r="O167" i="29" s="1"/>
  <c r="AF430" i="29"/>
  <c r="O430" i="29" s="1"/>
  <c r="AF630" i="29"/>
  <c r="O630" i="29" s="1"/>
  <c r="AF314" i="29"/>
  <c r="O314" i="29" s="1"/>
  <c r="AF238" i="29"/>
  <c r="O238" i="29" s="1"/>
  <c r="AF548" i="29"/>
  <c r="O548" i="29" s="1"/>
  <c r="AF27" i="29"/>
  <c r="O27" i="29" s="1"/>
  <c r="AF287" i="29"/>
  <c r="O287" i="29" s="1"/>
  <c r="AF343" i="29"/>
  <c r="O343" i="29" s="1"/>
  <c r="AF458" i="29"/>
  <c r="O458" i="29" s="1"/>
  <c r="AF223" i="29"/>
  <c r="O223" i="29" s="1"/>
  <c r="AF282" i="29"/>
  <c r="O282" i="29" s="1"/>
  <c r="AF509" i="29"/>
  <c r="O509" i="29" s="1"/>
  <c r="AF434" i="29"/>
  <c r="O434" i="29" s="1"/>
  <c r="AF433" i="29"/>
  <c r="O433" i="29" s="1"/>
  <c r="AF239" i="29"/>
  <c r="O239" i="29" s="1"/>
  <c r="AF524" i="29"/>
  <c r="O524" i="29" s="1"/>
  <c r="AF618" i="29"/>
  <c r="O618" i="29" s="1"/>
  <c r="AF92" i="29"/>
  <c r="O92" i="29" s="1"/>
  <c r="AF339" i="29"/>
  <c r="O339" i="29" s="1"/>
  <c r="AF396" i="29"/>
  <c r="O396" i="29" s="1"/>
  <c r="AF49" i="29"/>
  <c r="O49" i="29" s="1"/>
  <c r="AF385" i="29"/>
  <c r="O385" i="29" s="1"/>
  <c r="AF252" i="29"/>
  <c r="O252" i="29" s="1"/>
  <c r="AF473" i="29"/>
  <c r="O473" i="29" s="1"/>
  <c r="AF62" i="29"/>
  <c r="O62" i="29" s="1"/>
  <c r="AF490" i="29"/>
  <c r="O490" i="29" s="1"/>
  <c r="AF146" i="29"/>
  <c r="O146" i="29" s="1"/>
  <c r="AF241" i="29"/>
  <c r="O241" i="29" s="1"/>
  <c r="AF139" i="29"/>
  <c r="O139" i="29" s="1"/>
  <c r="AF324" i="29"/>
  <c r="O324" i="29" s="1"/>
  <c r="AF628" i="29"/>
  <c r="O628" i="29" s="1"/>
  <c r="AF417" i="29"/>
  <c r="O417" i="29" s="1"/>
  <c r="AF40" i="29"/>
  <c r="O40" i="29" s="1"/>
  <c r="AE7" i="29"/>
  <c r="R7" i="30" s="1"/>
  <c r="R62" i="30" s="1"/>
  <c r="AF109" i="29"/>
  <c r="O109" i="29" s="1"/>
  <c r="AF470" i="29"/>
  <c r="O470" i="29" s="1"/>
  <c r="AF527" i="29"/>
  <c r="O527" i="29" s="1"/>
  <c r="AF237" i="29"/>
  <c r="O237" i="29" s="1"/>
  <c r="AF162" i="29"/>
  <c r="O162" i="29" s="1"/>
  <c r="AF206" i="29"/>
  <c r="O206" i="29" s="1"/>
  <c r="AF380" i="29"/>
  <c r="O380" i="29" s="1"/>
  <c r="AF243" i="29"/>
  <c r="O243" i="29" s="1"/>
  <c r="AF467" i="29"/>
  <c r="O467" i="29" s="1"/>
  <c r="AF213" i="29"/>
  <c r="O213" i="29" s="1"/>
  <c r="AF546" i="29"/>
  <c r="O546" i="29" s="1"/>
  <c r="AF56" i="29"/>
  <c r="O56" i="29" s="1"/>
  <c r="AF526" i="29"/>
  <c r="O526" i="29" s="1"/>
  <c r="AF500" i="29"/>
  <c r="O500" i="29" s="1"/>
  <c r="AF25" i="29"/>
  <c r="O25" i="29" s="1"/>
  <c r="AF383" i="29"/>
  <c r="O383" i="29" s="1"/>
  <c r="AF256" i="29"/>
  <c r="O256" i="29" s="1"/>
  <c r="AF621" i="29"/>
  <c r="O621" i="29" s="1"/>
  <c r="AF211" i="29"/>
  <c r="O211" i="29" s="1"/>
  <c r="AF180" i="29"/>
  <c r="O180" i="29" s="1"/>
  <c r="AF447" i="29"/>
  <c r="O447" i="29" s="1"/>
  <c r="AF218" i="29"/>
  <c r="O218" i="29" s="1"/>
  <c r="AF30" i="29"/>
  <c r="O30" i="29" s="1"/>
  <c r="AF406" i="29"/>
  <c r="O406" i="29" s="1"/>
  <c r="AF248" i="29"/>
  <c r="O248" i="29" s="1"/>
  <c r="AF374" i="29"/>
  <c r="O374" i="29" s="1"/>
  <c r="AF619" i="29"/>
  <c r="O619" i="29" s="1"/>
  <c r="AF28" i="29"/>
  <c r="O28" i="29" s="1"/>
  <c r="AF581" i="29"/>
  <c r="O581" i="29" s="1"/>
  <c r="AF448" i="29"/>
  <c r="O448" i="29" s="1"/>
  <c r="AF264" i="29"/>
  <c r="O264" i="29" s="1"/>
  <c r="AF444" i="29"/>
  <c r="O444" i="29" s="1"/>
  <c r="AF547" i="29"/>
  <c r="O547" i="29" s="1"/>
  <c r="AF79" i="29"/>
  <c r="O79" i="29" s="1"/>
  <c r="R4" i="30"/>
  <c r="AF308" i="29"/>
  <c r="O308" i="29" s="1"/>
  <c r="AF595" i="29"/>
  <c r="O595" i="29" s="1"/>
  <c r="AF382" i="29"/>
  <c r="O382" i="29" s="1"/>
  <c r="AF521" i="29"/>
  <c r="O521" i="29" s="1"/>
  <c r="AF368" i="29"/>
  <c r="O368" i="29" s="1"/>
  <c r="AF195" i="29"/>
  <c r="O195" i="29" s="1"/>
  <c r="AF445" i="29"/>
  <c r="O445" i="29" s="1"/>
  <c r="AF60" i="29"/>
  <c r="O60" i="29" s="1"/>
  <c r="AF289" i="29"/>
  <c r="O289" i="29" s="1"/>
  <c r="AF154" i="29"/>
  <c r="O154" i="29" s="1"/>
  <c r="AF333" i="29"/>
  <c r="O333" i="29" s="1"/>
  <c r="AF259" i="29"/>
  <c r="O259" i="29" s="1"/>
  <c r="AF522" i="29"/>
  <c r="O522" i="29" s="1"/>
  <c r="AF361" i="29"/>
  <c r="O361" i="29" s="1"/>
  <c r="O573" i="29"/>
  <c r="AF528" i="29"/>
  <c r="O528" i="29" s="1"/>
  <c r="AF100" i="29"/>
  <c r="O100" i="29" s="1"/>
  <c r="AF178" i="29"/>
  <c r="O178" i="29" s="1"/>
  <c r="AF588" i="29"/>
  <c r="O588" i="29" s="1"/>
  <c r="AF409" i="29"/>
  <c r="O409" i="29" s="1"/>
  <c r="AF501" i="29"/>
  <c r="O501" i="29" s="1"/>
  <c r="AF579" i="29"/>
  <c r="O579" i="29" s="1"/>
  <c r="AF215" i="29"/>
  <c r="O215" i="29" s="1"/>
  <c r="AF394" i="29"/>
  <c r="O394" i="29" s="1"/>
  <c r="AF519" i="29"/>
  <c r="O519" i="29" s="1"/>
  <c r="AF124" i="29"/>
  <c r="O124" i="29" s="1"/>
  <c r="AF311" i="29"/>
  <c r="O311" i="29" s="1"/>
  <c r="O12" i="29"/>
  <c r="AF3" i="29"/>
  <c r="AF614" i="29"/>
  <c r="O614" i="29" s="1"/>
  <c r="AF214" i="29"/>
  <c r="O214" i="29" s="1"/>
  <c r="AF322" i="29"/>
  <c r="O322" i="29" s="1"/>
  <c r="AF285" i="29"/>
  <c r="O285" i="29" s="1"/>
  <c r="AF184" i="29"/>
  <c r="O184" i="29" s="1"/>
  <c r="AF403" i="29"/>
  <c r="O403" i="29" s="1"/>
  <c r="AF304" i="29"/>
  <c r="O304" i="29" s="1"/>
  <c r="AF137" i="29"/>
  <c r="O137" i="29" s="1"/>
  <c r="AF474" i="29"/>
  <c r="O474" i="29" s="1"/>
  <c r="AF350" i="29"/>
  <c r="O350" i="29" s="1"/>
  <c r="O101" i="29"/>
  <c r="AF4" i="29"/>
  <c r="AF485" i="29"/>
  <c r="O485" i="29" s="1"/>
  <c r="AF534" i="29"/>
  <c r="O534" i="29" s="1"/>
  <c r="AF120" i="29"/>
  <c r="O120" i="29" s="1"/>
  <c r="AF115" i="29"/>
  <c r="O115" i="29" s="1"/>
  <c r="AF590" i="29"/>
  <c r="O590" i="29" s="1"/>
  <c r="AF407" i="29"/>
  <c r="O407" i="29" s="1"/>
  <c r="AF498" i="29"/>
  <c r="O498" i="29" s="1"/>
  <c r="AF622" i="29"/>
  <c r="O622" i="29" s="1"/>
  <c r="AF523" i="29"/>
  <c r="O523" i="29" s="1"/>
  <c r="AF305" i="29"/>
  <c r="O305" i="29" s="1"/>
  <c r="AF564" i="29"/>
  <c r="O564" i="29" s="1"/>
  <c r="AF570" i="29"/>
  <c r="O570" i="29" s="1"/>
  <c r="AF260" i="29"/>
  <c r="O260" i="29" s="1"/>
  <c r="AF512" i="29"/>
  <c r="O512" i="29" s="1"/>
  <c r="AF258" i="29"/>
  <c r="O258" i="29" s="1"/>
  <c r="AF612" i="29"/>
  <c r="O612" i="29" s="1"/>
  <c r="AF95" i="29"/>
  <c r="O95" i="29" s="1"/>
  <c r="AF508" i="29"/>
  <c r="O508" i="29" s="1"/>
  <c r="AF116" i="29"/>
  <c r="O116" i="29" s="1"/>
  <c r="AF26" i="29"/>
  <c r="O26" i="29" s="1"/>
  <c r="AF299" i="29"/>
  <c r="O299" i="29" s="1"/>
  <c r="AF440" i="29"/>
  <c r="O440" i="29" s="1"/>
  <c r="AF351" i="29"/>
  <c r="O351" i="29" s="1"/>
  <c r="AF494" i="29"/>
  <c r="O494" i="29" s="1"/>
  <c r="AF303" i="29"/>
  <c r="O303" i="29" s="1"/>
  <c r="AF145" i="29"/>
  <c r="O145" i="29" s="1"/>
  <c r="AF565" i="29"/>
  <c r="O565" i="29" s="1"/>
  <c r="AF198" i="29"/>
  <c r="O198" i="29" s="1"/>
  <c r="AF80" i="29"/>
  <c r="O80" i="29" s="1"/>
  <c r="AF345" i="29"/>
  <c r="O345" i="29" s="1"/>
  <c r="AF431" i="29"/>
  <c r="O431" i="29" s="1"/>
  <c r="AF257" i="29"/>
  <c r="O257" i="29" s="1"/>
  <c r="AF435" i="29"/>
  <c r="O435" i="29" s="1"/>
  <c r="R21" i="30"/>
  <c r="R56" i="30"/>
  <c r="R64" i="30"/>
  <c r="R60" i="30"/>
  <c r="R58" i="30"/>
  <c r="R17" i="30"/>
  <c r="R19" i="30"/>
  <c r="R13" i="30"/>
  <c r="R66" i="30"/>
  <c r="R15" i="30"/>
  <c r="R52" i="30"/>
  <c r="R11" i="30" l="1"/>
  <c r="AF5" i="29"/>
  <c r="P2" i="29" s="1"/>
  <c r="S5" i="30"/>
  <c r="S4" i="30"/>
  <c r="P29" i="30" s="1"/>
  <c r="P30" i="30" s="1"/>
  <c r="AF7" i="29"/>
  <c r="S7" i="30" s="1"/>
  <c r="F39" i="30"/>
  <c r="F84" i="30" l="1"/>
  <c r="F88" i="30"/>
  <c r="F43" i="30"/>
  <c r="S58" i="30"/>
  <c r="C58" i="30" s="1"/>
  <c r="S13" i="30"/>
  <c r="C13" i="30" s="1"/>
  <c r="S60" i="30"/>
  <c r="C60" i="30" s="1"/>
  <c r="S17" i="30"/>
  <c r="C17" i="30" s="1"/>
  <c r="S66" i="30"/>
  <c r="C66" i="30" s="1"/>
  <c r="S56" i="30"/>
  <c r="C56" i="30" s="1"/>
  <c r="S62" i="30"/>
  <c r="C62" i="30" s="1"/>
  <c r="S15" i="30"/>
  <c r="C15" i="30" s="1"/>
  <c r="S64" i="30"/>
  <c r="C64" i="30" s="1"/>
  <c r="S21" i="30"/>
  <c r="C21" i="30" s="1"/>
  <c r="S11" i="30"/>
  <c r="C11" i="30" s="1"/>
  <c r="S52" i="30"/>
  <c r="S19" i="30"/>
  <c r="C19" i="30" s="1"/>
  <c r="C69" i="30" l="1"/>
  <c r="F82" i="30" s="1"/>
  <c r="F87" i="30" s="1"/>
  <c r="H43" i="30"/>
  <c r="J43" i="30"/>
  <c r="C24" i="30"/>
  <c r="F37" i="30" s="1"/>
  <c r="F42" i="30" s="1"/>
  <c r="H88" i="30"/>
  <c r="J88" i="30"/>
  <c r="H87" i="30" l="1"/>
  <c r="J87" i="30"/>
  <c r="J42" i="30"/>
  <c r="H42"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Noah Song</author>
    <author>이하영</author>
  </authors>
  <commentList>
    <comment ref="M10" authorId="0" shapeId="0" xr:uid="{00000000-0006-0000-0100-000001000000}">
      <text>
        <r>
          <rPr>
            <b/>
            <sz val="36"/>
            <color indexed="10"/>
            <rFont val="맑은 고딕"/>
            <family val="3"/>
            <charset val="129"/>
          </rPr>
          <t>수기투입!!</t>
        </r>
      </text>
    </comment>
    <comment ref="A11" authorId="1" shapeId="0" xr:uid="{A0F848EE-1989-4129-B851-7FB97C3CD7FC}">
      <text>
        <r>
          <rPr>
            <b/>
            <sz val="9"/>
            <color indexed="81"/>
            <rFont val="돋움"/>
            <family val="3"/>
            <charset val="129"/>
          </rPr>
          <t>이하영</t>
        </r>
        <r>
          <rPr>
            <b/>
            <sz val="9"/>
            <color indexed="81"/>
            <rFont val="Tahoma"/>
            <family val="2"/>
          </rPr>
          <t>:</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나누기</t>
        </r>
        <r>
          <rPr>
            <sz val="9"/>
            <color indexed="81"/>
            <rFont val="Tahoma"/>
            <family val="2"/>
          </rPr>
          <t xml:space="preserve"> </t>
        </r>
        <r>
          <rPr>
            <sz val="9"/>
            <color indexed="81"/>
            <rFont val="돋움"/>
            <family val="3"/>
            <charset val="129"/>
          </rPr>
          <t>할것</t>
        </r>
        <r>
          <rPr>
            <sz val="9"/>
            <color indexed="81"/>
            <rFont val="Tahoma"/>
            <family val="2"/>
          </rPr>
          <t xml:space="preserve">
</t>
        </r>
      </text>
    </comment>
    <comment ref="D11" authorId="1" shapeId="0" xr:uid="{0E10B73D-05B8-4A80-8616-275A420ED9DD}">
      <text>
        <r>
          <rPr>
            <b/>
            <sz val="9"/>
            <color indexed="81"/>
            <rFont val="돋움"/>
            <family val="3"/>
            <charset val="129"/>
          </rPr>
          <t>이하영</t>
        </r>
        <r>
          <rPr>
            <b/>
            <sz val="9"/>
            <color indexed="81"/>
            <rFont val="Tahoma"/>
            <family val="2"/>
          </rPr>
          <t>:</t>
        </r>
        <r>
          <rPr>
            <sz val="9"/>
            <color indexed="81"/>
            <rFont val="Tahoma"/>
            <family val="2"/>
          </rPr>
          <t xml:space="preserve">
</t>
        </r>
        <r>
          <rPr>
            <sz val="9"/>
            <color indexed="81"/>
            <rFont val="돋움"/>
            <family val="3"/>
            <charset val="129"/>
          </rPr>
          <t>텍스트</t>
        </r>
        <r>
          <rPr>
            <sz val="9"/>
            <color indexed="81"/>
            <rFont val="Tahoma"/>
            <family val="2"/>
          </rPr>
          <t xml:space="preserve"> </t>
        </r>
        <r>
          <rPr>
            <sz val="9"/>
            <color indexed="81"/>
            <rFont val="돋움"/>
            <family val="3"/>
            <charset val="129"/>
          </rPr>
          <t>나누기</t>
        </r>
        <r>
          <rPr>
            <sz val="9"/>
            <color indexed="81"/>
            <rFont val="Tahoma"/>
            <family val="2"/>
          </rPr>
          <t xml:space="preserve"> </t>
        </r>
        <r>
          <rPr>
            <sz val="9"/>
            <color indexed="81"/>
            <rFont val="돋움"/>
            <family val="3"/>
            <charset val="129"/>
          </rPr>
          <t>할것</t>
        </r>
      </text>
    </comment>
  </commentList>
</comments>
</file>

<file path=xl/sharedStrings.xml><?xml version="1.0" encoding="utf-8"?>
<sst xmlns="http://schemas.openxmlformats.org/spreadsheetml/2006/main" count="3485" uniqueCount="937">
  <si>
    <t>AUD</t>
  </si>
  <si>
    <t>ACT</t>
  </si>
  <si>
    <t>ACCOUNT NAME</t>
  </si>
  <si>
    <t>---Due from Domestic Banks on Demand</t>
  </si>
  <si>
    <t>---PREPAID VALUE ADDED TAX(VAT)</t>
  </si>
  <si>
    <t>---Information Technology system Tools</t>
  </si>
  <si>
    <t>---Equipment and management tools</t>
  </si>
  <si>
    <t>---Others</t>
  </si>
  <si>
    <t>---Right of Use Assets</t>
  </si>
  <si>
    <t>--DEFERRED TAX ASSET</t>
  </si>
  <si>
    <t>---ACCOUNT PAYABLE(EXPENSE)</t>
  </si>
  <si>
    <t>---ACCOUNT PAYABLE(OTHER)</t>
  </si>
  <si>
    <t>---ACCOUNT PAYABLE(Other Income tax withholding)</t>
  </si>
  <si>
    <t>--Lease Liabilities</t>
  </si>
  <si>
    <t>Form Name</t>
    <phoneticPr fontId="13" type="noConversion"/>
  </si>
  <si>
    <t>YH</t>
    <phoneticPr fontId="13" type="noConversion"/>
  </si>
  <si>
    <t>Reviews &amp; Comments</t>
    <phoneticPr fontId="13" type="noConversion"/>
  </si>
  <si>
    <t>Form Code</t>
    <phoneticPr fontId="13" type="noConversion"/>
  </si>
  <si>
    <t>Form Items</t>
    <phoneticPr fontId="13" type="noConversion"/>
  </si>
  <si>
    <t>Questions/Comments</t>
    <phoneticPr fontId="13" type="noConversion"/>
  </si>
  <si>
    <t xml:space="preserve">By </t>
    <phoneticPr fontId="13" type="noConversion"/>
  </si>
  <si>
    <t>Date (DD/MM/YY)</t>
    <phoneticPr fontId="13" type="noConversion"/>
  </si>
  <si>
    <t>Responses</t>
    <phoneticPr fontId="13" type="noConversion"/>
  </si>
  <si>
    <t>By</t>
    <phoneticPr fontId="13" type="noConversion"/>
  </si>
  <si>
    <t>N/A</t>
  </si>
  <si>
    <t>YH</t>
    <phoneticPr fontId="13" type="noConversion"/>
  </si>
  <si>
    <t>YH</t>
    <phoneticPr fontId="13" type="noConversion"/>
  </si>
  <si>
    <t>Change Control</t>
    <phoneticPr fontId="13" type="noConversion"/>
  </si>
  <si>
    <t>Form Name</t>
    <phoneticPr fontId="13" type="noConversion"/>
  </si>
  <si>
    <t>Tabs Impacted</t>
    <phoneticPr fontId="13" type="noConversion"/>
  </si>
  <si>
    <t>Details</t>
    <phoneticPr fontId="13" type="noConversion"/>
  </si>
  <si>
    <t>ARF 117_0A</t>
  </si>
  <si>
    <t>ARF 117_0B_1</t>
  </si>
  <si>
    <t>ARF 117_0B_2</t>
  </si>
  <si>
    <t>ARF 117_0B_3</t>
  </si>
  <si>
    <t>ARF 117_0B_4</t>
  </si>
  <si>
    <t xml:space="preserve">Repricing analysis - denominated in AUD </t>
  </si>
  <si>
    <t>Repricing analysis - denominated in foreign currency_1</t>
  </si>
  <si>
    <t>Repricing analysis - denominated in foreign currency_2</t>
  </si>
  <si>
    <t>Repricing analysis - denominated in foreign currency_3</t>
  </si>
  <si>
    <t>Repricing analysis - denominated in foreign currency_4</t>
  </si>
  <si>
    <t>Asset</t>
  </si>
  <si>
    <t>---A.I.R ON OPERATION LOANS</t>
  </si>
  <si>
    <t>Liability</t>
  </si>
  <si>
    <t>--Inter-Office Account KAB-A</t>
  </si>
  <si>
    <t>--Allowance For Loan Losses - General</t>
  </si>
  <si>
    <t>From</t>
  </si>
  <si>
    <t>To</t>
  </si>
  <si>
    <t>Asset / 
Liability</t>
  </si>
  <si>
    <t>COSMAX NBT AUSTRALIA PTY LTD</t>
  </si>
  <si>
    <t>NONGHYUP BANK</t>
  </si>
  <si>
    <t>NONGHYUP BANK SYDNEY BRANCH</t>
  </si>
  <si>
    <t>Repricing
Maturity Buckets</t>
    <phoneticPr fontId="10" type="noConversion"/>
  </si>
  <si>
    <t>Repricing Date</t>
    <phoneticPr fontId="10" type="noConversion"/>
  </si>
  <si>
    <t>Non_sensitive</t>
  </si>
  <si>
    <t>Maturity Adj</t>
  </si>
  <si>
    <t>--CASH ON HAND</t>
  </si>
  <si>
    <t>--FOREIGN CURRENCIES ON HAND</t>
  </si>
  <si>
    <t>---Due From State Bank</t>
  </si>
  <si>
    <t>---Due from Oversea Banks on Demand</t>
  </si>
  <si>
    <t>--INTEROFFICE EUL(A) A/C</t>
  </si>
  <si>
    <t>---CHECK IN PROCESS</t>
  </si>
  <si>
    <t>---CHECKS OUTSTANDING</t>
  </si>
  <si>
    <t>---DUE TO OTHER CUSTOMER</t>
  </si>
  <si>
    <t>---DUE TO BANK DEMAND DEPOSIT</t>
  </si>
  <si>
    <t>--Due From State Bank O/D</t>
  </si>
  <si>
    <t>---Due from Domestic Banks on Demand O/D</t>
  </si>
  <si>
    <t>---Due from Oversea Banks on Demand O/D</t>
  </si>
  <si>
    <t>--Demand Deposits - Non-financial corporates and PSE</t>
  </si>
  <si>
    <t>--Demand Deposits - ADI/bank</t>
  </si>
  <si>
    <t>--Demand Deposits - Retail customer</t>
  </si>
  <si>
    <t>--Demand Deposits - SME</t>
  </si>
  <si>
    <t>--Demand Deposits - Other financial institutions</t>
  </si>
  <si>
    <t>--Demand Deposits - Non Residents</t>
  </si>
  <si>
    <t>---ACCOUNT PAYABLE(REMITTANCE)</t>
  </si>
  <si>
    <t>---ACCOUNT PAYABLE(COMMISSION)</t>
  </si>
  <si>
    <t>---SP TO BE REPLACED BY B/S ACCOUNT</t>
  </si>
  <si>
    <t>---SP TO BE REPLACED BY I/S ACCOUNT</t>
  </si>
  <si>
    <t>--Inter-Office Account EUL-A</t>
  </si>
  <si>
    <t>---Vehicles and Transportation Equipment</t>
  </si>
  <si>
    <t>--DEFERRED TAX LIABILITIES - TAX</t>
  </si>
  <si>
    <t>---Tax Withholding for Income from Interests</t>
  </si>
  <si>
    <t>---Payable Value Added Tax(VAT)</t>
  </si>
  <si>
    <t>---Corporate Income Tax Payable</t>
  </si>
  <si>
    <t>---Payroll Tax Payable</t>
  </si>
  <si>
    <t>상위계정명</t>
  </si>
  <si>
    <t>계정명</t>
  </si>
  <si>
    <t>[1110000000000]현금 및 예치금</t>
  </si>
  <si>
    <t xml:space="preserve">  외국통화</t>
  </si>
  <si>
    <t>[1111711000000]외화타점예치금</t>
  </si>
  <si>
    <t xml:space="preserve">      해외은행</t>
  </si>
  <si>
    <t>[1391300000000]외화지급보증대지급금</t>
  </si>
  <si>
    <t xml:space="preserve">    인수관계대지급금</t>
  </si>
  <si>
    <t>---LOAN ORIGINATION FEE,LOF</t>
  </si>
  <si>
    <t>[1511100000000]이연대출부대수익</t>
  </si>
  <si>
    <t xml:space="preserve">    이연대출부대수익(일반)</t>
  </si>
  <si>
    <t>---LOAN ORIGINATION COST,LOC</t>
  </si>
  <si>
    <t>[1510000000000]이연대출부대손익</t>
  </si>
  <si>
    <t xml:space="preserve">  이연대출부대비용</t>
  </si>
  <si>
    <t>--Allowance For Loan Losses - Specific</t>
  </si>
  <si>
    <t>--Allowance for Due from Banks</t>
  </si>
  <si>
    <t>--Allowance for NCD</t>
  </si>
  <si>
    <t>--Allowance for AC Investment Securities</t>
  </si>
  <si>
    <t>--Allowance for Lending</t>
  </si>
  <si>
    <t>--Allowance for Call Loan</t>
  </si>
  <si>
    <t>--Allowance for Trade Finance</t>
  </si>
  <si>
    <t>---A.I.R ON T/R LOANS</t>
  </si>
  <si>
    <t>[1831300000000]미수수익</t>
  </si>
  <si>
    <t xml:space="preserve">    외화관련미수수익</t>
  </si>
  <si>
    <t>---A.I.R ON PERSONAL LOANS</t>
  </si>
  <si>
    <t>---A.I.R ON MORTGAGE LOANS</t>
  </si>
  <si>
    <t>---A.I.R ON EQUIPMENT LOANS</t>
  </si>
  <si>
    <t>---A.I.R ON SYNDICATED LOANS</t>
  </si>
  <si>
    <t>---A.I.R ON OTHER LOANS</t>
  </si>
  <si>
    <t>---A.I.R ON BILLS BOUGHT</t>
  </si>
  <si>
    <t>---A.I.R ON BILLS DISCOUNT</t>
  </si>
  <si>
    <t>---A.I.R ON STATE FUND SOLD</t>
  </si>
  <si>
    <t>---A.I.R ON STATE TREASURY SECURITIES</t>
  </si>
  <si>
    <t>---A.I.R ON STATE GOV'T OR AGENCY SECURITIES</t>
  </si>
  <si>
    <t>---A.I.R ON FOREIGN GOV'T &amp; OFFICIAL INSTIT'S SECURITIES</t>
  </si>
  <si>
    <t>---A.I.R ON CORPORATION SECURITIES</t>
  </si>
  <si>
    <t>---A.I.R ON FINANCIAL INSTITUTION SECURITIES</t>
  </si>
  <si>
    <t>---A.I.R ON OTHER SECURITIES</t>
  </si>
  <si>
    <t>---A.I.R ON GUARANTEE MONEY</t>
  </si>
  <si>
    <t>---A.I.R ON ACCEPTANCES</t>
  </si>
  <si>
    <t>---Accrued TERM CHARGE ON L/C</t>
  </si>
  <si>
    <t>---A.I.R ON CALL LOAN</t>
  </si>
  <si>
    <t>---A.I.R ON ST LENDING</t>
  </si>
  <si>
    <t>---A.I.R On CD Purcase</t>
  </si>
  <si>
    <t>---A.I.R ON LT LENDING</t>
  </si>
  <si>
    <t>---A.I.R ON AD CONFIRM CHARGE</t>
  </si>
  <si>
    <t>---A.I.R On Due From Banks On Time</t>
  </si>
  <si>
    <t>---A.I.R On Derivatives For Swaps</t>
  </si>
  <si>
    <t>---A.I.R ON OTHERS</t>
  </si>
  <si>
    <t>---PREPAID INTEREST SEC. INVESTMENTS</t>
  </si>
  <si>
    <t>[1851100000000]선급비용</t>
  </si>
  <si>
    <t xml:space="preserve">    외화관련선급비용</t>
  </si>
  <si>
    <t>---PREPAID INTEREST INTEROFFICE</t>
  </si>
  <si>
    <t>---PREPAID INSURANCE</t>
  </si>
  <si>
    <t>[1850000000000]기타자산</t>
  </si>
  <si>
    <t xml:space="preserve">  역외기타외화자산</t>
  </si>
  <si>
    <t>---PREPAID TAXS</t>
  </si>
  <si>
    <t>[1770000000016]선급법인세</t>
  </si>
  <si>
    <t xml:space="preserve">    기타선급법인세</t>
  </si>
  <si>
    <t>---PREPAID OTHER EXPENSE</t>
  </si>
  <si>
    <t>---PREPAID INTEREST CALL MONEY</t>
  </si>
  <si>
    <t>---PREPAID INTEREST ST BORROWING</t>
  </si>
  <si>
    <t>---PREPAID INTEREST LT BORROWING</t>
  </si>
  <si>
    <t>---Prepaid Int. Ceritificate of Deposit - NCD</t>
  </si>
  <si>
    <t>---Prepaid Int. Ceritificate of Deposit - TCD</t>
  </si>
  <si>
    <t>[1859923000000]부가가치세선급금</t>
  </si>
  <si>
    <t xml:space="preserve">      부가가치세선급금(기타)</t>
  </si>
  <si>
    <t>---Prepaid Expenses for Tangible Tools and Equipment</t>
  </si>
  <si>
    <t>---Prepaid Expenses for Intangible Tools and Equipmen</t>
  </si>
  <si>
    <t>---Prepaid Interset Bond Issue</t>
  </si>
  <si>
    <t>---CUST LIABS ON ACCEPTANCES</t>
  </si>
  <si>
    <t>---GUARANTEE L/G</t>
  </si>
  <si>
    <t>---GUARANTEE OTHERS</t>
  </si>
  <si>
    <t>---ACCOUNT RECEIVABLE</t>
  </si>
  <si>
    <t>[1831500000000]미수금</t>
  </si>
  <si>
    <t xml:space="preserve">    외화미수금</t>
  </si>
  <si>
    <t>---SUSPENSE RECEIVABLE</t>
  </si>
  <si>
    <t>[1859931000000]가지급금</t>
  </si>
  <si>
    <t xml:space="preserve">      외화가지급금</t>
  </si>
  <si>
    <t>---Input Goods and Service Tax</t>
  </si>
  <si>
    <t>[1859900000000]기타영업자산</t>
  </si>
  <si>
    <t xml:space="preserve">    기타</t>
  </si>
  <si>
    <t>---SECURITY DEPOSIT</t>
  </si>
  <si>
    <t>[1831900000000]보증금</t>
  </si>
  <si>
    <t xml:space="preserve">    기타임차보증금</t>
  </si>
  <si>
    <t>---Housing and Structures</t>
  </si>
  <si>
    <t>[1651900000000]업무용동산</t>
  </si>
  <si>
    <t xml:space="preserve">    기계장치</t>
  </si>
  <si>
    <t xml:space="preserve">    차량운반구</t>
  </si>
  <si>
    <t xml:space="preserve">    공구기구부품</t>
  </si>
  <si>
    <t>---SOFTWARE</t>
  </si>
  <si>
    <t>[1739900000000]기타의무형자산</t>
  </si>
  <si>
    <t xml:space="preserve">    상용소프트웨어구입비</t>
  </si>
  <si>
    <t>---LEASEHOLD IMPROVEMENT</t>
  </si>
  <si>
    <t>[1651500000000]임차점포시설물</t>
  </si>
  <si>
    <t xml:space="preserve">    일반</t>
  </si>
  <si>
    <t>---Membership</t>
  </si>
  <si>
    <t>[1801100000000]부동산</t>
  </si>
  <si>
    <t xml:space="preserve">    사용권자산(부동산)</t>
  </si>
  <si>
    <t>[1711700000000]업무용동산</t>
  </si>
  <si>
    <t>---Machinery and Equipment</t>
  </si>
  <si>
    <t>---Means of Transport, Transmission equipment</t>
  </si>
  <si>
    <t>[1671700000000]업무용동산</t>
  </si>
  <si>
    <t>---Leasehold Improvements</t>
  </si>
  <si>
    <t>[1671300000000]임차점포시설물</t>
  </si>
  <si>
    <t>[1821100000000]부동산</t>
  </si>
  <si>
    <t>[1790000000000]이연법인세자산</t>
  </si>
  <si>
    <t xml:space="preserve">  자본가산제외이연법인세자산</t>
  </si>
  <si>
    <t>---FX Forward - Trading</t>
  </si>
  <si>
    <t>[1171300000000]외화파생상품자산</t>
  </si>
  <si>
    <t xml:space="preserve">    기타파생상품자산</t>
  </si>
  <si>
    <t>[1950030000000]외화본지점(해외)</t>
  </si>
  <si>
    <t xml:space="preserve">    외화본지점을</t>
  </si>
  <si>
    <t>[2111700190000]외화별단예금</t>
  </si>
  <si>
    <t xml:space="preserve">      기타외화별단예금</t>
  </si>
  <si>
    <t>[2211913000000]외화타점차입금</t>
  </si>
  <si>
    <t>[2111700130000]외화보통예금</t>
  </si>
  <si>
    <t xml:space="preserve">      대외계정</t>
  </si>
  <si>
    <t>--Import Guarantee Money-Sight</t>
  </si>
  <si>
    <t>[2393100990000]기타수입보증금</t>
  </si>
  <si>
    <t xml:space="preserve">      외화수입보증금</t>
  </si>
  <si>
    <t>--Import Guarantee Money-Usance</t>
  </si>
  <si>
    <t>--Import Guarantee Money-L/G</t>
  </si>
  <si>
    <t>---A.I.P ON DEMAND DEPOSIT</t>
  </si>
  <si>
    <t>[2393500000000]미지급비용</t>
  </si>
  <si>
    <t xml:space="preserve">    외화관련미지급비용</t>
  </si>
  <si>
    <t>---A.I.P ON TIME DEPOSIT</t>
  </si>
  <si>
    <t>---A.I.P ON CERTIFICATE OF DEPOSITS - NCD</t>
  </si>
  <si>
    <t>---A.I.P ON SHORT TERM BORROWING</t>
  </si>
  <si>
    <t>---A.I.P ON LONG TERM BORROWING</t>
  </si>
  <si>
    <t>---A.I.P ON INTER OFFICE ACCOUNT</t>
  </si>
  <si>
    <t>---A.I.P ON OTHERS</t>
  </si>
  <si>
    <t>---A.I.P ON CERTIFICATE OF DEPOSITS - TCD</t>
  </si>
  <si>
    <t>---A.I.P ON CALL MONEY</t>
  </si>
  <si>
    <t>---A.I.P ON BOND ISSUE</t>
  </si>
  <si>
    <t>---A.I.P On Derivatives For Swaps</t>
  </si>
  <si>
    <t>---Unearned Income ON TRADE LOANS</t>
  </si>
  <si>
    <t>[2412700000000]선수수익</t>
  </si>
  <si>
    <t xml:space="preserve">    외화관련선수수익</t>
  </si>
  <si>
    <t>---Unearned Income ON PERSONAL LOANS</t>
  </si>
  <si>
    <t>---Unearned Income ON OPERATION LOANS</t>
  </si>
  <si>
    <t>---Unearned Income ON MORTGAGE LOANS</t>
  </si>
  <si>
    <t>---Unearned Income ON EQUIPMENT LOANS</t>
  </si>
  <si>
    <t>---Unearned Income ON SYNDICATED LOANS</t>
  </si>
  <si>
    <t>---Unearned Income ON OTHER LOANS</t>
  </si>
  <si>
    <t>---Unearned Income ON BILLS BOUGHT</t>
  </si>
  <si>
    <t>---Unearned Income ON BILLS DISCOUNT</t>
  </si>
  <si>
    <t>---Unearned INCOME ON STATE TREASURY SECURITIES</t>
  </si>
  <si>
    <t>---UNEARNED INCOME ON STATE GOVT OR AGENCY SECURITIES</t>
  </si>
  <si>
    <t>---UNEARNED INCOME ON FOREIGN GOVT&amp;OFFICIAL SEC</t>
  </si>
  <si>
    <t>---Unearned Income ON CORPORATION SECURITIES</t>
  </si>
  <si>
    <t>---Unearned Income ON FINANCIAL INSTITUTION SEC</t>
  </si>
  <si>
    <t>---Unearned Income ON OTHER SECURITIES</t>
  </si>
  <si>
    <t>---Unearned Income On Letter of Guarantee</t>
  </si>
  <si>
    <t>---Unearned Income ON ACCEPTANCES</t>
  </si>
  <si>
    <t>---UNEARNED INCOME ON L/C</t>
  </si>
  <si>
    <t>---Unearned Income ON CALL MONEY</t>
  </si>
  <si>
    <t>---Unearned Income ON ST LENDING</t>
  </si>
  <si>
    <t>---UNEARNED INCOME ON CD Purcase</t>
  </si>
  <si>
    <t>---UNEARNED INCOME ON LT LENDING</t>
  </si>
  <si>
    <t>---UNEARNED INCOME ON AD CONFIRM CHARGE</t>
  </si>
  <si>
    <t>---Allowance</t>
  </si>
  <si>
    <t>---Allowance for other Employee-related</t>
  </si>
  <si>
    <t>---ACCEPTANCES</t>
  </si>
  <si>
    <t>[4330000000000]확정지급보증</t>
  </si>
  <si>
    <t xml:space="preserve">  외화지급보증인수</t>
  </si>
  <si>
    <t xml:space="preserve">  외화수입화물선취보증</t>
  </si>
  <si>
    <t xml:space="preserve">  기타외화지급보증</t>
  </si>
  <si>
    <t>[2393700000000]미지급금</t>
  </si>
  <si>
    <t xml:space="preserve">    외화미지급금</t>
  </si>
  <si>
    <t>[2399900000000]기타영업부채(금융)</t>
  </si>
  <si>
    <t>[2411900000000]가수금</t>
  </si>
  <si>
    <t xml:space="preserve">    외화가수금</t>
  </si>
  <si>
    <t>[2419900000000]기타영업부채(비금융)</t>
  </si>
  <si>
    <t>---FBT Payable</t>
  </si>
  <si>
    <t>[2370000000000]이연법인세부채</t>
  </si>
  <si>
    <t xml:space="preserve">  자본차감제외이연법인세부채</t>
  </si>
  <si>
    <t>[2394500000000]리스부채</t>
  </si>
  <si>
    <t xml:space="preserve">    부동산</t>
  </si>
  <si>
    <t>[2171300000000]외화파생상품부채</t>
  </si>
  <si>
    <t xml:space="preserve">    기타파생상품부채</t>
  </si>
  <si>
    <t>[2430030000000]외화본지점(해외)</t>
  </si>
  <si>
    <t>*POSITION(OVER BOUGHT)</t>
  </si>
  <si>
    <t xml:space="preserve">    외화본지점갑</t>
  </si>
  <si>
    <t>Check</t>
    <phoneticPr fontId="10" type="noConversion"/>
  </si>
  <si>
    <t>RCH3001AUD</t>
  </si>
  <si>
    <t>AUSTRALIA AND NEW ZEALAND BANKING GROUP LTD</t>
  </si>
  <si>
    <t>RCH3002AUD</t>
  </si>
  <si>
    <t>RCH3003AUD</t>
  </si>
  <si>
    <t>RCH3004AUD</t>
  </si>
  <si>
    <t>KEB HANA BANK</t>
  </si>
  <si>
    <t>RCH4001USD</t>
  </si>
  <si>
    <t>6115904000025</t>
  </si>
  <si>
    <t>PERDAMAN CHEMICALS &amp; FERTILISERS (FINANCE)PTY LTD</t>
  </si>
  <si>
    <t>6115904000032</t>
  </si>
  <si>
    <t>OL5904220000001</t>
  </si>
  <si>
    <t>OL5904230000006</t>
  </si>
  <si>
    <t>OL5904230000007</t>
  </si>
  <si>
    <t>6115904000018</t>
  </si>
  <si>
    <t>OT5904220000216</t>
  </si>
  <si>
    <t>DA5904230000001</t>
  </si>
  <si>
    <t>DH5904AUD20970005</t>
  </si>
  <si>
    <t>FA5904220000052</t>
  </si>
  <si>
    <t>OT5904220000161</t>
  </si>
  <si>
    <t>OT5904220000163</t>
  </si>
  <si>
    <t>OT5904230000071</t>
  </si>
  <si>
    <t>A/C Code</t>
  </si>
  <si>
    <t>A/C Name</t>
  </si>
  <si>
    <t>Ref No</t>
  </si>
  <si>
    <t>Counterparty/Customer No</t>
  </si>
  <si>
    <t>Counterparty/Customer Name</t>
  </si>
  <si>
    <t>Ccy</t>
  </si>
  <si>
    <t>Balance Amt</t>
  </si>
  <si>
    <t>Approval/Contract Date</t>
  </si>
  <si>
    <t>Maturity Date</t>
  </si>
  <si>
    <t>Next Interest Reset Date</t>
  </si>
  <si>
    <t>USD</t>
  </si>
  <si>
    <t>Due from Domestic Banks on Demand</t>
  </si>
  <si>
    <t>Due from Oversea Banks on Demand</t>
  </si>
  <si>
    <t>BANK OF AMERICA N.A.(H.O.)</t>
  </si>
  <si>
    <t>E.SUN COMMERCIAL BANK LTD</t>
  </si>
  <si>
    <t>Securities - FVOCI State</t>
  </si>
  <si>
    <t>Loans On Bills (Operation-Short Term-Domestic)</t>
  </si>
  <si>
    <t>Syndicated Loans (Long Term) - Domestic</t>
  </si>
  <si>
    <t>6115904000040</t>
  </si>
  <si>
    <t>6115904000057</t>
  </si>
  <si>
    <t>6115904000064</t>
  </si>
  <si>
    <t>6115904000071</t>
  </si>
  <si>
    <t>6115904000089</t>
  </si>
  <si>
    <t>6115904000096</t>
  </si>
  <si>
    <t>Allowance For Loan Losses - General</t>
  </si>
  <si>
    <t>OL5904230000008</t>
  </si>
  <si>
    <t>OL5904230000009</t>
  </si>
  <si>
    <t>OL5904230000010</t>
  </si>
  <si>
    <t>OL5904230000011</t>
  </si>
  <si>
    <t>A.I.R ON SYNDICATED LOANS</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</si>
  <si>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</si>
  <si>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</si>
  <si>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</si>
  <si>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</si>
  <si>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</si>
  <si>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</si>
  <si>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</si>
  <si>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</si>
  <si>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</si>
  <si>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</si>
  <si>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</si>
  <si>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</si>
  <si>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</si>
  <si>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</si>
  <si>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</si>
  <si>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</si>
  <si>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</si>
  <si>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</si>
  <si>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</si>
  <si>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</si>
  <si>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</si>
  <si>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</si>
  <si>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</si>
  <si>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</si>
  <si>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</si>
  <si>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</si>
  <si>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</si>
  <si>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</si>
  <si>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</si>
  <si>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</si>
  <si>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</si>
  <si>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</si>
  <si>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</si>
  <si>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</si>
  <si>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</si>
  <si>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</si>
  <si>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</si>
  <si>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OT5904ACTPAY031</t>
  </si>
  <si>
    <t>OT5904ACTPAY033</t>
  </si>
  <si>
    <t>OT5904INPT001AUD</t>
  </si>
  <si>
    <t>OT5904SRCVBS001</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</si>
  <si>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</si>
  <si>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</si>
  <si>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</si>
  <si>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</si>
  <si>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</si>
  <si>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</si>
  <si>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</si>
  <si>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</si>
  <si>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</si>
  <si>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</si>
  <si>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</si>
  <si>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</si>
  <si>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</si>
  <si>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</si>
  <si>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</si>
  <si>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</si>
  <si>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</si>
  <si>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</si>
  <si>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</si>
  <si>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</si>
  <si>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</si>
  <si>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</si>
  <si>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</si>
  <si>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</si>
  <si>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</si>
  <si>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</si>
  <si>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</si>
  <si>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</si>
  <si>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</si>
  <si>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</si>
  <si>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</si>
  <si>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</si>
  <si>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</si>
  <si>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</si>
  <si>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</si>
  <si>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</si>
  <si>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</si>
  <si>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</si>
  <si>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</si>
  <si>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</si>
  <si>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</si>
  <si>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</si>
  <si>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</si>
  <si>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</si>
  <si>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</si>
  <si>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</si>
  <si>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</si>
  <si>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</si>
  <si>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</si>
  <si>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</si>
  <si>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</si>
  <si>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</si>
  <si>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</si>
  <si>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</si>
  <si>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</si>
  <si>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</si>
  <si>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</si>
  <si>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</si>
  <si>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</si>
  <si>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</si>
  <si>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</si>
  <si>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</si>
  <si>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</si>
  <si>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</si>
  <si>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</si>
  <si>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</si>
  <si>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</si>
  <si>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</si>
  <si>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</si>
  <si>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</si>
  <si>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</si>
  <si>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</si>
  <si>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</si>
  <si>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RCH1001USD</t>
  </si>
  <si>
    <t>Term Deposits - Non-financial corporates and PSEs</t>
  </si>
  <si>
    <t>ST BORROWING OVER 3M - DOMESTIC</t>
  </si>
  <si>
    <t>BANK OF AMERICA N.A. (SYDNEY)</t>
  </si>
  <si>
    <t>A.I.P ON TIME DEPOSIT</t>
  </si>
  <si>
    <t>A.I.P ON SHORT TERM BORROWING</t>
  </si>
  <si>
    <t>Unearned Income ON SYNDICATED LOANS</t>
  </si>
  <si>
    <t>ACCOUNT PAYABLE(EXPENSE)</t>
  </si>
  <si>
    <t>ACCOUNT PAYABLE(OTHER)</t>
  </si>
  <si>
    <t>OT5904ACTPAY091</t>
  </si>
  <si>
    <t>ACCOUNT PAYABLE(Other Income tax withholding)</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</si>
  <si>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</si>
  <si>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</si>
  <si>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</si>
  <si>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</si>
  <si>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</si>
  <si>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</si>
  <si>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</si>
  <si>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</si>
  <si>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</si>
  <si>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</si>
  <si>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</si>
  <si>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</si>
  <si>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</si>
  <si>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</si>
  <si>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</si>
  <si>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</si>
  <si>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</si>
  <si>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</si>
  <si>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</si>
  <si>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</si>
  <si>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</si>
  <si>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</si>
  <si>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</si>
  <si>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</si>
  <si>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</si>
  <si>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</si>
  <si>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</si>
  <si>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</si>
  <si>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</si>
  <si>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</si>
  <si>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</si>
  <si>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</si>
  <si>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</si>
  <si>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</si>
  <si>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</si>
  <si>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</si>
  <si>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</si>
  <si>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</si>
  <si>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</si>
  <si>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</si>
  <si>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</si>
  <si>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</si>
  <si>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</si>
  <si>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</si>
  <si>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</si>
  <si>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</si>
  <si>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</si>
  <si>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</si>
  <si>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</si>
  <si>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</si>
  <si>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Net Income</t>
  </si>
  <si>
    <t>INTEROFFICE KAP(A) A/C</t>
  </si>
  <si>
    <t>A.I.R ON STATE GOV'T OR AGENCY SECURITIES</t>
  </si>
  <si>
    <t>계수 부호 변경 및 Liability 항목</t>
    <phoneticPr fontId="10" type="noConversion"/>
  </si>
  <si>
    <t>계수 부호 변경 및 Asset 항목</t>
    <phoneticPr fontId="10" type="noConversion"/>
  </si>
  <si>
    <t>---Reserve for Unused Commitment</t>
  </si>
  <si>
    <t>SYN-Working Capital Loan - Domestic</t>
  </si>
  <si>
    <t>APA INFRASTRUCTURE LIMITED</t>
  </si>
  <si>
    <t>6115904000139</t>
  </si>
  <si>
    <t>6115904000107</t>
  </si>
  <si>
    <t>6115904000114</t>
  </si>
  <si>
    <t>6115904000146</t>
  </si>
  <si>
    <t>6115904000153</t>
  </si>
  <si>
    <t>6115904000160</t>
  </si>
  <si>
    <t>6115904000178</t>
  </si>
  <si>
    <t>OL5904230000012</t>
  </si>
  <si>
    <t>OL5904230000013</t>
  </si>
  <si>
    <t>OL5904230000014</t>
  </si>
  <si>
    <t>OL5904230000015</t>
  </si>
  <si>
    <t>OL5904230000017</t>
  </si>
  <si>
    <t>OL5904230000018</t>
  </si>
  <si>
    <t>OL5904230000019</t>
  </si>
  <si>
    <t>OL5904230000020</t>
  </si>
  <si>
    <t>OL5904230000021</t>
  </si>
  <si>
    <t>FA5904230000007</t>
  </si>
  <si>
    <t>FA5904230000008</t>
  </si>
  <si>
    <t>FA5904230000009</t>
  </si>
  <si>
    <t>FA5904230000010</t>
  </si>
  <si>
    <t>FA5904230000012</t>
  </si>
  <si>
    <t>FA5904230000011</t>
  </si>
  <si>
    <t>NCD - Domestic</t>
  </si>
  <si>
    <t>A.I.P ON CERTIFICATE OF DEPOSITS - NCD</t>
  </si>
  <si>
    <t>DA5904230000002</t>
  </si>
  <si>
    <t>DA5904230000003</t>
  </si>
  <si>
    <t>Reserve for Unused Commitment</t>
  </si>
  <si>
    <t>OT5904230000152</t>
  </si>
  <si>
    <t>[2393700000000]미지급금</t>
    <phoneticPr fontId="10" type="noConversion"/>
  </si>
  <si>
    <t>Call Loan within 3M - Domestic</t>
  </si>
  <si>
    <t>6115904000185</t>
  </si>
  <si>
    <t>6115904000192</t>
  </si>
  <si>
    <t>6115904000210</t>
  </si>
  <si>
    <t>6115904000228</t>
  </si>
  <si>
    <t>6115904000235</t>
  </si>
  <si>
    <t>6115904000242</t>
  </si>
  <si>
    <t>OL5904240000001</t>
  </si>
  <si>
    <t>OL5904240000002</t>
  </si>
  <si>
    <t>OL5904240000005</t>
  </si>
  <si>
    <t>OL5904240000006</t>
  </si>
  <si>
    <t>OL5904240000008</t>
  </si>
  <si>
    <t>OL5904240000009</t>
  </si>
  <si>
    <t>Allowance for Lending</t>
  </si>
  <si>
    <t>A.I.R ON CALL LOAN</t>
  </si>
  <si>
    <t>A.I.P ON INTER OFFICE ACCOUNT</t>
  </si>
  <si>
    <t>Inter-Office Account EUL-Borrowing</t>
  </si>
  <si>
    <t>FB5904240000001</t>
  </si>
  <si>
    <t>TREASURY CORPORATION OF VICTORIA</t>
  </si>
  <si>
    <t>6115904000300</t>
  </si>
  <si>
    <t>ORIGIN ENERGY LIMITED</t>
  </si>
  <si>
    <t>6115904000250</t>
  </si>
  <si>
    <t>6115904000267</t>
  </si>
  <si>
    <t>6115904000274</t>
  </si>
  <si>
    <t>6115904000281</t>
  </si>
  <si>
    <t>6115904000317</t>
  </si>
  <si>
    <t>6115904000324</t>
  </si>
  <si>
    <t>OL5904240000010</t>
  </si>
  <si>
    <t>OL5904240000011</t>
  </si>
  <si>
    <t>OL5904240000013</t>
  </si>
  <si>
    <t>OL5904240000014</t>
  </si>
  <si>
    <t>OL5904240000016</t>
  </si>
  <si>
    <t>OL5904240000017</t>
  </si>
  <si>
    <t>OL5904240000018</t>
  </si>
  <si>
    <t>FA5904240000005</t>
  </si>
  <si>
    <t>KORES NARRABRI PTY LIMITED</t>
  </si>
  <si>
    <t>DA5904240000004</t>
  </si>
  <si>
    <t>FB5904240000003</t>
  </si>
  <si>
    <t>WESTERN AUSTRALIAN TREASURY CORPORATION</t>
  </si>
  <si>
    <t>6115904000395</t>
  </si>
  <si>
    <t>MACQUARIE GROUP LIMITED</t>
  </si>
  <si>
    <t>6115904000331</t>
  </si>
  <si>
    <t>6115904000349</t>
  </si>
  <si>
    <t>6115904000356</t>
  </si>
  <si>
    <t>6115904000363</t>
  </si>
  <si>
    <t>6115904000370</t>
  </si>
  <si>
    <t>6115904000388</t>
  </si>
  <si>
    <t>OL5904240000020</t>
  </si>
  <si>
    <t>OL5904240000021</t>
  </si>
  <si>
    <t>OL5904240000022</t>
  </si>
  <si>
    <t>OL5904240000023</t>
  </si>
  <si>
    <t>OL5904240000024</t>
  </si>
  <si>
    <t>OL5904240000025</t>
  </si>
  <si>
    <t>OL5904240000026</t>
  </si>
  <si>
    <t>DA5904240000005</t>
  </si>
  <si>
    <t>DA5904240000006</t>
  </si>
  <si>
    <t>Allowance for NCD</t>
  </si>
  <si>
    <t>Foreign GovT &amp; Official Institution - FVOCI</t>
  </si>
  <si>
    <t>FB5904240000005</t>
  </si>
  <si>
    <t>THE EXPORT-IMPORT BANK OF KOREA</t>
  </si>
  <si>
    <t>6115904000452</t>
  </si>
  <si>
    <t>NEXTDC LIMITED</t>
  </si>
  <si>
    <t>6115904000420</t>
  </si>
  <si>
    <t>6115904000438</t>
  </si>
  <si>
    <t>6115904000445</t>
  </si>
  <si>
    <t>6115904000460</t>
  </si>
  <si>
    <t>6115904000477</t>
  </si>
  <si>
    <t>OL5904240000035</t>
  </si>
  <si>
    <t>OL5904240000036</t>
  </si>
  <si>
    <t>OL5904240000037</t>
  </si>
  <si>
    <t>OL5904240000040</t>
  </si>
  <si>
    <t>OL5904240000041</t>
  </si>
  <si>
    <t>OL5904240000042</t>
  </si>
  <si>
    <t>Allowance for Call Loan</t>
  </si>
  <si>
    <t>A.I.R ON FOREIGN GOV'T &amp; OFFICIAL INSTIT'S SECURITIES</t>
  </si>
  <si>
    <t>DA5904240000009</t>
  </si>
  <si>
    <t>Unearned Income ON SYNDICATED LOANS</t>
    <phoneticPr fontId="10" type="noConversion"/>
  </si>
  <si>
    <t>FB5904250000002</t>
  </si>
  <si>
    <t>6115904000484</t>
  </si>
  <si>
    <t>6115904000491</t>
  </si>
  <si>
    <t>6115904000502</t>
  </si>
  <si>
    <t>6115904000510</t>
  </si>
  <si>
    <t>6115904000527</t>
  </si>
  <si>
    <t>6115904000534</t>
  </si>
  <si>
    <t>OL5904250000001</t>
  </si>
  <si>
    <t>OL5904250000002</t>
  </si>
  <si>
    <t>OL5904250000003</t>
  </si>
  <si>
    <t>OL5904250000004</t>
  </si>
  <si>
    <t>OL5904250000007</t>
  </si>
  <si>
    <t>OL5904250000008</t>
  </si>
  <si>
    <t>FA5904250000005</t>
  </si>
  <si>
    <t>FA5904250000006</t>
  </si>
  <si>
    <t>FA5904250000007</t>
  </si>
  <si>
    <t>FA5904250000009</t>
  </si>
  <si>
    <t>FA5904250000010</t>
  </si>
  <si>
    <t>FA5904250000003</t>
  </si>
  <si>
    <t>CURRENT YEAR PROFIT</t>
  </si>
  <si>
    <t>FB5904250000003</t>
  </si>
  <si>
    <t>TASMANIAN PUBLIC FINANCE CORPORATION</t>
  </si>
  <si>
    <t>FB5904250000004</t>
  </si>
  <si>
    <t>6115904000573</t>
  </si>
  <si>
    <t>QANTAS AIRWAYS LIMITED</t>
  </si>
  <si>
    <t>6115904000609</t>
  </si>
  <si>
    <t>DOWNER GROUP FINANCE PTY LIMITED</t>
  </si>
  <si>
    <t>6115904000623</t>
  </si>
  <si>
    <t>6115904000541</t>
  </si>
  <si>
    <t>6115904000559</t>
  </si>
  <si>
    <t>6115904000566</t>
  </si>
  <si>
    <t>6115904000580</t>
  </si>
  <si>
    <t>6115904000598</t>
  </si>
  <si>
    <t>6115904000616</t>
  </si>
  <si>
    <t>OL5904250000009</t>
  </si>
  <si>
    <t>OL5904250000010</t>
  </si>
  <si>
    <t>OL5904250000011</t>
  </si>
  <si>
    <t>OL5904250000012</t>
  </si>
  <si>
    <t>OL5904250000013</t>
  </si>
  <si>
    <t>OL5904250000018</t>
  </si>
  <si>
    <t>OL5904250000019</t>
  </si>
  <si>
    <t>OL5904250000020</t>
  </si>
  <si>
    <t>OL5904250000021</t>
  </si>
  <si>
    <t>FA5904250000011</t>
  </si>
  <si>
    <t>6025904000107</t>
  </si>
  <si>
    <t>POSCO AUSTRALIA PTY LTD</t>
  </si>
  <si>
    <t>QUEENSLAND COUNTRY BANK LIMITED</t>
  </si>
  <si>
    <t>DA5904250000005</t>
  </si>
  <si>
    <t>DA5904250000006</t>
  </si>
  <si>
    <t>DA5904250000003</t>
  </si>
  <si>
    <t>DA5904250000004</t>
  </si>
  <si>
    <t>Assets</t>
    <phoneticPr fontId="10" type="noConversion"/>
  </si>
  <si>
    <t>Means financing that enables access to an asset in exchange for periodic payments.</t>
  </si>
  <si>
    <t>Australian Government Securities</t>
  </si>
  <si>
    <t>Has the meaning given in ARS 701.0.</t>
  </si>
  <si>
    <t>Australian State Government or Territory Central Borrowing Authorities Securities</t>
  </si>
  <si>
    <r>
      <t xml:space="preserve">Has the meaning given in ARS 701.0 for </t>
    </r>
    <r>
      <rPr>
        <b/>
        <i/>
        <sz val="12"/>
        <color indexed="8"/>
        <rFont val="Times New Roman"/>
        <family val="1"/>
      </rPr>
      <t>semi-government securities</t>
    </r>
    <r>
      <rPr>
        <sz val="12"/>
        <color indexed="8"/>
        <rFont val="Times New Roman"/>
        <family val="1"/>
      </rPr>
      <t>.</t>
    </r>
  </si>
  <si>
    <t>Contractual and Expected Cash flow</t>
    <phoneticPr fontId="10" type="noConversion"/>
  </si>
  <si>
    <t xml:space="preserve">Bank and Financial Institution Securities </t>
  </si>
  <si>
    <r>
      <t>Means all securities issued by banks and other</t>
    </r>
    <r>
      <rPr>
        <b/>
        <i/>
        <sz val="12"/>
        <color indexed="8"/>
        <rFont val="Times New Roman"/>
        <family val="1"/>
      </rPr>
      <t xml:space="preserve"> financial institutions</t>
    </r>
    <r>
      <rPr>
        <sz val="12"/>
        <color indexed="8"/>
        <rFont val="Times New Roman"/>
        <family val="1"/>
      </rPr>
      <t>.</t>
    </r>
  </si>
  <si>
    <t>Business Loans - Fixed Rate</t>
  </si>
  <si>
    <t>Refers to business loans, where the interest rate is fixed for some part of the original term, at the end of the fixed interest rate period the contract may provide for transition to a variable interest rate or for a new interest rate to be negotiated.</t>
  </si>
  <si>
    <t>Business Loans - Variable Rate</t>
  </si>
  <si>
    <t>Refers to business loans, where fluctuations in interest rates generally occur at the discretion of the lender and/or in response to movements in some other interest rate or other variable specified in the contract. These fluctuations in interest rates may result in changes to required payments or length of the agreement.</t>
  </si>
  <si>
    <t xml:space="preserve">Corporate Securities </t>
  </si>
  <si>
    <r>
      <t xml:space="preserve">Means all securities issued by corporations other than banks and other </t>
    </r>
    <r>
      <rPr>
        <b/>
        <i/>
        <sz val="12"/>
        <color rgb="FF000000"/>
        <rFont val="Times New Roman"/>
        <family val="1"/>
      </rPr>
      <t>financial institutions</t>
    </r>
    <r>
      <rPr>
        <sz val="12"/>
        <color rgb="FF000000"/>
        <rFont val="Times New Roman"/>
        <family val="1"/>
      </rPr>
      <t>.</t>
    </r>
  </si>
  <si>
    <t>Credit Cards</t>
  </si>
  <si>
    <t>Debt securities</t>
  </si>
  <si>
    <t>Home Loans - Fixed Rate</t>
  </si>
  <si>
    <r>
      <t xml:space="preserve">Refers to residential property exposures as defined in </t>
    </r>
    <r>
      <rPr>
        <i/>
        <sz val="12"/>
        <color rgb="FF000000"/>
        <rFont val="Times New Roman"/>
        <family val="1"/>
      </rPr>
      <t>Prudential Standard APS 112 Capital Adequacy: Standardised Approach to Credit Risk</t>
    </r>
    <r>
      <rPr>
        <sz val="12"/>
        <color rgb="FF000000"/>
        <rFont val="Times New Roman"/>
        <family val="1"/>
      </rPr>
      <t xml:space="preserve"> (APS 112), where the interest rate is fixed for some part of the original term, at the end of the fixed interest rate period the contract may provide for transition to a variable interest rate or for a new interest rate to be negotiated.</t>
    </r>
  </si>
  <si>
    <t>Home Loans - Variable Rate</t>
  </si>
  <si>
    <t>Refers to residential property exposures as defined in APS 112, where fluctuations in interest rates generally occur at the discretion of the lender and/or in response to movements in some other interest rate or other variable specified in the contract. These fluctuations in interest rates may result in changes to required payments or length of the agreement.</t>
  </si>
  <si>
    <t>Inter-company Loans</t>
  </si>
  <si>
    <t>Means the amounts receivable resulting from related party transactions.</t>
  </si>
  <si>
    <t>Money Market Securities</t>
  </si>
  <si>
    <t>Means short term money market instruments such as certificates of deposits, non-negotiable certificates of deposits, bank bills, commercial paper and reverse repurchase agreements.</t>
  </si>
  <si>
    <t>Mortgage and Asset Backed Securities</t>
    <phoneticPr fontId="10" type="noConversion"/>
  </si>
  <si>
    <r>
      <t xml:space="preserve">Includes </t>
    </r>
    <r>
      <rPr>
        <b/>
        <i/>
        <sz val="12"/>
        <color rgb="FF000000"/>
        <rFont val="Times New Roman"/>
        <family val="1"/>
      </rPr>
      <t>debt securities</t>
    </r>
    <r>
      <rPr>
        <sz val="12"/>
        <color rgb="FF000000"/>
        <rFont val="Times New Roman"/>
        <family val="1"/>
      </rPr>
      <t xml:space="preserve"> that are backed by cash flows from residential mortgages and from </t>
    </r>
    <r>
      <rPr>
        <sz val="12"/>
        <color indexed="8"/>
        <rFont val="Times New Roman"/>
        <family val="1"/>
      </rPr>
      <t>assets other than residential mortgages</t>
    </r>
    <r>
      <rPr>
        <sz val="12"/>
        <color rgb="FF000000"/>
        <rFont val="Times New Roman"/>
        <family val="1"/>
      </rPr>
      <t>.
For Asset-backed securities, in the event of bankruptcy, the investor has recourse only to the collateral and not the originator or servicer of the loans or finance leases.</t>
    </r>
    <phoneticPr fontId="10" type="noConversion"/>
  </si>
  <si>
    <t>Notes and coins, Deposits with Central Banks and Cash Equivalents</t>
  </si>
  <si>
    <r>
      <t xml:space="preserve">Includes:
</t>
    </r>
    <r>
      <rPr>
        <sz val="12"/>
        <color indexed="8"/>
        <rFont val="HyhwpEQ"/>
        <family val="1"/>
        <charset val="129"/>
      </rPr>
      <t>∙</t>
    </r>
    <r>
      <rPr>
        <sz val="12"/>
        <color indexed="8"/>
        <rFont val="Times New Roman"/>
        <family val="1"/>
      </rPr>
      <t xml:space="preserve">holdings of Australian and foreign physical currencies and cash on hand;
</t>
    </r>
    <r>
      <rPr>
        <sz val="12"/>
        <color indexed="8"/>
        <rFont val="HyhwpEQ"/>
        <family val="1"/>
        <charset val="129"/>
      </rPr>
      <t>∙</t>
    </r>
    <r>
      <rPr>
        <sz val="12"/>
        <color indexed="8"/>
        <rFont val="Times New Roman"/>
        <family val="1"/>
      </rPr>
      <t xml:space="preserve">funds deposited into Exchange Settlement Accounts of central banks; and
</t>
    </r>
    <r>
      <rPr>
        <sz val="12"/>
        <color indexed="8"/>
        <rFont val="HyhwpEQ"/>
        <family val="1"/>
        <charset val="129"/>
      </rPr>
      <t>∙</t>
    </r>
    <r>
      <rPr>
        <sz val="12"/>
        <color indexed="8"/>
        <rFont val="Times New Roman"/>
        <family val="1"/>
      </rPr>
      <t xml:space="preserve"> highly liquid assets that are readily convertible to known amounts of cash, which are subject to an insignificant risk of changes in value and have an overnight repricing profile. This excludes items listed in Money Market Securities.</t>
    </r>
    <phoneticPr fontId="10" type="noConversion"/>
  </si>
  <si>
    <t>Other assets</t>
  </si>
  <si>
    <r>
      <t xml:space="preserve">Refers to all </t>
    </r>
    <r>
      <rPr>
        <sz val="12"/>
        <color indexed="8"/>
        <rFont val="Times New Roman"/>
        <family val="1"/>
      </rPr>
      <t xml:space="preserve">other assets that are not reported under any other repricing item, including </t>
    </r>
    <r>
      <rPr>
        <sz val="12"/>
        <color rgb="FF000000"/>
        <rFont val="Times New Roman"/>
        <family val="1"/>
      </rPr>
      <t xml:space="preserve">non-interest earning assets that are not </t>
    </r>
    <r>
      <rPr>
        <sz val="12"/>
        <color indexed="8"/>
        <rFont val="Times New Roman"/>
        <family val="1"/>
      </rPr>
      <t xml:space="preserve">already </t>
    </r>
    <r>
      <rPr>
        <sz val="12"/>
        <color rgb="FF000000"/>
        <rFont val="Times New Roman"/>
        <family val="1"/>
      </rPr>
      <t xml:space="preserve">separately reported.
This includes but is not limited to:
</t>
    </r>
    <r>
      <rPr>
        <sz val="12"/>
        <color rgb="FF000000"/>
        <rFont val="HyhwpEQ"/>
        <family val="1"/>
        <charset val="129"/>
      </rPr>
      <t>∙</t>
    </r>
    <r>
      <rPr>
        <sz val="12"/>
        <color rgb="FF000000"/>
        <rFont val="Times New Roman"/>
        <family val="1"/>
      </rPr>
      <t xml:space="preserve">Property, plant and equipment;
</t>
    </r>
    <r>
      <rPr>
        <sz val="12"/>
        <color rgb="FF000000"/>
        <rFont val="HyhwpEQ"/>
        <family val="1"/>
        <charset val="129"/>
      </rPr>
      <t>∙</t>
    </r>
    <r>
      <rPr>
        <sz val="12"/>
        <color rgb="FF000000"/>
        <rFont val="Times New Roman"/>
        <family val="1"/>
      </rPr>
      <t xml:space="preserve">Investments in associates and joint ventures; and
</t>
    </r>
    <r>
      <rPr>
        <sz val="12"/>
        <color rgb="FF000000"/>
        <rFont val="HyhwpEQ"/>
        <family val="1"/>
        <charset val="129"/>
      </rPr>
      <t>∙</t>
    </r>
    <r>
      <rPr>
        <sz val="12"/>
        <color rgb="FF000000"/>
        <rFont val="Times New Roman"/>
        <family val="1"/>
      </rPr>
      <t>Goodwill and intangible assets</t>
    </r>
    <phoneticPr fontId="10" type="noConversion"/>
  </si>
  <si>
    <t>Other Loans and Advances</t>
  </si>
  <si>
    <t>Refers to any loans or advances provided which are not reported under any other repricing item.</t>
  </si>
  <si>
    <t>Personal Loans</t>
  </si>
  <si>
    <t>Means loans to households excluding home loans and credit cards.</t>
  </si>
  <si>
    <t>Securities issued by foreign sovereigns</t>
  </si>
  <si>
    <t>Liabilities</t>
    <phoneticPr fontId="10" type="noConversion"/>
  </si>
  <si>
    <t>Additional Tier 1 capital items</t>
  </si>
  <si>
    <r>
      <t xml:space="preserve">Has the meaning given in </t>
    </r>
    <r>
      <rPr>
        <i/>
        <sz val="12"/>
        <color rgb="FF000000"/>
        <rFont val="Times New Roman"/>
        <family val="1"/>
      </rPr>
      <t>Prudential Standard APS 111 Capital Adequacy: Measurement of Capital</t>
    </r>
    <r>
      <rPr>
        <sz val="12"/>
        <color rgb="FF000000"/>
        <rFont val="Times New Roman"/>
        <family val="1"/>
      </rPr>
      <t xml:space="preserve"> (APS 111)</t>
    </r>
    <r>
      <rPr>
        <sz val="12"/>
        <color indexed="8"/>
        <rFont val="Times New Roman"/>
        <family val="1"/>
      </rPr>
      <t>.</t>
    </r>
  </si>
  <si>
    <t>Bond issuance</t>
  </si>
  <si>
    <r>
      <t xml:space="preserve">Includes both domestic and offshore bond issuance such as medium-term notes and covered bonds. Excludes any </t>
    </r>
    <r>
      <rPr>
        <b/>
        <i/>
        <sz val="12"/>
        <color indexed="8"/>
        <rFont val="Times New Roman"/>
        <family val="1"/>
      </rPr>
      <t>securitisation</t>
    </r>
    <r>
      <rPr>
        <sz val="12"/>
        <color indexed="8"/>
        <rFont val="Times New Roman"/>
        <family val="1"/>
      </rPr>
      <t xml:space="preserve"> issued.</t>
    </r>
  </si>
  <si>
    <t>Deposits - Inter-company</t>
  </si>
  <si>
    <t>Refers to deposits by related entities e.g. parent company, subsidiary or branch.</t>
  </si>
  <si>
    <t>Deposits - Savings Accounts</t>
  </si>
  <si>
    <r>
      <t xml:space="preserve">Means deposits where the product is designed for the retail and commercial markets other than </t>
    </r>
    <r>
      <rPr>
        <b/>
        <i/>
        <sz val="12"/>
        <color indexed="8"/>
        <rFont val="Times New Roman"/>
        <family val="1"/>
      </rPr>
      <t>Deposits - Transaction Accounts</t>
    </r>
    <r>
      <rPr>
        <sz val="12"/>
        <color indexed="8"/>
        <rFont val="Times New Roman"/>
        <family val="1"/>
      </rPr>
      <t xml:space="preserve"> or </t>
    </r>
    <r>
      <rPr>
        <b/>
        <i/>
        <sz val="12"/>
        <color indexed="8"/>
        <rFont val="Times New Roman"/>
        <family val="1"/>
      </rPr>
      <t>Deposits - Term Deposits</t>
    </r>
    <r>
      <rPr>
        <sz val="12"/>
        <color indexed="8"/>
        <rFont val="Times New Roman"/>
        <family val="1"/>
      </rPr>
      <t xml:space="preserve">. These deposits have limited access (e.g. only a limited number or value of withdrawals may be made from the account in a given period), incur penalties or fees (e.g. the loss of bonus interest, withdrawal fees), or have other restrictions on use of funds for payment or withdrawal. Interest rates on Saving Accounts typically move in line with the prevalent market rates. </t>
    </r>
    <phoneticPr fontId="10" type="noConversion"/>
  </si>
  <si>
    <t>Deposits - Term Deposits</t>
  </si>
  <si>
    <r>
      <t xml:space="preserve">Means deposits where the product is designed for the retail and commercial markets in which money has been placed for a fixed period for a stated interest rate.
It includes:
</t>
    </r>
    <r>
      <rPr>
        <sz val="12"/>
        <color indexed="8"/>
        <rFont val="HyhwpEQ"/>
        <family val="1"/>
        <charset val="129"/>
      </rPr>
      <t>∙</t>
    </r>
    <r>
      <rPr>
        <sz val="12"/>
        <color indexed="8"/>
        <rFont val="Times New Roman"/>
        <family val="1"/>
      </rPr>
      <t xml:space="preserve">term deposits; and
</t>
    </r>
    <r>
      <rPr>
        <sz val="12"/>
        <color indexed="8"/>
        <rFont val="HyhwpEQ"/>
        <family val="1"/>
        <charset val="129"/>
      </rPr>
      <t>∙</t>
    </r>
    <r>
      <rPr>
        <sz val="12"/>
        <color indexed="8"/>
        <rFont val="Times New Roman"/>
        <family val="1"/>
      </rPr>
      <t xml:space="preserve">fixed-term deposits with a notice of withdrawal requirement. 
It excludes: 
</t>
    </r>
    <r>
      <rPr>
        <sz val="12"/>
        <color indexed="8"/>
        <rFont val="HyhwpEQ"/>
        <family val="1"/>
        <charset val="129"/>
      </rPr>
      <t>∙</t>
    </r>
    <r>
      <rPr>
        <sz val="12"/>
        <color indexed="8"/>
        <rFont val="Times New Roman"/>
        <family val="1"/>
      </rPr>
      <t xml:space="preserve">non-transaction deposits that do not have a fixed term; and
</t>
    </r>
    <r>
      <rPr>
        <sz val="12"/>
        <color indexed="8"/>
        <rFont val="HyhwpEQ"/>
        <family val="1"/>
        <charset val="129"/>
      </rPr>
      <t>∙</t>
    </r>
    <r>
      <rPr>
        <sz val="12"/>
        <color indexed="8"/>
        <rFont val="Times New Roman"/>
        <family val="1"/>
      </rPr>
      <t>certificate of deposits.</t>
    </r>
    <phoneticPr fontId="10" type="noConversion"/>
  </si>
  <si>
    <t>Deposits - Transaction Accounts</t>
  </si>
  <si>
    <r>
      <t xml:space="preserve">Means deposits where the product is designed for the retail and commercial market, where the meaning given in ARS 701.0 for </t>
    </r>
    <r>
      <rPr>
        <b/>
        <i/>
        <sz val="12"/>
        <color indexed="8"/>
        <rFont val="Times New Roman"/>
        <family val="1"/>
      </rPr>
      <t>transaction deposits</t>
    </r>
    <r>
      <rPr>
        <sz val="12"/>
        <color indexed="8"/>
        <rFont val="Times New Roman"/>
        <family val="1"/>
      </rPr>
      <t>.</t>
    </r>
  </si>
  <si>
    <t>Other borrowings</t>
  </si>
  <si>
    <t>Refers to all other borrowings that are not reported under any other repricing item.</t>
  </si>
  <si>
    <t>Other deposits</t>
  </si>
  <si>
    <t>Refers to all other deposits that are not reported under any other repricing item.</t>
  </si>
  <si>
    <t>Other liabilities</t>
  </si>
  <si>
    <r>
      <t xml:space="preserve">Refers to all other liabilities that are not reported under any other repricing item. Includes non-interest earning liabilities that are not separately reported.  This includes but is not limited to:
</t>
    </r>
    <r>
      <rPr>
        <sz val="12"/>
        <color indexed="8"/>
        <rFont val="HyhwpEQ"/>
        <family val="1"/>
        <charset val="129"/>
      </rPr>
      <t>∙</t>
    </r>
    <r>
      <rPr>
        <sz val="12"/>
        <color indexed="8"/>
        <rFont val="Times New Roman"/>
        <family val="1"/>
      </rPr>
      <t xml:space="preserve">Provisions; 
</t>
    </r>
    <r>
      <rPr>
        <sz val="12"/>
        <color indexed="8"/>
        <rFont val="HyhwpEQ"/>
        <family val="1"/>
        <charset val="129"/>
      </rPr>
      <t>∙</t>
    </r>
    <r>
      <rPr>
        <sz val="12"/>
        <color indexed="8"/>
        <rFont val="Times New Roman"/>
        <family val="1"/>
      </rPr>
      <t xml:space="preserve">Collateral posted;
</t>
    </r>
    <r>
      <rPr>
        <sz val="12"/>
        <color indexed="8"/>
        <rFont val="HyhwpEQ"/>
        <family val="1"/>
        <charset val="129"/>
      </rPr>
      <t>∙</t>
    </r>
    <r>
      <rPr>
        <sz val="12"/>
        <color indexed="8"/>
        <rFont val="Times New Roman"/>
        <family val="1"/>
      </rPr>
      <t xml:space="preserve">Other accounts payable; and 
</t>
    </r>
    <r>
      <rPr>
        <sz val="12"/>
        <color indexed="8"/>
        <rFont val="HyhwpEQ"/>
        <family val="1"/>
        <charset val="129"/>
      </rPr>
      <t>∙</t>
    </r>
    <r>
      <rPr>
        <sz val="12"/>
        <color indexed="8"/>
        <rFont val="Times New Roman"/>
        <family val="1"/>
      </rPr>
      <t>Tax liabilities.</t>
    </r>
    <phoneticPr fontId="10" type="noConversion"/>
  </si>
  <si>
    <t>Securitisation</t>
  </si>
  <si>
    <t>Tier 2 capital items</t>
  </si>
  <si>
    <r>
      <t>Has the meaning given in</t>
    </r>
    <r>
      <rPr>
        <sz val="12"/>
        <color rgb="FF000000"/>
        <rFont val="Times New Roman"/>
        <family val="1"/>
      </rPr>
      <t xml:space="preserve"> APS 111.</t>
    </r>
  </si>
  <si>
    <t>Wholesale short term funding</t>
  </si>
  <si>
    <t>Report any issuance of certificate of deposits, negotiable certificates of deposit, commercial paper and repurchase agreements.</t>
  </si>
  <si>
    <t>Derivatives and Other commitments</t>
    <phoneticPr fontId="10" type="noConversion"/>
  </si>
  <si>
    <t>Foreign Exchange-linked Derivatives</t>
  </si>
  <si>
    <t>Refers to each leg against the currency applicable to that leg.</t>
  </si>
  <si>
    <t>Interest rate - futures and FRAs</t>
  </si>
  <si>
    <t>Refers to the cash flows of the underlying physical instrument for futures and Forward Rate Agreements (FRAs).</t>
  </si>
  <si>
    <t>Interest rate - options</t>
  </si>
  <si>
    <t>Refers to the delta-equivalent amounts of the underlying or notional underlying instrument.</t>
  </si>
  <si>
    <t>Interest rate - swaps (pay fixed)</t>
  </si>
  <si>
    <t>Refers to interest rate swaps with pay-fixed and receive-floating legs.</t>
  </si>
  <si>
    <t>Interest rate - swaps (receive fixed)</t>
  </si>
  <si>
    <t>Refers to interest rate swaps with receive-fixed and pay-floating legs.</t>
  </si>
  <si>
    <t>Interest rate - swaps (basis swaps)</t>
  </si>
  <si>
    <t>Refers to interest rate swaps with two floating rate legs.</t>
  </si>
  <si>
    <t>Other Derivatives</t>
  </si>
  <si>
    <t>Refers to all other derivatives that are not reported under any other repricing item.</t>
  </si>
  <si>
    <t>Other Commitments (timing is known)</t>
  </si>
  <si>
    <t>Refers to undrawn (off-balance sheet) lending commitments, where timing of the interest rate repricing is known. This represents the maximum unused portion of the commitment that could be drawn during the remaining period to maturity. Any drawn portion of a commitment forms part of an entity's on-balance sheet exposure and is not to be reported at this item. For the purposes of this item, commitments where no interest rate has been locked in should not be reported. Commitments are generally considered to have arisen once the reporting party makes a firm offer to a client (i.e. customer acceptance is not required). Therefore, a commitment will arise once a letter of offer is provided to the client by the reporting party.</t>
    <phoneticPr fontId="10" type="noConversion"/>
  </si>
  <si>
    <t>Weighting factors (%) used in calculation of interest rate sensitivities in Table 3</t>
    <phoneticPr fontId="10" type="noConversion"/>
  </si>
  <si>
    <t>Tenor</t>
  </si>
  <si>
    <t>Parallel shock up</t>
  </si>
  <si>
    <t>Parallel shock down</t>
  </si>
  <si>
    <t xml:space="preserve">Steepener shock </t>
    <phoneticPr fontId="10" type="noConversion"/>
  </si>
  <si>
    <t>Flattener shock</t>
    <phoneticPr fontId="10" type="noConversion"/>
  </si>
  <si>
    <t>Short rate shock up</t>
  </si>
  <si>
    <t>Short rate shock down</t>
    <phoneticPr fontId="10" type="noConversion"/>
  </si>
  <si>
    <t>Overnight (O/N)</t>
  </si>
  <si>
    <t>0 to &lt;1 month (excluding O/N)</t>
  </si>
  <si>
    <t>1 to &lt; 2 months</t>
  </si>
  <si>
    <t>2 to &lt; 3 months</t>
  </si>
  <si>
    <t>3 to &lt; 6 months</t>
  </si>
  <si>
    <t>6 to &lt; 9 months</t>
  </si>
  <si>
    <t>9 to &lt; 12 months</t>
  </si>
  <si>
    <t>1 to &lt; 2 years</t>
  </si>
  <si>
    <t>2 to &lt; 3 years</t>
  </si>
  <si>
    <t>3 to &lt; 4 years</t>
  </si>
  <si>
    <t>4 to &lt; 5 years</t>
  </si>
  <si>
    <t>5 to &lt; 7 years</t>
  </si>
  <si>
    <t>7 to &lt; 10 years</t>
  </si>
  <si>
    <t>10 to &lt; 15 years</t>
  </si>
  <si>
    <t>15 to &lt; 20 years</t>
  </si>
  <si>
    <t>20+ years</t>
  </si>
  <si>
    <t>Non-interest rate sensitive</t>
  </si>
  <si>
    <t>Asset and Lease Financing</t>
    <phoneticPr fontId="10" type="noConversion"/>
  </si>
  <si>
    <t>Means all securities issued by overseas central, state, and regional governments.</t>
    <phoneticPr fontId="10" type="noConversion"/>
  </si>
  <si>
    <t xml:space="preserve"> </t>
    <phoneticPr fontId="10" type="noConversion"/>
  </si>
  <si>
    <t>Principal</t>
    <phoneticPr fontId="13" type="noConversion"/>
  </si>
  <si>
    <t>Interest</t>
    <phoneticPr fontId="13" type="noConversion"/>
  </si>
  <si>
    <t>Currency</t>
    <phoneticPr fontId="10" type="noConversion"/>
  </si>
  <si>
    <t>Reporting item</t>
    <phoneticPr fontId="10" type="noConversion"/>
  </si>
  <si>
    <t>Tenor</t>
    <phoneticPr fontId="10" type="noConversion"/>
  </si>
  <si>
    <t>Cash flow type</t>
    <phoneticPr fontId="10" type="noConversion"/>
  </si>
  <si>
    <t>Value</t>
    <phoneticPr fontId="10" type="noConversion"/>
  </si>
  <si>
    <t>Non-SFIs are required to complete the principal repricing cash flows only (interest only cash flow is optional for Non-SFIs).</t>
    <phoneticPr fontId="10" type="noConversion"/>
  </si>
  <si>
    <r>
      <t xml:space="preserve">The repricing analysis is to be completed for the contractual repricing profile (Table 1) and the expected repricing profile (Table 2) of banking book items. </t>
    </r>
    <r>
      <rPr>
        <b/>
        <sz val="11"/>
        <color indexed="8"/>
        <rFont val="맑은 고딕"/>
        <family val="3"/>
        <charset val="129"/>
        <scheme val="minor"/>
      </rPr>
      <t>For Table 2, the expected repricing profile of assets and liabilities should consider expected loan prepayment / amortisation rates and deposit portfolio run-off, rather than contractual repricing where these are expected to be materially different.</t>
    </r>
    <r>
      <rPr>
        <sz val="11"/>
        <color indexed="8"/>
        <rFont val="맑은 고딕"/>
        <family val="2"/>
        <scheme val="minor"/>
      </rPr>
      <t xml:space="preserve"> </t>
    </r>
    <r>
      <rPr>
        <b/>
        <u/>
        <sz val="11"/>
        <color rgb="FFFF0000"/>
        <rFont val="맑은 고딕"/>
        <family val="3"/>
        <charset val="129"/>
        <scheme val="minor"/>
      </rPr>
      <t>An ADI is not required to submit any items in Table 2 if the ADI does not conduct behavioural modelling</t>
    </r>
    <r>
      <rPr>
        <b/>
        <sz val="11"/>
        <color rgb="FFFF0000"/>
        <rFont val="맑은 고딕"/>
        <family val="3"/>
        <charset val="129"/>
        <scheme val="minor"/>
      </rPr>
      <t>.</t>
    </r>
    <phoneticPr fontId="10" type="noConversion"/>
  </si>
  <si>
    <t>KRI</t>
  </si>
  <si>
    <t>Ratio (%)</t>
  </si>
  <si>
    <t>Trigger</t>
  </si>
  <si>
    <t>Reached ?
Y or N</t>
  </si>
  <si>
    <t>Limit</t>
  </si>
  <si>
    <t>Breached ?
Y or N</t>
  </si>
  <si>
    <t>Int. Rate VaR Ratio</t>
  </si>
  <si>
    <t>Int. Rate EaR Ratio</t>
  </si>
  <si>
    <t>EaR: impact period</t>
  </si>
  <si>
    <t>IRRBB_Worst Aggregated Reductions</t>
    <phoneticPr fontId="10" type="noConversion"/>
  </si>
  <si>
    <t>Short-term</t>
    <phoneticPr fontId="10" type="noConversion"/>
  </si>
  <si>
    <t>Medium-term</t>
    <phoneticPr fontId="10" type="noConversion"/>
  </si>
  <si>
    <t>Long-term</t>
    <phoneticPr fontId="10" type="noConversion"/>
  </si>
  <si>
    <t>Time bucket</t>
    <phoneticPr fontId="10" type="noConversion"/>
  </si>
  <si>
    <t>VaR(+-)</t>
  </si>
  <si>
    <t>EaR(+-)</t>
  </si>
  <si>
    <t>Info.(A$)</t>
    <phoneticPr fontId="10" type="noConversion"/>
  </si>
  <si>
    <t>Total Asset</t>
    <phoneticPr fontId="10" type="noConversion"/>
  </si>
  <si>
    <t>Weighting factors used in calculation of interest rate sensitivities in Table 3 (ARS 117.0)</t>
  </si>
  <si>
    <t>Parallel shock
Up
Int. R (%)</t>
  </si>
  <si>
    <t>Parallel shock Down
Int. R (%)</t>
  </si>
  <si>
    <t>Short rate shock Up
Int. R (%)</t>
  </si>
  <si>
    <t>Short rate shock Down
Int. R (%)</t>
  </si>
  <si>
    <t>Long rack shock
Up
Int. R (%)</t>
  </si>
  <si>
    <t>Long rack shock
Down
Int. R (%)</t>
  </si>
  <si>
    <t>APS117</t>
  </si>
  <si>
    <t>Shaping scalar
(Short rate shock)</t>
  </si>
  <si>
    <t>Shaping scalar
(Long rack shock)</t>
  </si>
  <si>
    <t>Mid (yrs)</t>
  </si>
  <si>
    <t>Duration 
(Base)</t>
  </si>
  <si>
    <t>Short rate shock down</t>
  </si>
  <si>
    <t>Steepener
shock</t>
  </si>
  <si>
    <t>Flattener
shock</t>
  </si>
  <si>
    <t>Stress Scenarios Applied as Rate Additions (%)</t>
  </si>
  <si>
    <t>Net position/gap</t>
    <phoneticPr fontId="10" type="noConversion"/>
  </si>
  <si>
    <t>Weighting factors used in calculation of interest rate sensitivities in Table 3 (ARS 117.0)</t>
    <phoneticPr fontId="10" type="noConversion"/>
  </si>
  <si>
    <r>
      <t xml:space="preserve">Weighting factors used in calculation of interest rate sensitivities </t>
    </r>
    <r>
      <rPr>
        <b/>
        <sz val="18"/>
        <color rgb="FFFF0000"/>
        <rFont val="맑은 고딕"/>
        <family val="2"/>
        <scheme val="minor"/>
      </rPr>
      <t>under Stress Scenarios</t>
    </r>
    <phoneticPr fontId="10" type="noConversion"/>
  </si>
  <si>
    <t xml:space="preserve"> Interest rate sensitivities Stress Test under Stress Scenarios</t>
    <phoneticPr fontId="10" type="noConversion"/>
  </si>
  <si>
    <t>Int. Rate KRI Calculation (The risk of economic value or loss in earnings caused by a change in the overall level of interest rates)</t>
    <phoneticPr fontId="10" type="noConversion"/>
  </si>
  <si>
    <r>
      <t>Int. Rate KRI Calculation (The risk of economic value or loss in earnings caused by a change in the overall level of interest rates under</t>
    </r>
    <r>
      <rPr>
        <b/>
        <u/>
        <sz val="12"/>
        <color rgb="FFFF0000"/>
        <rFont val="맑은 고딕"/>
        <family val="3"/>
        <charset val="129"/>
        <scheme val="minor"/>
      </rPr>
      <t xml:space="preserve"> Stress Test</t>
    </r>
    <r>
      <rPr>
        <b/>
        <u/>
        <sz val="12"/>
        <color indexed="8"/>
        <rFont val="맑은 고딕"/>
        <family val="3"/>
        <charset val="129"/>
        <scheme val="minor"/>
      </rPr>
      <t>)</t>
    </r>
    <phoneticPr fontId="10" type="noConversion"/>
  </si>
  <si>
    <r>
      <t xml:space="preserve">Weighting factors used in calculation of interest rate sensitivities </t>
    </r>
    <r>
      <rPr>
        <b/>
        <sz val="11"/>
        <color rgb="FFFF0000"/>
        <rFont val="맑은 고딕"/>
        <family val="3"/>
        <charset val="129"/>
        <scheme val="minor"/>
      </rPr>
      <t>under Stress Scenarios</t>
    </r>
    <phoneticPr fontId="10" type="noConversion"/>
  </si>
  <si>
    <t>Equity</t>
  </si>
  <si>
    <t>Net position/gap</t>
  </si>
  <si>
    <t>Adjusted Amount</t>
    <phoneticPr fontId="10" type="noConversion"/>
  </si>
  <si>
    <t>Base Ccy Amt</t>
  </si>
  <si>
    <t>RCH3004USD</t>
  </si>
  <si>
    <t>6115904000705</t>
  </si>
  <si>
    <t>6115904000630</t>
  </si>
  <si>
    <t>6115904000648</t>
  </si>
  <si>
    <t>6115904000662</t>
  </si>
  <si>
    <t>6115904000670</t>
  </si>
  <si>
    <t>6115904000687</t>
  </si>
  <si>
    <t>6115904000694</t>
  </si>
  <si>
    <t>OL5904250000023</t>
  </si>
  <si>
    <t>OL5904250000024</t>
  </si>
  <si>
    <t>OL5904250000026</t>
  </si>
  <si>
    <t>OL5904250000027</t>
  </si>
  <si>
    <t>OL5904250000030</t>
  </si>
  <si>
    <t>OL5904250000031</t>
  </si>
  <si>
    <t>OL5904250000032</t>
  </si>
  <si>
    <t>MYSTATE BANK LIMITED</t>
  </si>
  <si>
    <t>FM5904250000039</t>
  </si>
  <si>
    <t>TCD - Domestic</t>
  </si>
  <si>
    <t>FM5904250000025</t>
  </si>
  <si>
    <t>MUFG SECURITIES EMEA PLC</t>
  </si>
  <si>
    <t>FM5904250000027</t>
  </si>
  <si>
    <t>FM5904250000031</t>
  </si>
  <si>
    <t>FM5904250000040</t>
  </si>
  <si>
    <t>A.I.P ON CERTIFICATE OF DEPOSITS - TCD</t>
  </si>
  <si>
    <t>DA5904250000007</t>
  </si>
  <si>
    <t>OT5904250000126</t>
  </si>
  <si>
    <t>※ 주의</t>
  </si>
  <si>
    <t>Ref.</t>
  </si>
  <si>
    <t>10630001_USD_100000014_PERDAMAN CHEMICALS &amp; FERTILISERS (FINANCE)PTY LTD</t>
  </si>
  <si>
    <t>10620001_USD_100000033_MACQUARIE GROUP LIMITED</t>
  </si>
  <si>
    <t>Compounded SOFR
(Repricing: Overnight (O/N))</t>
    <phoneticPr fontId="10" type="noConversion"/>
  </si>
  <si>
    <t>6115904000712</t>
  </si>
  <si>
    <t>6115904000720</t>
  </si>
  <si>
    <t>OL5904250000037</t>
  </si>
  <si>
    <t>OL5904250000038</t>
  </si>
  <si>
    <t>FM5904250000044</t>
  </si>
  <si>
    <t>Interest rate-sensitive Liabilities repricing within one year</t>
    <phoneticPr fontId="10" type="noConversion"/>
  </si>
  <si>
    <t>Interest rate-sensitive Assets repricing within one year</t>
    <phoneticPr fontId="10" type="noConversion"/>
  </si>
  <si>
    <t>Total Interest rate-sensitive Assets</t>
    <phoneticPr fontId="10" type="noConversion"/>
  </si>
  <si>
    <t>Net position/gap within one year</t>
    <phoneticPr fontId="10" type="noConversion"/>
  </si>
  <si>
    <t>0 to &lt;1 month (excluding O/N)</t>
    <phoneticPr fontId="10" type="noConversion"/>
  </si>
  <si>
    <t>6115904000744</t>
  </si>
  <si>
    <t>6115904000737</t>
  </si>
  <si>
    <t>6115904000751</t>
  </si>
  <si>
    <t>OL5904250000040</t>
  </si>
  <si>
    <t>OL5904250000041</t>
  </si>
  <si>
    <t>OL5904250000042</t>
  </si>
  <si>
    <t>FM5904250000047</t>
  </si>
  <si>
    <t>FM5904250000048</t>
  </si>
  <si>
    <t>AUSWIDE BANK LTD</t>
  </si>
  <si>
    <t>FM5904250000045</t>
  </si>
  <si>
    <t>FM5904250000051</t>
  </si>
  <si>
    <t>6115904000769</t>
  </si>
  <si>
    <t>6115904000776</t>
  </si>
  <si>
    <t>OL5904250000043</t>
  </si>
  <si>
    <t>OL5904250000044</t>
  </si>
  <si>
    <t>OL5904250000045</t>
  </si>
  <si>
    <t>6025904000121</t>
  </si>
  <si>
    <t>FM5904250000049</t>
  </si>
  <si>
    <t>FM5904250000050</t>
  </si>
  <si>
    <t>Tax Withholding for Income from Interests</t>
  </si>
  <si>
    <t>OT5904250000172</t>
  </si>
  <si>
    <t>OT5904250000173</t>
  </si>
  <si>
    <t>Interest rate-sensitive Gap Ratio(12M)</t>
    <phoneticPr fontId="10" type="noConversion"/>
  </si>
  <si>
    <t>OT5904260000004</t>
  </si>
  <si>
    <t>6115904000783</t>
  </si>
  <si>
    <t>FM5904260000002</t>
  </si>
  <si>
    <t>FM5904260000001</t>
  </si>
  <si>
    <t>OT5904260000006</t>
  </si>
  <si>
    <t>FB5904250000001</t>
  </si>
  <si>
    <t>OT5904250000017</t>
  </si>
  <si>
    <t>FM5904260000003</t>
  </si>
  <si>
    <t>FM5904260000004</t>
  </si>
  <si>
    <t>SECURITY DEPOSIT</t>
  </si>
  <si>
    <t>OT5904260000008</t>
  </si>
  <si>
    <t>FA5904260000002</t>
  </si>
  <si>
    <t>FA5904260000003</t>
  </si>
  <si>
    <t>FM5904260000005</t>
  </si>
  <si>
    <t>OT5904260000011</t>
  </si>
  <si>
    <t>OT5904260000012</t>
  </si>
  <si>
    <t>OT5904260000013</t>
  </si>
  <si>
    <t>FA5904260000004</t>
  </si>
  <si>
    <t>A.I.R ON OPERATION LOANS</t>
  </si>
  <si>
    <t>FA5904260000005</t>
  </si>
  <si>
    <t>OL5904260000003</t>
  </si>
  <si>
    <t>OL5904260000001</t>
  </si>
  <si>
    <t>OL5904260000002</t>
  </si>
  <si>
    <t>OI5904230000011</t>
  </si>
  <si>
    <t>OI5904240000013</t>
  </si>
  <si>
    <t>OI5904240000015</t>
  </si>
  <si>
    <t>OI5904250000009</t>
  </si>
  <si>
    <t>OI5904250000011</t>
  </si>
  <si>
    <t>OT5904230000157</t>
  </si>
  <si>
    <t>OT5904240000141</t>
  </si>
  <si>
    <t>OT5904240000143</t>
  </si>
  <si>
    <t>OT5904240000145</t>
  </si>
  <si>
    <t>OT5904250000179</t>
  </si>
  <si>
    <t>OT5904250000181</t>
  </si>
  <si>
    <t>DH5904AUD28810019</t>
  </si>
  <si>
    <t>DH5904AUD28810019-1</t>
  </si>
  <si>
    <t>DH5904USD28810019</t>
  </si>
  <si>
    <t>UNREALIZED GAIN AFS (SEC. VAL)</t>
  </si>
  <si>
    <t>UNREALIZED LOSS AFS (SEC. VAL)</t>
  </si>
  <si>
    <t>POSITION(OVER BOUGHT)</t>
  </si>
  <si>
    <t>DH5904AUD28900001</t>
  </si>
  <si>
    <t>DH5904AUD28900001-1</t>
  </si>
  <si>
    <t>DH5904USD28900001</t>
  </si>
  <si>
    <t>OT5904220000001</t>
  </si>
  <si>
    <t>OT5904220000134</t>
  </si>
  <si>
    <t>OT5904220000160</t>
  </si>
  <si>
    <t>OT5904220000162</t>
  </si>
  <si>
    <t>Syndicate Commitments (over 1 year)</t>
  </si>
  <si>
    <t>Syndicate Commitments (less 1 year)</t>
  </si>
  <si>
    <t>6115904000791</t>
  </si>
  <si>
    <t>FM5904260000006</t>
  </si>
  <si>
    <t>FM5904260000007</t>
  </si>
  <si>
    <t>OT5904260000020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</si>
</sst>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76" formatCode="_-* #,##0_-;\-* #,##0_-;_-* &quot;-&quot;??_-;_-@_-"/>
    <numFmt numFmtId="177" formatCode="0.0%"/>
    <numFmt numFmtId="178" formatCode="#,##0.00_);[Red]\(#,##0.00\)"/>
    <numFmt numFmtId="179" formatCode="#,##0_);\(#,##0\)"/>
    <numFmt numFmtId="180" formatCode="#,##0_);[Red]\(#,##0\)"/>
    <numFmt numFmtId="181" formatCode="_-* #,##0.0000_-;\-* #,##0.0000_-;_-* &quot;-&quot;_-;_-@_-"/>
    <numFmt numFmtId="182" formatCode="0.0_ ;[Red]\-0.0\ "/>
    <numFmt numFmtId="183" formatCode="0.0000"/>
  </numFmts>
  <fonts count="8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b/>
      <sz val="9"/>
      <color indexed="8"/>
      <name val="나눔고딕"/>
      <family val="3"/>
      <charset val="129"/>
    </font>
    <font>
      <sz val="11"/>
      <color indexed="8"/>
      <name val="맑은 고딕"/>
      <family val="2"/>
      <scheme val="minor"/>
    </font>
    <font>
      <b/>
      <sz val="14"/>
      <name val="Frutiger 87ExtraBlackCn"/>
      <family val="2"/>
    </font>
    <font>
      <sz val="10"/>
      <name val="Frutiger"/>
    </font>
    <font>
      <sz val="8"/>
      <name val="맑은 고딕"/>
      <family val="3"/>
      <charset val="129"/>
      <scheme val="minor"/>
    </font>
    <font>
      <sz val="11"/>
      <name val="돋움"/>
      <family val="3"/>
      <charset val="129"/>
    </font>
    <font>
      <sz val="11"/>
      <name val="Times New Roman"/>
      <family val="1"/>
    </font>
    <font>
      <sz val="8"/>
      <name val="맑은 고딕"/>
      <family val="2"/>
      <charset val="129"/>
      <scheme val="minor"/>
    </font>
    <font>
      <b/>
      <sz val="11"/>
      <name val="Times New Roman"/>
      <family val="1"/>
    </font>
    <font>
      <b/>
      <sz val="25"/>
      <color theme="0"/>
      <name val="Times New Roman"/>
      <family val="1"/>
    </font>
    <font>
      <sz val="11"/>
      <color theme="1"/>
      <name val="Times New Roman"/>
      <family val="1"/>
    </font>
    <font>
      <b/>
      <sz val="11"/>
      <color indexed="8"/>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1"/>
      <color indexed="8"/>
      <name val="맑은 고딕"/>
      <family val="2"/>
      <scheme val="minor"/>
    </font>
    <font>
      <b/>
      <sz val="11"/>
      <color rgb="FFFF0000"/>
      <name val="맑은 고딕"/>
      <family val="2"/>
      <scheme val="minor"/>
    </font>
    <font>
      <b/>
      <sz val="26"/>
      <color rgb="FFFF0000"/>
      <name val="맑은 고딕"/>
      <family val="2"/>
      <scheme val="minor"/>
    </font>
    <font>
      <b/>
      <sz val="11"/>
      <name val="맑은 고딕"/>
      <family val="2"/>
      <scheme val="minor"/>
    </font>
    <font>
      <sz val="11"/>
      <name val="맑은 고딕"/>
      <family val="2"/>
      <scheme val="minor"/>
    </font>
    <font>
      <b/>
      <sz val="9"/>
      <color rgb="FFFF0000"/>
      <name val="나눔고딕"/>
      <family val="3"/>
      <charset val="129"/>
    </font>
    <font>
      <b/>
      <sz val="16"/>
      <color rgb="FFFF0000"/>
      <name val="맑은 고딕"/>
      <family val="2"/>
      <scheme val="minor"/>
    </font>
    <font>
      <b/>
      <sz val="16"/>
      <color rgb="FFFF0000"/>
      <name val="맑은 고딕"/>
      <family val="3"/>
      <charset val="129"/>
      <scheme val="minor"/>
    </font>
    <font>
      <b/>
      <sz val="9"/>
      <color theme="1"/>
      <name val="굴림체"/>
      <family val="3"/>
      <charset val="129"/>
    </font>
    <font>
      <b/>
      <sz val="11"/>
      <color theme="1"/>
      <name val="굴림체"/>
      <family val="3"/>
      <charset val="129"/>
    </font>
    <font>
      <b/>
      <sz val="11"/>
      <color theme="0"/>
      <name val="맑은 고딕"/>
      <family val="2"/>
      <scheme val="minor"/>
    </font>
    <font>
      <b/>
      <sz val="11"/>
      <name val="맑은 고딕"/>
      <family val="3"/>
      <charset val="129"/>
      <scheme val="minor"/>
    </font>
    <font>
      <b/>
      <sz val="11"/>
      <color rgb="FFFF0000"/>
      <name val="Tahoma"/>
      <family val="2"/>
    </font>
    <font>
      <b/>
      <sz val="20"/>
      <color rgb="FFFF0000"/>
      <name val="맑은 고딕"/>
      <family val="3"/>
      <charset val="129"/>
    </font>
    <font>
      <sz val="11"/>
      <color rgb="FF000000"/>
      <name val="Tahoma"/>
      <family val="2"/>
    </font>
    <font>
      <b/>
      <i/>
      <sz val="12"/>
      <color indexed="8"/>
      <name val="Times New Roman"/>
      <family val="1"/>
    </font>
    <font>
      <sz val="12"/>
      <color indexed="8"/>
      <name val="Times New Roman"/>
      <family val="1"/>
    </font>
    <font>
      <sz val="12"/>
      <color rgb="FF000000"/>
      <name val="Times New Roman"/>
      <family val="1"/>
    </font>
    <font>
      <b/>
      <i/>
      <sz val="12"/>
      <color rgb="FF000000"/>
      <name val="Times New Roman"/>
      <family val="1"/>
    </font>
    <font>
      <i/>
      <sz val="12"/>
      <color rgb="FF000000"/>
      <name val="Times New Roman"/>
      <family val="1"/>
    </font>
    <font>
      <sz val="12"/>
      <color indexed="8"/>
      <name val="HyhwpEQ"/>
      <family val="1"/>
      <charset val="129"/>
    </font>
    <font>
      <sz val="12"/>
      <color rgb="FF000000"/>
      <name val="HyhwpEQ"/>
      <family val="1"/>
      <charset val="129"/>
    </font>
    <font>
      <sz val="10"/>
      <color indexed="8"/>
      <name val="Times New Roman"/>
      <family val="1"/>
    </font>
    <font>
      <sz val="10"/>
      <color rgb="FF000000"/>
      <name val="Times New Roman"/>
      <family val="1"/>
    </font>
    <font>
      <b/>
      <i/>
      <sz val="11"/>
      <color indexed="8"/>
      <name val="맑은 고딕"/>
      <family val="2"/>
      <scheme val="minor"/>
    </font>
    <font>
      <sz val="10"/>
      <color theme="1"/>
      <name val="Times New Roman"/>
      <family val="1"/>
    </font>
    <font>
      <i/>
      <sz val="11"/>
      <color indexed="8"/>
      <name val="맑은 고딕"/>
      <family val="3"/>
      <charset val="129"/>
      <scheme val="minor"/>
    </font>
    <font>
      <b/>
      <sz val="10"/>
      <color rgb="FF000000"/>
      <name val="Times New Roman"/>
      <family val="1"/>
    </font>
    <font>
      <b/>
      <u/>
      <sz val="11"/>
      <color rgb="FFFF0000"/>
      <name val="맑은 고딕"/>
      <family val="3"/>
      <charset val="129"/>
      <scheme val="minor"/>
    </font>
    <font>
      <b/>
      <sz val="10"/>
      <color indexed="8"/>
      <name val="Times New Roman"/>
      <family val="1"/>
    </font>
    <font>
      <b/>
      <sz val="11"/>
      <color theme="1"/>
      <name val="맑은 고딕"/>
      <family val="2"/>
      <scheme val="minor"/>
    </font>
    <font>
      <i/>
      <u/>
      <sz val="11"/>
      <color indexed="8"/>
      <name val="맑은 고딕"/>
      <family val="3"/>
      <charset val="129"/>
      <scheme val="minor"/>
    </font>
    <font>
      <b/>
      <i/>
      <sz val="11"/>
      <name val="맑은 고딕"/>
      <family val="3"/>
      <charset val="129"/>
      <scheme val="minor"/>
    </font>
    <font>
      <b/>
      <sz val="12"/>
      <color rgb="FF000000"/>
      <name val="Calibri"/>
      <family val="2"/>
    </font>
    <font>
      <sz val="12"/>
      <color rgb="FF000000"/>
      <name val="Calibri"/>
      <family val="2"/>
    </font>
    <font>
      <sz val="12"/>
      <color indexed="8"/>
      <name val="Calibri"/>
      <family val="2"/>
    </font>
    <font>
      <b/>
      <sz val="12"/>
      <color rgb="FFFF0000"/>
      <name val="Calibri"/>
      <family val="2"/>
    </font>
    <font>
      <sz val="12"/>
      <color rgb="FFFF0000"/>
      <name val="Calibri"/>
      <family val="2"/>
    </font>
    <font>
      <b/>
      <u/>
      <sz val="12"/>
      <color indexed="8"/>
      <name val="맑은 고딕"/>
      <family val="3"/>
      <charset val="129"/>
      <scheme val="minor"/>
    </font>
    <font>
      <u/>
      <sz val="11"/>
      <color theme="1"/>
      <name val="맑은 고딕"/>
      <family val="2"/>
      <scheme val="minor"/>
    </font>
    <font>
      <b/>
      <sz val="18"/>
      <color theme="1"/>
      <name val="맑은 고딕"/>
      <family val="2"/>
      <scheme val="minor"/>
    </font>
    <font>
      <b/>
      <sz val="10"/>
      <color rgb="FF0070C0"/>
      <name val="Times New Roman"/>
      <family val="1"/>
    </font>
    <font>
      <b/>
      <sz val="10"/>
      <color rgb="FFFF0000"/>
      <name val="Times New Roman"/>
      <family val="1"/>
    </font>
    <font>
      <b/>
      <sz val="14"/>
      <color rgb="FF0070C0"/>
      <name val="Times New Roman"/>
      <family val="1"/>
    </font>
    <font>
      <b/>
      <sz val="14"/>
      <color rgb="FFFF0000"/>
      <name val="Times New Roman"/>
      <family val="1"/>
    </font>
    <font>
      <b/>
      <sz val="18"/>
      <color rgb="FFFF0000"/>
      <name val="맑은 고딕"/>
      <family val="2"/>
      <scheme val="minor"/>
    </font>
    <font>
      <b/>
      <u/>
      <sz val="16"/>
      <color rgb="FFFF0000"/>
      <name val="맑은 고딕"/>
      <family val="2"/>
      <scheme val="minor"/>
    </font>
    <font>
      <b/>
      <u val="singleAccounting"/>
      <sz val="12"/>
      <color indexed="8"/>
      <name val="맑은 고딕"/>
      <family val="3"/>
      <charset val="129"/>
      <scheme val="minor"/>
    </font>
    <font>
      <b/>
      <sz val="14"/>
      <color theme="0"/>
      <name val="Arial"/>
      <family val="2"/>
    </font>
    <font>
      <b/>
      <u/>
      <sz val="20"/>
      <color rgb="FFFF0000"/>
      <name val="맑은 고딕"/>
      <family val="3"/>
      <charset val="129"/>
      <scheme val="minor"/>
    </font>
    <font>
      <b/>
      <u/>
      <sz val="12"/>
      <color rgb="FFFF0000"/>
      <name val="맑은 고딕"/>
      <family val="3"/>
      <charset val="129"/>
      <scheme val="minor"/>
    </font>
    <font>
      <b/>
      <sz val="12"/>
      <color theme="0"/>
      <name val="맑은 고딕"/>
      <family val="2"/>
      <scheme val="minor"/>
    </font>
    <font>
      <b/>
      <sz val="12"/>
      <color theme="0"/>
      <name val="맑은 고딕"/>
      <family val="3"/>
      <charset val="129"/>
      <scheme val="minor"/>
    </font>
    <font>
      <b/>
      <sz val="14"/>
      <color indexed="8"/>
      <name val="맑은 고딕"/>
      <family val="2"/>
      <scheme val="minor"/>
    </font>
    <font>
      <b/>
      <sz val="12"/>
      <color indexed="8"/>
      <name val="맑은 고딕"/>
      <family val="3"/>
      <charset val="129"/>
      <scheme val="minor"/>
    </font>
    <font>
      <b/>
      <sz val="14"/>
      <color indexed="8"/>
      <name val="맑은 고딕"/>
      <family val="3"/>
      <charset val="129"/>
      <scheme val="minor"/>
    </font>
    <font>
      <b/>
      <i/>
      <u/>
      <sz val="11"/>
      <color indexed="8"/>
      <name val="맑은 고딕"/>
      <family val="3"/>
      <charset val="129"/>
      <scheme val="minor"/>
    </font>
    <font>
      <sz val="12"/>
      <color rgb="FF000000"/>
      <name val="Tahoma"/>
      <family val="2"/>
    </font>
    <font>
      <b/>
      <sz val="36"/>
      <color indexed="10"/>
      <name val="맑은 고딕"/>
      <family val="3"/>
      <charset val="129"/>
    </font>
    <font>
      <b/>
      <sz val="12"/>
      <name val="Tahoma"/>
      <family val="2"/>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s>
  <fills count="27">
    <fill>
      <patternFill patternType="none"/>
    </fill>
    <fill>
      <patternFill patternType="gray125"/>
    </fill>
    <fill>
      <patternFill patternType="none">
        <fgColor indexed="9"/>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CFF"/>
        <bgColor indexed="64"/>
      </patternFill>
    </fill>
    <fill>
      <patternFill patternType="solid">
        <fgColor rgb="FFFFCCFF"/>
        <bgColor indexed="9"/>
      </patternFill>
    </fill>
    <fill>
      <patternFill patternType="solid">
        <fgColor rgb="FFFFFFFF"/>
        <bgColor rgb="FFFFFFFF"/>
      </patternFill>
    </fill>
    <fill>
      <patternFill patternType="solid">
        <fgColor theme="1"/>
        <bgColor indexed="64"/>
      </patternFill>
    </fill>
    <fill>
      <patternFill patternType="solid">
        <fgColor rgb="FFE7E6E6"/>
        <bgColor indexed="64"/>
      </patternFill>
    </fill>
    <fill>
      <patternFill patternType="solid">
        <fgColor rgb="FF7030A0"/>
        <bgColor indexed="64"/>
      </patternFill>
    </fill>
    <fill>
      <patternFill patternType="solid">
        <fgColor theme="7" tint="0.7999816888943144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0070C0"/>
        <bgColor indexed="64"/>
      </patternFill>
    </fill>
    <fill>
      <gradientFill degree="90">
        <stop position="0">
          <color rgb="FFF9FBFD"/>
        </stop>
        <stop position="0.5">
          <color rgb="FFDBECFB"/>
        </stop>
        <stop position="1">
          <color rgb="FFD5E5F3"/>
        </stop>
      </gradientFill>
    </fill>
    <fill>
      <patternFill patternType="solid">
        <fgColor rgb="FFFFFFFF"/>
      </patternFill>
    </fill>
  </fills>
  <borders count="119">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top style="thick">
        <color indexed="64"/>
      </top>
      <bottom/>
      <diagonal/>
    </border>
    <border>
      <left/>
      <right/>
      <top style="thick">
        <color auto="1"/>
      </top>
      <bottom/>
      <diagonal/>
    </border>
    <border>
      <left style="medium">
        <color auto="1"/>
      </left>
      <right style="medium">
        <color auto="1"/>
      </right>
      <top style="thick">
        <color auto="1"/>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auto="1"/>
      </left>
      <right style="thick">
        <color indexed="64"/>
      </right>
      <top style="thick">
        <color indexed="64"/>
      </top>
      <bottom style="medium">
        <color indexed="64"/>
      </bottom>
      <diagonal/>
    </border>
    <border>
      <left style="medium">
        <color indexed="64"/>
      </left>
      <right style="thick">
        <color indexed="64"/>
      </right>
      <top style="thin">
        <color indexed="64"/>
      </top>
      <bottom style="thin">
        <color indexed="64"/>
      </bottom>
      <diagonal/>
    </border>
    <border>
      <left style="thick">
        <color theme="1"/>
      </left>
      <right style="thick">
        <color theme="1"/>
      </right>
      <top style="thick">
        <color theme="1"/>
      </top>
      <bottom style="thin">
        <color indexed="64"/>
      </bottom>
      <diagonal/>
    </border>
    <border>
      <left style="thick">
        <color theme="1"/>
      </left>
      <right style="thick">
        <color theme="1"/>
      </right>
      <top style="thin">
        <color indexed="64"/>
      </top>
      <bottom style="thin">
        <color indexed="64"/>
      </bottom>
      <diagonal/>
    </border>
    <border>
      <left style="thick">
        <color theme="1"/>
      </left>
      <right style="thick">
        <color theme="1"/>
      </right>
      <top style="thin">
        <color indexed="64"/>
      </top>
      <bottom style="thick">
        <color theme="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bottom style="thick">
        <color indexed="64"/>
      </bottom>
      <diagonal/>
    </border>
    <border>
      <left style="thick">
        <color indexed="64"/>
      </left>
      <right style="thin">
        <color indexed="64"/>
      </right>
      <top style="thick">
        <color indexed="64"/>
      </top>
      <bottom style="thin">
        <color indexed="64"/>
      </bottom>
      <diagonal/>
    </border>
    <border>
      <left style="thick">
        <color rgb="FFFF0000"/>
      </left>
      <right/>
      <top style="thick">
        <color rgb="FFFF0000"/>
      </top>
      <bottom/>
      <diagonal/>
    </border>
    <border>
      <left/>
      <right style="thick">
        <color rgb="FFFF0000"/>
      </right>
      <top style="thick">
        <color rgb="FFFF0000"/>
      </top>
      <bottom/>
      <diagonal/>
    </border>
    <border>
      <left/>
      <right style="thick">
        <color rgb="FFFF0000"/>
      </right>
      <top/>
      <bottom style="thick">
        <color rgb="FFFF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diagonal/>
    </border>
    <border>
      <left/>
      <right/>
      <top style="thick">
        <color auto="1"/>
      </top>
      <bottom style="thin">
        <color indexed="64"/>
      </bottom>
      <diagonal/>
    </border>
    <border>
      <left style="thin">
        <color indexed="64"/>
      </left>
      <right/>
      <top style="thick">
        <color auto="1"/>
      </top>
      <bottom style="thin">
        <color indexed="64"/>
      </bottom>
      <diagonal/>
    </border>
    <border>
      <left style="thick">
        <color indexed="64"/>
      </left>
      <right/>
      <top/>
      <bottom/>
      <diagonal/>
    </border>
    <border>
      <left style="thin">
        <color indexed="64"/>
      </left>
      <right style="thin">
        <color indexed="64"/>
      </right>
      <top style="thin">
        <color indexed="64"/>
      </top>
      <bottom style="thin">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n">
        <color indexed="64"/>
      </left>
      <right/>
      <top style="thin">
        <color indexed="64"/>
      </top>
      <bottom style="thin">
        <color indexed="64"/>
      </bottom>
      <diagonal/>
    </border>
    <border>
      <left style="thin">
        <color indexed="64"/>
      </left>
      <right style="thick">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ck">
        <color auto="1"/>
      </bottom>
      <diagonal/>
    </border>
    <border>
      <left style="thin">
        <color indexed="64"/>
      </left>
      <right/>
      <top style="thin">
        <color indexed="64"/>
      </top>
      <bottom style="thick">
        <color auto="1"/>
      </bottom>
      <diagonal/>
    </border>
    <border>
      <left style="thin">
        <color indexed="64"/>
      </left>
      <right style="medium">
        <color indexed="64"/>
      </right>
      <top style="thin">
        <color indexed="64"/>
      </top>
      <bottom style="thick">
        <color auto="1"/>
      </bottom>
      <diagonal/>
    </border>
    <border>
      <left/>
      <right style="medium">
        <color indexed="64"/>
      </right>
      <top style="thin">
        <color indexed="64"/>
      </top>
      <bottom style="thick">
        <color auto="1"/>
      </bottom>
      <diagonal/>
    </border>
    <border>
      <left style="medium">
        <color indexed="64"/>
      </left>
      <right style="thick">
        <color auto="1"/>
      </right>
      <top style="thin">
        <color indexed="64"/>
      </top>
      <bottom style="thick">
        <color auto="1"/>
      </bottom>
      <diagonal/>
    </border>
    <border>
      <left style="thick">
        <color rgb="FF0070C0"/>
      </left>
      <right style="thin">
        <color indexed="64"/>
      </right>
      <top style="thin">
        <color indexed="64"/>
      </top>
      <bottom style="thin">
        <color indexed="64"/>
      </bottom>
      <diagonal/>
    </border>
    <border>
      <left/>
      <right/>
      <top style="thin">
        <color indexed="64"/>
      </top>
      <bottom style="double">
        <color indexed="64"/>
      </bottom>
      <diagonal/>
    </border>
    <border>
      <left style="thick">
        <color rgb="FFFF0000"/>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style="thick">
        <color auto="1"/>
      </right>
      <top style="thick">
        <color indexed="64"/>
      </top>
      <bottom/>
      <diagonal/>
    </border>
    <border>
      <left style="thick">
        <color rgb="FF0070C0"/>
      </left>
      <right style="thick">
        <color rgb="FF0070C0"/>
      </right>
      <top style="thick">
        <color rgb="FF0070C0"/>
      </top>
      <bottom/>
      <diagonal/>
    </border>
    <border>
      <left style="thick">
        <color indexed="64"/>
      </left>
      <right style="thick">
        <color indexed="64"/>
      </right>
      <top/>
      <bottom/>
      <diagonal/>
    </border>
    <border>
      <left style="thick">
        <color rgb="FF0070C0"/>
      </left>
      <right style="thick">
        <color rgb="FF0070C0"/>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bottom style="thick">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ck">
        <color theme="0"/>
      </left>
      <right/>
      <top style="thick">
        <color theme="0"/>
      </top>
      <bottom/>
      <diagonal/>
    </border>
    <border>
      <left style="thick">
        <color theme="0"/>
      </left>
      <right/>
      <top/>
      <bottom style="thick">
        <color theme="0"/>
      </bottom>
      <diagonal/>
    </border>
    <border>
      <left style="thick">
        <color rgb="FFFF0000"/>
      </left>
      <right/>
      <top/>
      <bottom style="thick">
        <color rgb="FFFF0000"/>
      </bottom>
      <diagonal/>
    </border>
    <border>
      <left style="thin">
        <color indexed="64"/>
      </left>
      <right style="thick">
        <color rgb="FFFF0000"/>
      </right>
      <top style="thick">
        <color rgb="FFFF0000"/>
      </top>
      <bottom/>
      <diagonal/>
    </border>
    <border>
      <left style="thin">
        <color indexed="64"/>
      </left>
      <right style="thick">
        <color rgb="FFFF0000"/>
      </right>
      <top/>
      <bottom/>
      <diagonal/>
    </border>
    <border>
      <left style="thin">
        <color indexed="64"/>
      </left>
      <right style="thick">
        <color rgb="FFFF0000"/>
      </right>
      <top/>
      <bottom style="thin">
        <color indexed="64"/>
      </bottom>
      <diagonal/>
    </border>
    <border>
      <left style="medium">
        <color indexed="64"/>
      </left>
      <right/>
      <top style="thick">
        <color indexed="64"/>
      </top>
      <bottom style="medium">
        <color indexed="64"/>
      </bottom>
      <diagonal/>
    </border>
    <border>
      <left style="medium">
        <color indexed="64"/>
      </left>
      <right style="thick">
        <color indexed="64"/>
      </right>
      <top style="thick">
        <color indexed="64"/>
      </top>
      <bottom/>
      <diagonal/>
    </border>
    <border>
      <left style="medium">
        <color indexed="64"/>
      </left>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bottom style="thick">
        <color indexed="64"/>
      </bottom>
      <diagonal/>
    </border>
    <border>
      <left/>
      <right style="thin">
        <color indexed="64"/>
      </right>
      <top style="thin">
        <color indexed="64"/>
      </top>
      <bottom style="thin">
        <color indexed="64"/>
      </bottom>
      <diagonal/>
    </border>
    <border>
      <left/>
      <right style="thick">
        <color indexed="64"/>
      </right>
      <top/>
      <bottom style="thin">
        <color indexed="8"/>
      </bottom>
      <diagonal/>
    </border>
    <border>
      <left/>
      <right style="thick">
        <color indexed="64"/>
      </right>
      <top style="thin">
        <color indexed="8"/>
      </top>
      <bottom style="thin">
        <color indexed="8"/>
      </bottom>
      <diagonal/>
    </border>
    <border>
      <left style="thick">
        <color auto="1"/>
      </left>
      <right style="thin">
        <color auto="1"/>
      </right>
      <top/>
      <bottom style="thin">
        <color indexed="8"/>
      </bottom>
      <diagonal/>
    </border>
    <border>
      <left/>
      <right style="thick">
        <color auto="1"/>
      </right>
      <top/>
      <bottom style="thin">
        <color indexed="64"/>
      </bottom>
      <diagonal/>
    </border>
    <border>
      <left style="thick">
        <color rgb="FFFF0000"/>
      </left>
      <right style="thin">
        <color rgb="FFFF0000"/>
      </right>
      <top style="thick">
        <color rgb="FFFF0000"/>
      </top>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bottom style="thick">
        <color rgb="FFFF0000"/>
      </bottom>
      <diagonal/>
    </border>
    <border>
      <left style="thin">
        <color rgb="FFFF0000"/>
      </left>
      <right style="thick">
        <color rgb="FFFF0000"/>
      </right>
      <top style="thin">
        <color rgb="FFFF0000"/>
      </top>
      <bottom style="thick">
        <color rgb="FFFF0000"/>
      </bottom>
      <diagonal/>
    </border>
    <border>
      <left style="thin">
        <color indexed="64"/>
      </left>
      <right style="thin">
        <color indexed="64"/>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30">
    <xf numFmtId="0" fontId="0" fillId="0" borderId="0"/>
    <xf numFmtId="0" fontId="5" fillId="2" borderId="0"/>
    <xf numFmtId="0" fontId="8" fillId="2" borderId="0"/>
    <xf numFmtId="41" fontId="5" fillId="2" borderId="0" applyFont="0" applyFill="0" applyBorder="0" applyAlignment="0" applyProtection="0">
      <alignment vertical="center"/>
    </xf>
    <xf numFmtId="0" fontId="9" fillId="2" borderId="8">
      <alignment horizontal="center"/>
    </xf>
    <xf numFmtId="41" fontId="7" fillId="0" borderId="0" applyFont="0" applyFill="0" applyBorder="0" applyAlignment="0" applyProtection="0">
      <alignment vertical="center"/>
    </xf>
    <xf numFmtId="0" fontId="7" fillId="2" borderId="0"/>
    <xf numFmtId="0" fontId="5" fillId="2" borderId="0"/>
    <xf numFmtId="0" fontId="11" fillId="2" borderId="0">
      <alignment vertical="center"/>
    </xf>
    <xf numFmtId="41" fontId="11" fillId="2" borderId="0" applyFont="0" applyFill="0" applyBorder="0" applyAlignment="0" applyProtection="0">
      <alignment vertical="center"/>
    </xf>
    <xf numFmtId="43" fontId="7" fillId="2" borderId="0" applyFont="0" applyFill="0" applyBorder="0" applyAlignment="0" applyProtection="0"/>
    <xf numFmtId="0" fontId="5" fillId="2" borderId="0"/>
    <xf numFmtId="0" fontId="4" fillId="2" borderId="0">
      <alignment vertical="center"/>
    </xf>
    <xf numFmtId="43" fontId="4" fillId="2" borderId="0" applyFont="0" applyFill="0" applyBorder="0" applyAlignment="0" applyProtection="0">
      <alignment vertical="center"/>
    </xf>
    <xf numFmtId="0" fontId="3" fillId="2" borderId="0">
      <alignment vertical="center"/>
    </xf>
    <xf numFmtId="0" fontId="3" fillId="2" borderId="0">
      <alignment vertical="center"/>
    </xf>
    <xf numFmtId="43" fontId="3" fillId="2" borderId="0" applyFont="0" applyFill="0" applyBorder="0" applyAlignment="0" applyProtection="0">
      <alignment vertical="center"/>
    </xf>
    <xf numFmtId="43" fontId="3" fillId="2" borderId="0" applyFont="0" applyFill="0" applyBorder="0" applyAlignment="0" applyProtection="0">
      <alignment vertical="center"/>
    </xf>
    <xf numFmtId="0" fontId="5" fillId="2" borderId="0"/>
    <xf numFmtId="0" fontId="5" fillId="2" borderId="0"/>
    <xf numFmtId="0" fontId="7" fillId="2" borderId="0"/>
    <xf numFmtId="0" fontId="7" fillId="2" borderId="0"/>
    <xf numFmtId="0" fontId="2" fillId="2" borderId="0">
      <alignment vertical="center"/>
    </xf>
    <xf numFmtId="41" fontId="7" fillId="2" borderId="0" applyFont="0" applyFill="0" applyBorder="0" applyAlignment="0" applyProtection="0">
      <alignment vertical="center"/>
    </xf>
    <xf numFmtId="0" fontId="1" fillId="2" borderId="0">
      <alignment vertical="center"/>
    </xf>
    <xf numFmtId="41" fontId="1" fillId="2" borderId="0" applyFont="0" applyFill="0" applyBorder="0" applyAlignment="0" applyProtection="0">
      <alignment vertical="center"/>
    </xf>
    <xf numFmtId="0" fontId="7" fillId="2" borderId="0"/>
    <xf numFmtId="9" fontId="7" fillId="0" borderId="0" applyFont="0" applyFill="0" applyBorder="0" applyAlignment="0" applyProtection="0">
      <alignment vertical="center"/>
    </xf>
    <xf numFmtId="9" fontId="5" fillId="2" borderId="0" applyFont="0" applyFill="0" applyBorder="0" applyAlignment="0" applyProtection="0"/>
    <xf numFmtId="0" fontId="5" fillId="2" borderId="0"/>
  </cellStyleXfs>
  <cellXfs count="311">
    <xf numFmtId="0" fontId="0" fillId="0" borderId="0" xfId="0"/>
    <xf numFmtId="14" fontId="12" fillId="4" borderId="9" xfId="15" applyNumberFormat="1" applyFont="1" applyFill="1" applyBorder="1" applyAlignment="1">
      <alignment horizontal="center" vertical="center" wrapText="1"/>
    </xf>
    <xf numFmtId="0" fontId="12" fillId="4" borderId="9" xfId="15" applyFont="1" applyFill="1" applyBorder="1" applyAlignment="1">
      <alignment horizontal="center" vertical="center" wrapText="1"/>
    </xf>
    <xf numFmtId="0" fontId="15" fillId="7" borderId="2" xfId="15" applyFont="1" applyFill="1" applyBorder="1" applyAlignment="1">
      <alignment horizontal="left" vertical="top"/>
    </xf>
    <xf numFmtId="0" fontId="3" fillId="4" borderId="0" xfId="15" applyFill="1">
      <alignment vertical="center"/>
    </xf>
    <xf numFmtId="0" fontId="3" fillId="4" borderId="0" xfId="15" applyFill="1" applyBorder="1">
      <alignment vertical="center"/>
    </xf>
    <xf numFmtId="0" fontId="3" fillId="5" borderId="0" xfId="15" applyFill="1">
      <alignment vertical="center"/>
    </xf>
    <xf numFmtId="0" fontId="14" fillId="4" borderId="9" xfId="15" applyFont="1" applyFill="1" applyBorder="1" applyAlignment="1">
      <alignment horizontal="center" vertical="center" wrapText="1"/>
    </xf>
    <xf numFmtId="0" fontId="14" fillId="4" borderId="0" xfId="15" applyFont="1" applyFill="1" applyBorder="1" applyAlignment="1">
      <alignment horizontal="center" vertical="center" wrapText="1"/>
    </xf>
    <xf numFmtId="0" fontId="14" fillId="4" borderId="9" xfId="17" applyNumberFormat="1" applyFont="1" applyFill="1" applyBorder="1" applyAlignment="1">
      <alignment horizontal="center" vertical="center"/>
    </xf>
    <xf numFmtId="0" fontId="14" fillId="4" borderId="9" xfId="15" applyFont="1" applyFill="1" applyBorder="1" applyAlignment="1">
      <alignment horizontal="left" vertical="center"/>
    </xf>
    <xf numFmtId="0" fontId="14" fillId="4" borderId="9" xfId="15" applyFont="1" applyFill="1" applyBorder="1" applyAlignment="1">
      <alignment horizontal="left" vertical="center" wrapText="1"/>
    </xf>
    <xf numFmtId="14" fontId="14" fillId="4" borderId="9" xfId="15" applyNumberFormat="1" applyFont="1" applyFill="1" applyBorder="1" applyAlignment="1">
      <alignment horizontal="left" vertical="center" wrapText="1"/>
    </xf>
    <xf numFmtId="0" fontId="14" fillId="4" borderId="0" xfId="15" applyFont="1" applyFill="1" applyBorder="1" applyAlignment="1">
      <alignment horizontal="left" vertical="center" wrapText="1"/>
    </xf>
    <xf numFmtId="0" fontId="3" fillId="5" borderId="0" xfId="15" applyFill="1" applyBorder="1">
      <alignment vertical="center"/>
    </xf>
    <xf numFmtId="0" fontId="16" fillId="4" borderId="0" xfId="15" applyFont="1" applyFill="1">
      <alignment vertical="center"/>
    </xf>
    <xf numFmtId="0" fontId="14" fillId="4" borderId="9" xfId="15" applyFont="1" applyFill="1" applyBorder="1" applyAlignment="1">
      <alignment horizontal="center" vertical="center"/>
    </xf>
    <xf numFmtId="0" fontId="14" fillId="4" borderId="9" xfId="17" applyNumberFormat="1" applyFont="1" applyFill="1" applyBorder="1" applyAlignment="1">
      <alignment horizontal="left" vertical="center"/>
    </xf>
    <xf numFmtId="0" fontId="12" fillId="4" borderId="9" xfId="17" applyNumberFormat="1" applyFont="1" applyFill="1" applyBorder="1" applyAlignment="1">
      <alignment horizontal="left" vertical="center"/>
    </xf>
    <xf numFmtId="0" fontId="7" fillId="2" borderId="0" xfId="6"/>
    <xf numFmtId="0" fontId="7" fillId="2" borderId="0" xfId="21"/>
    <xf numFmtId="0" fontId="20" fillId="2" borderId="0" xfId="21" applyFont="1" applyFill="1" applyAlignment="1">
      <alignment horizontal="center"/>
    </xf>
    <xf numFmtId="0" fontId="20" fillId="2" borderId="0" xfId="21" applyFont="1" applyFill="1" applyAlignment="1">
      <alignment horizontal="right"/>
    </xf>
    <xf numFmtId="0" fontId="21" fillId="2" borderId="0" xfId="21" applyFont="1" applyAlignment="1">
      <alignment wrapText="1"/>
    </xf>
    <xf numFmtId="14" fontId="20" fillId="10" borderId="16" xfId="21" applyNumberFormat="1" applyFont="1" applyFill="1" applyBorder="1" applyAlignment="1">
      <alignment horizontal="right"/>
    </xf>
    <xf numFmtId="176" fontId="20" fillId="10" borderId="17" xfId="21" applyNumberFormat="1" applyFont="1" applyFill="1" applyBorder="1" applyAlignment="1">
      <alignment horizontal="right"/>
    </xf>
    <xf numFmtId="0" fontId="7" fillId="2" borderId="0" xfId="21" applyFill="1"/>
    <xf numFmtId="177" fontId="20" fillId="2" borderId="0" xfId="21" applyNumberFormat="1" applyFont="1" applyFill="1" applyAlignment="1">
      <alignment horizontal="right"/>
    </xf>
    <xf numFmtId="0" fontId="21" fillId="0" borderId="0" xfId="21" applyFont="1" applyFill="1" applyAlignment="1">
      <alignment wrapText="1"/>
    </xf>
    <xf numFmtId="176" fontId="20" fillId="10" borderId="21" xfId="21" applyNumberFormat="1" applyFont="1" applyFill="1" applyBorder="1" applyAlignment="1">
      <alignment horizontal="right"/>
    </xf>
    <xf numFmtId="0" fontId="17" fillId="2" borderId="0" xfId="21" applyFont="1" applyAlignment="1">
      <alignment horizontal="center"/>
    </xf>
    <xf numFmtId="0" fontId="17" fillId="2" borderId="0" xfId="21" applyFont="1" applyFill="1" applyAlignment="1">
      <alignment horizontal="center"/>
    </xf>
    <xf numFmtId="49" fontId="28" fillId="5" borderId="22" xfId="6" applyNumberFormat="1" applyFont="1" applyFill="1" applyBorder="1" applyAlignment="1">
      <alignment horizontal="center" vertical="center" wrapText="1"/>
    </xf>
    <xf numFmtId="14" fontId="21" fillId="8" borderId="23" xfId="6" applyNumberFormat="1" applyFont="1" applyFill="1" applyBorder="1" applyAlignment="1">
      <alignment horizontal="center"/>
    </xf>
    <xf numFmtId="14" fontId="21" fillId="2" borderId="24" xfId="6" applyNumberFormat="1" applyFont="1" applyFill="1" applyBorder="1" applyAlignment="1">
      <alignment horizontal="center"/>
    </xf>
    <xf numFmtId="0" fontId="29" fillId="9" borderId="25" xfId="11" applyFont="1" applyFill="1" applyBorder="1" applyAlignment="1">
      <alignment horizontal="center" vertical="center"/>
    </xf>
    <xf numFmtId="0" fontId="5" fillId="2" borderId="0" xfId="11"/>
    <xf numFmtId="0" fontId="5" fillId="2" borderId="25" xfId="11" applyBorder="1"/>
    <xf numFmtId="0" fontId="5" fillId="11" borderId="25" xfId="11" applyFill="1" applyBorder="1"/>
    <xf numFmtId="49" fontId="28" fillId="5" borderId="25" xfId="6" applyNumberFormat="1" applyFont="1" applyFill="1" applyBorder="1" applyAlignment="1">
      <alignment horizontal="center" vertical="center" wrapText="1"/>
    </xf>
    <xf numFmtId="49" fontId="28" fillId="5" borderId="26" xfId="6" applyNumberFormat="1" applyFont="1" applyFill="1" applyBorder="1" applyAlignment="1">
      <alignment horizontal="center" vertical="center" wrapText="1"/>
    </xf>
    <xf numFmtId="49" fontId="23" fillId="2" borderId="25" xfId="6" applyNumberFormat="1" applyFont="1" applyFill="1" applyBorder="1" applyAlignment="1">
      <alignment horizontal="center" vertical="center" wrapText="1"/>
    </xf>
    <xf numFmtId="49" fontId="24" fillId="2" borderId="26" xfId="6" quotePrefix="1" applyNumberFormat="1" applyFont="1" applyFill="1" applyBorder="1" applyAlignment="1">
      <alignment horizontal="left" vertical="center" wrapText="1"/>
    </xf>
    <xf numFmtId="14" fontId="30" fillId="11" borderId="23" xfId="6" applyNumberFormat="1" applyFont="1" applyFill="1" applyBorder="1" applyAlignment="1">
      <alignment horizontal="center"/>
    </xf>
    <xf numFmtId="49" fontId="31" fillId="11" borderId="25" xfId="6" applyNumberFormat="1" applyFont="1" applyFill="1" applyBorder="1" applyAlignment="1">
      <alignment horizontal="center" vertical="center" wrapText="1"/>
    </xf>
    <xf numFmtId="49" fontId="31" fillId="11" borderId="26" xfId="6" quotePrefix="1" applyNumberFormat="1" applyFont="1" applyFill="1" applyBorder="1" applyAlignment="1">
      <alignment horizontal="left" vertical="center" wrapText="1"/>
    </xf>
    <xf numFmtId="49" fontId="23" fillId="2" borderId="9" xfId="6" applyNumberFormat="1" applyFont="1" applyFill="1" applyBorder="1" applyAlignment="1">
      <alignment horizontal="center" vertical="center" wrapText="1"/>
    </xf>
    <xf numFmtId="49" fontId="24" fillId="2" borderId="10" xfId="6" quotePrefix="1" applyNumberFormat="1" applyFont="1" applyFill="1" applyBorder="1" applyAlignment="1">
      <alignment horizontal="left" vertical="center" wrapText="1"/>
    </xf>
    <xf numFmtId="49" fontId="23" fillId="2" borderId="35" xfId="6" applyNumberFormat="1" applyFont="1" applyFill="1" applyBorder="1" applyAlignment="1">
      <alignment horizontal="center" vertical="center" wrapText="1"/>
    </xf>
    <xf numFmtId="49" fontId="24" fillId="2" borderId="36" xfId="6" quotePrefix="1" applyNumberFormat="1" applyFont="1" applyFill="1" applyBorder="1" applyAlignment="1">
      <alignment horizontal="left" vertical="center" wrapText="1"/>
    </xf>
    <xf numFmtId="0" fontId="5" fillId="11" borderId="35" xfId="11" applyFill="1" applyBorder="1"/>
    <xf numFmtId="0" fontId="34" fillId="14" borderId="9" xfId="0" applyNumberFormat="1" applyFont="1" applyFill="1" applyBorder="1" applyAlignment="1">
      <alignment horizontal="center"/>
    </xf>
    <xf numFmtId="0" fontId="34" fillId="14" borderId="9" xfId="0" applyFont="1" applyFill="1" applyBorder="1" applyAlignment="1">
      <alignment horizontal="center"/>
    </xf>
    <xf numFmtId="4" fontId="34" fillId="14" borderId="9" xfId="0" applyNumberFormat="1" applyFont="1" applyFill="1" applyBorder="1" applyAlignment="1">
      <alignment horizontal="right"/>
    </xf>
    <xf numFmtId="0" fontId="34" fillId="14" borderId="9" xfId="0" applyFont="1" applyFill="1" applyBorder="1" applyAlignment="1">
      <alignment horizontal="right"/>
    </xf>
    <xf numFmtId="14" fontId="25" fillId="10" borderId="31" xfId="21" applyNumberFormat="1" applyFont="1" applyFill="1" applyBorder="1" applyAlignment="1">
      <alignment horizontal="center" vertical="center"/>
    </xf>
    <xf numFmtId="14" fontId="25" fillId="10" borderId="38" xfId="21" applyNumberFormat="1" applyFont="1" applyFill="1" applyBorder="1" applyAlignment="1">
      <alignment horizontal="center" vertical="center"/>
    </xf>
    <xf numFmtId="0" fontId="6" fillId="10" borderId="39" xfId="21" applyNumberFormat="1" applyFont="1" applyFill="1" applyBorder="1" applyAlignment="1">
      <alignment horizontal="center" vertical="center" wrapText="1"/>
    </xf>
    <xf numFmtId="0" fontId="34" fillId="14" borderId="10" xfId="0" applyFont="1" applyFill="1" applyBorder="1" applyAlignment="1">
      <alignment horizontal="right"/>
    </xf>
    <xf numFmtId="0" fontId="5" fillId="0" borderId="25" xfId="11" applyFill="1" applyBorder="1"/>
    <xf numFmtId="49" fontId="23" fillId="3" borderId="25" xfId="6" applyNumberFormat="1" applyFont="1" applyFill="1" applyBorder="1" applyAlignment="1">
      <alignment horizontal="center" vertical="center" wrapText="1"/>
    </xf>
    <xf numFmtId="49" fontId="24" fillId="3" borderId="26" xfId="6" quotePrefix="1" applyNumberFormat="1" applyFont="1" applyFill="1" applyBorder="1" applyAlignment="1">
      <alignment horizontal="left" vertical="center" wrapText="1"/>
    </xf>
    <xf numFmtId="14" fontId="20" fillId="10" borderId="49" xfId="21" applyNumberFormat="1" applyFont="1" applyFill="1" applyBorder="1" applyAlignment="1">
      <alignment horizontal="center"/>
    </xf>
    <xf numFmtId="176" fontId="20" fillId="10" borderId="47" xfId="21" applyNumberFormat="1" applyFont="1" applyFill="1" applyBorder="1" applyAlignment="1">
      <alignment horizontal="center"/>
    </xf>
    <xf numFmtId="176" fontId="20" fillId="10" borderId="50" xfId="21" applyNumberFormat="1" applyFont="1" applyFill="1" applyBorder="1" applyAlignment="1">
      <alignment horizontal="right"/>
    </xf>
    <xf numFmtId="14" fontId="20" fillId="10" borderId="18" xfId="21" applyNumberFormat="1" applyFont="1" applyFill="1" applyBorder="1" applyAlignment="1">
      <alignment horizontal="right"/>
    </xf>
    <xf numFmtId="14" fontId="20" fillId="10" borderId="51" xfId="21" applyNumberFormat="1" applyFont="1" applyFill="1" applyBorder="1" applyAlignment="1">
      <alignment horizontal="center"/>
    </xf>
    <xf numFmtId="176" fontId="20" fillId="10" borderId="52" xfId="21" applyNumberFormat="1" applyFont="1" applyFill="1" applyBorder="1" applyAlignment="1">
      <alignment horizontal="center"/>
    </xf>
    <xf numFmtId="176" fontId="20" fillId="10" borderId="53" xfId="21" applyNumberFormat="1" applyFont="1" applyFill="1" applyBorder="1" applyAlignment="1">
      <alignment horizontal="right"/>
    </xf>
    <xf numFmtId="176" fontId="20" fillId="10" borderId="54" xfId="21" applyNumberFormat="1" applyFont="1" applyFill="1" applyBorder="1" applyAlignment="1">
      <alignment horizontal="right"/>
    </xf>
    <xf numFmtId="176" fontId="20" fillId="10" borderId="55" xfId="21" applyNumberFormat="1" applyFont="1" applyFill="1" applyBorder="1" applyAlignment="1">
      <alignment horizontal="right"/>
    </xf>
    <xf numFmtId="0" fontId="7" fillId="2" borderId="0" xfId="26"/>
    <xf numFmtId="0" fontId="17" fillId="2" borderId="0" xfId="26" applyFont="1" applyAlignment="1">
      <alignment horizontal="center"/>
    </xf>
    <xf numFmtId="0" fontId="35" fillId="3" borderId="8" xfId="26" applyFont="1" applyFill="1" applyBorder="1" applyAlignment="1">
      <alignment vertical="center" wrapText="1"/>
    </xf>
    <xf numFmtId="0" fontId="18" fillId="2" borderId="0" xfId="26" applyFont="1"/>
    <xf numFmtId="0" fontId="35" fillId="2" borderId="8" xfId="26" applyFont="1" applyBorder="1" applyAlignment="1">
      <alignment vertical="center" wrapText="1"/>
    </xf>
    <xf numFmtId="0" fontId="17" fillId="2" borderId="0" xfId="26" applyFont="1"/>
    <xf numFmtId="0" fontId="35" fillId="6" borderId="8" xfId="26" applyFont="1" applyFill="1" applyBorder="1" applyAlignment="1">
      <alignment vertical="center" wrapText="1"/>
    </xf>
    <xf numFmtId="0" fontId="38" fillId="3" borderId="8" xfId="26" applyFont="1" applyFill="1" applyBorder="1" applyAlignment="1">
      <alignment vertical="center" wrapText="1"/>
    </xf>
    <xf numFmtId="0" fontId="38" fillId="2" borderId="8" xfId="26" applyFont="1" applyFill="1" applyBorder="1" applyAlignment="1">
      <alignment vertical="center" wrapText="1"/>
    </xf>
    <xf numFmtId="0" fontId="38" fillId="2" borderId="8" xfId="26" applyFont="1" applyBorder="1" applyAlignment="1">
      <alignment vertical="center" wrapText="1"/>
    </xf>
    <xf numFmtId="0" fontId="17" fillId="2" borderId="0" xfId="26" applyFont="1" applyAlignment="1">
      <alignment horizontal="center" wrapText="1"/>
    </xf>
    <xf numFmtId="0" fontId="43" fillId="16" borderId="1" xfId="26" applyFont="1" applyFill="1" applyBorder="1" applyAlignment="1">
      <alignment horizontal="center" vertical="center" wrapText="1"/>
    </xf>
    <xf numFmtId="0" fontId="43" fillId="16" borderId="8" xfId="26" applyFont="1" applyFill="1" applyBorder="1" applyAlignment="1">
      <alignment horizontal="center" vertical="center" wrapText="1"/>
    </xf>
    <xf numFmtId="0" fontId="43" fillId="2" borderId="7" xfId="26" applyFont="1" applyBorder="1" applyAlignment="1">
      <alignment horizontal="center" vertical="center" wrapText="1"/>
    </xf>
    <xf numFmtId="0" fontId="43" fillId="2" borderId="8" xfId="26" applyFont="1" applyBorder="1" applyAlignment="1">
      <alignment horizontal="center" vertical="center" wrapText="1"/>
    </xf>
    <xf numFmtId="176" fontId="44" fillId="10" borderId="14" xfId="10" applyNumberFormat="1" applyFont="1" applyFill="1" applyBorder="1" applyAlignment="1">
      <alignment horizontal="center" vertical="top" wrapText="1"/>
    </xf>
    <xf numFmtId="176" fontId="44" fillId="10" borderId="20" xfId="10" applyNumberFormat="1" applyFont="1" applyFill="1" applyBorder="1" applyAlignment="1">
      <alignment horizontal="center" vertical="top" wrapText="1"/>
    </xf>
    <xf numFmtId="0" fontId="42" fillId="2" borderId="0" xfId="26" applyFont="1" applyAlignment="1">
      <alignment horizontal="center"/>
    </xf>
    <xf numFmtId="0" fontId="45" fillId="2" borderId="0" xfId="26" applyFont="1" applyAlignment="1">
      <alignment horizontal="center"/>
    </xf>
    <xf numFmtId="0" fontId="45" fillId="2" borderId="41" xfId="26" applyFont="1" applyBorder="1" applyAlignment="1">
      <alignment horizontal="center"/>
    </xf>
    <xf numFmtId="41" fontId="0" fillId="0" borderId="0" xfId="5" applyFont="1" applyAlignment="1"/>
    <xf numFmtId="0" fontId="17" fillId="0" borderId="0" xfId="0" applyFont="1"/>
    <xf numFmtId="179" fontId="46" fillId="0" borderId="8" xfId="5" applyNumberFormat="1" applyFont="1" applyBorder="1" applyAlignment="1"/>
    <xf numFmtId="0" fontId="47" fillId="16" borderId="8" xfId="26" applyFont="1" applyFill="1" applyBorder="1" applyAlignment="1">
      <alignment horizontal="center" vertical="center" wrapText="1"/>
    </xf>
    <xf numFmtId="180" fontId="17" fillId="18" borderId="27" xfId="0" applyNumberFormat="1" applyFont="1" applyFill="1" applyBorder="1"/>
    <xf numFmtId="0" fontId="17" fillId="10" borderId="41" xfId="0" applyFont="1" applyFill="1" applyBorder="1" applyAlignment="1">
      <alignment horizontal="center"/>
    </xf>
    <xf numFmtId="0" fontId="43" fillId="0" borderId="8" xfId="26" applyFont="1" applyFill="1" applyBorder="1" applyAlignment="1">
      <alignment horizontal="center" vertical="center" wrapText="1"/>
    </xf>
    <xf numFmtId="0" fontId="43" fillId="0" borderId="7" xfId="26" applyFont="1" applyFill="1" applyBorder="1" applyAlignment="1">
      <alignment horizontal="center" vertical="center" wrapText="1"/>
    </xf>
    <xf numFmtId="9" fontId="7" fillId="2" borderId="0" xfId="26" applyNumberFormat="1"/>
    <xf numFmtId="0" fontId="42" fillId="16" borderId="1" xfId="26" applyFont="1" applyFill="1" applyBorder="1" applyAlignment="1">
      <alignment horizontal="center" vertical="center" wrapText="1"/>
    </xf>
    <xf numFmtId="0" fontId="43" fillId="16" borderId="7" xfId="26" applyFont="1" applyFill="1" applyBorder="1" applyAlignment="1">
      <alignment horizontal="center" vertical="center" wrapText="1"/>
    </xf>
    <xf numFmtId="0" fontId="7" fillId="2" borderId="41" xfId="26" applyBorder="1"/>
    <xf numFmtId="0" fontId="49" fillId="3" borderId="41" xfId="26" applyFont="1" applyFill="1" applyBorder="1" applyAlignment="1">
      <alignment horizontal="center" vertical="center" wrapText="1"/>
    </xf>
    <xf numFmtId="180" fontId="0" fillId="0" borderId="0" xfId="5" applyNumberFormat="1" applyFont="1" applyAlignment="1"/>
    <xf numFmtId="180" fontId="51" fillId="0" borderId="0" xfId="0" applyNumberFormat="1" applyFont="1"/>
    <xf numFmtId="179" fontId="17" fillId="0" borderId="57" xfId="5" applyNumberFormat="1" applyFont="1" applyBorder="1" applyAlignment="1"/>
    <xf numFmtId="0" fontId="52" fillId="0" borderId="0" xfId="0" applyFont="1" applyAlignment="1">
      <alignment horizontal="right"/>
    </xf>
    <xf numFmtId="181" fontId="52" fillId="0" borderId="41" xfId="5" applyNumberFormat="1" applyFont="1" applyBorder="1" applyAlignment="1"/>
    <xf numFmtId="177" fontId="18" fillId="3" borderId="41" xfId="0" applyNumberFormat="1" applyFont="1" applyFill="1" applyBorder="1"/>
    <xf numFmtId="0" fontId="54" fillId="19" borderId="61" xfId="0" applyFont="1" applyFill="1" applyBorder="1" applyAlignment="1"/>
    <xf numFmtId="41" fontId="54" fillId="19" borderId="17" xfId="5" applyFont="1" applyFill="1" applyBorder="1" applyAlignment="1"/>
    <xf numFmtId="0" fontId="54" fillId="19" borderId="62" xfId="0" applyFont="1" applyFill="1" applyBorder="1" applyAlignment="1"/>
    <xf numFmtId="41" fontId="54" fillId="19" borderId="63" xfId="5" applyFont="1" applyFill="1" applyBorder="1" applyAlignment="1"/>
    <xf numFmtId="0" fontId="55" fillId="0" borderId="0" xfId="0" applyFont="1"/>
    <xf numFmtId="43" fontId="53" fillId="4" borderId="8" xfId="0" applyNumberFormat="1" applyFont="1" applyFill="1" applyBorder="1" applyAlignment="1"/>
    <xf numFmtId="10" fontId="57" fillId="19" borderId="41" xfId="27" applyNumberFormat="1" applyFont="1" applyFill="1" applyBorder="1" applyAlignment="1"/>
    <xf numFmtId="10" fontId="53" fillId="3" borderId="41" xfId="27" applyNumberFormat="1" applyFont="1" applyFill="1" applyBorder="1" applyAlignment="1">
      <alignment vertical="center"/>
    </xf>
    <xf numFmtId="0" fontId="53" fillId="20" borderId="31" xfId="0" applyFont="1" applyFill="1" applyBorder="1" applyAlignment="1">
      <alignment horizontal="center" vertical="center"/>
    </xf>
    <xf numFmtId="0" fontId="53" fillId="20" borderId="28" xfId="0" applyFont="1" applyFill="1" applyBorder="1" applyAlignment="1">
      <alignment horizontal="center" vertical="center" wrapText="1"/>
    </xf>
    <xf numFmtId="0" fontId="56" fillId="20" borderId="28" xfId="0" applyFont="1" applyFill="1" applyBorder="1" applyAlignment="1">
      <alignment horizontal="center"/>
    </xf>
    <xf numFmtId="0" fontId="53" fillId="20" borderId="28" xfId="0" applyFont="1" applyFill="1" applyBorder="1" applyAlignment="1">
      <alignment horizontal="center" wrapText="1"/>
    </xf>
    <xf numFmtId="0" fontId="56" fillId="20" borderId="28" xfId="0" applyFont="1" applyFill="1" applyBorder="1" applyAlignment="1">
      <alignment horizontal="center" wrapText="1"/>
    </xf>
    <xf numFmtId="0" fontId="53" fillId="20" borderId="29" xfId="0" applyFont="1" applyFill="1" applyBorder="1" applyAlignment="1">
      <alignment horizontal="center" wrapText="1"/>
    </xf>
    <xf numFmtId="0" fontId="53" fillId="19" borderId="16" xfId="0" applyFont="1" applyFill="1" applyBorder="1" applyAlignment="1">
      <alignment horizontal="center" vertical="center"/>
    </xf>
    <xf numFmtId="0" fontId="53" fillId="19" borderId="18" xfId="0" applyFont="1" applyFill="1" applyBorder="1" applyAlignment="1">
      <alignment horizontal="center" vertical="center"/>
    </xf>
    <xf numFmtId="10" fontId="53" fillId="3" borderId="19" xfId="27" applyNumberFormat="1" applyFont="1" applyFill="1" applyBorder="1" applyAlignment="1">
      <alignment vertical="center"/>
    </xf>
    <xf numFmtId="10" fontId="57" fillId="19" borderId="19" xfId="27" applyNumberFormat="1" applyFont="1" applyFill="1" applyBorder="1" applyAlignment="1"/>
    <xf numFmtId="0" fontId="0" fillId="18" borderId="40" xfId="0" applyFill="1" applyBorder="1"/>
    <xf numFmtId="0" fontId="0" fillId="18" borderId="65" xfId="0" applyFill="1" applyBorder="1"/>
    <xf numFmtId="0" fontId="0" fillId="18" borderId="13" xfId="0" applyFill="1" applyBorder="1"/>
    <xf numFmtId="0" fontId="0" fillId="18" borderId="64" xfId="0" applyFill="1" applyBorder="1"/>
    <xf numFmtId="0" fontId="0" fillId="18" borderId="0" xfId="0" applyFill="1" applyBorder="1"/>
    <xf numFmtId="0" fontId="0" fillId="18" borderId="37" xfId="0" applyFill="1" applyBorder="1"/>
    <xf numFmtId="0" fontId="55" fillId="18" borderId="0" xfId="0" applyFont="1" applyFill="1" applyBorder="1"/>
    <xf numFmtId="0" fontId="0" fillId="18" borderId="66" xfId="0" applyFill="1" applyBorder="1"/>
    <xf numFmtId="0" fontId="0" fillId="18" borderId="67" xfId="0" applyFill="1" applyBorder="1"/>
    <xf numFmtId="0" fontId="58" fillId="18" borderId="12" xfId="0" applyFont="1" applyFill="1" applyBorder="1"/>
    <xf numFmtId="0" fontId="58" fillId="18" borderId="40" xfId="0" applyFont="1" applyFill="1" applyBorder="1"/>
    <xf numFmtId="0" fontId="5" fillId="24" borderId="0" xfId="11" applyFill="1"/>
    <xf numFmtId="0" fontId="59" fillId="24" borderId="0" xfId="11" applyFont="1" applyFill="1" applyAlignment="1">
      <alignment horizontal="center"/>
    </xf>
    <xf numFmtId="0" fontId="59" fillId="2" borderId="0" xfId="11" applyFont="1" applyAlignment="1">
      <alignment horizontal="center"/>
    </xf>
    <xf numFmtId="0" fontId="50" fillId="2" borderId="0" xfId="11" applyFont="1"/>
    <xf numFmtId="0" fontId="61" fillId="21" borderId="68" xfId="11" applyFont="1" applyFill="1" applyBorder="1" applyAlignment="1">
      <alignment horizontal="center" wrapText="1"/>
    </xf>
    <xf numFmtId="0" fontId="62" fillId="22" borderId="68" xfId="11" applyFont="1" applyFill="1" applyBorder="1" applyAlignment="1">
      <alignment horizontal="center" wrapText="1"/>
    </xf>
    <xf numFmtId="0" fontId="62" fillId="22" borderId="12" xfId="11" applyFont="1" applyFill="1" applyBorder="1" applyAlignment="1">
      <alignment horizontal="center" wrapText="1"/>
    </xf>
    <xf numFmtId="0" fontId="61" fillId="21" borderId="64" xfId="11" applyFont="1" applyFill="1" applyBorder="1" applyAlignment="1">
      <alignment horizontal="center" wrapText="1"/>
    </xf>
    <xf numFmtId="0" fontId="61" fillId="21" borderId="12" xfId="11" applyFont="1" applyFill="1" applyBorder="1" applyAlignment="1">
      <alignment horizontal="center" wrapText="1"/>
    </xf>
    <xf numFmtId="0" fontId="62" fillId="22" borderId="64" xfId="11" applyFont="1" applyFill="1" applyBorder="1" applyAlignment="1">
      <alignment horizontal="center" wrapText="1"/>
    </xf>
    <xf numFmtId="0" fontId="43" fillId="16" borderId="69" xfId="11" applyFont="1" applyFill="1" applyBorder="1" applyAlignment="1">
      <alignment horizontal="center" vertical="center" wrapText="1"/>
    </xf>
    <xf numFmtId="0" fontId="43" fillId="16" borderId="56" xfId="11" applyFont="1" applyFill="1" applyBorder="1" applyAlignment="1">
      <alignment horizontal="center" vertical="center" wrapText="1"/>
    </xf>
    <xf numFmtId="0" fontId="43" fillId="16" borderId="41" xfId="11" applyFont="1" applyFill="1" applyBorder="1" applyAlignment="1">
      <alignment horizontal="center" vertical="center" wrapText="1"/>
    </xf>
    <xf numFmtId="182" fontId="63" fillId="21" borderId="70" xfId="11" applyNumberFormat="1" applyFont="1" applyFill="1" applyBorder="1" applyAlignment="1">
      <alignment horizontal="center" vertical="top" wrapText="1"/>
    </xf>
    <xf numFmtId="182" fontId="64" fillId="22" borderId="70" xfId="11" applyNumberFormat="1" applyFont="1" applyFill="1" applyBorder="1" applyAlignment="1">
      <alignment horizontal="center" vertical="top" wrapText="1"/>
    </xf>
    <xf numFmtId="182" fontId="64" fillId="22" borderId="40" xfId="11" applyNumberFormat="1" applyFont="1" applyFill="1" applyBorder="1" applyAlignment="1">
      <alignment horizontal="center" vertical="top" wrapText="1"/>
    </xf>
    <xf numFmtId="182" fontId="63" fillId="21" borderId="37" xfId="11" applyNumberFormat="1" applyFont="1" applyFill="1" applyBorder="1" applyAlignment="1">
      <alignment horizontal="center" vertical="top" wrapText="1"/>
    </xf>
    <xf numFmtId="182" fontId="63" fillId="21" borderId="40" xfId="11" applyNumberFormat="1" applyFont="1" applyFill="1" applyBorder="1" applyAlignment="1">
      <alignment horizontal="center" vertical="top" wrapText="1"/>
    </xf>
    <xf numFmtId="182" fontId="64" fillId="22" borderId="37" xfId="11" applyNumberFormat="1" applyFont="1" applyFill="1" applyBorder="1" applyAlignment="1">
      <alignment horizontal="center" vertical="top" wrapText="1"/>
    </xf>
    <xf numFmtId="0" fontId="61" fillId="16" borderId="71" xfId="11" applyFont="1" applyFill="1" applyBorder="1" applyAlignment="1">
      <alignment horizontal="center" vertical="center" wrapText="1"/>
    </xf>
    <xf numFmtId="0" fontId="47" fillId="16" borderId="56" xfId="11" applyFont="1" applyFill="1" applyBorder="1" applyAlignment="1">
      <alignment horizontal="center" wrapText="1"/>
    </xf>
    <xf numFmtId="0" fontId="47" fillId="16" borderId="41" xfId="11" applyFont="1" applyFill="1" applyBorder="1" applyAlignment="1">
      <alignment horizontal="center" wrapText="1"/>
    </xf>
    <xf numFmtId="0" fontId="61" fillId="21" borderId="72" xfId="11" applyFont="1" applyFill="1" applyBorder="1" applyAlignment="1">
      <alignment horizontal="center" vertical="center" wrapText="1"/>
    </xf>
    <xf numFmtId="0" fontId="62" fillId="22" borderId="72" xfId="11" applyFont="1" applyFill="1" applyBorder="1" applyAlignment="1">
      <alignment horizontal="center" vertical="center" wrapText="1"/>
    </xf>
    <xf numFmtId="0" fontId="43" fillId="2" borderId="41" xfId="11" applyFont="1" applyBorder="1" applyAlignment="1">
      <alignment horizontal="center" vertical="center" wrapText="1"/>
    </xf>
    <xf numFmtId="0" fontId="5" fillId="2" borderId="41" xfId="11" applyBorder="1" applyAlignment="1">
      <alignment vertical="center"/>
    </xf>
    <xf numFmtId="10" fontId="47" fillId="2" borderId="71" xfId="28" applyNumberFormat="1" applyFont="1" applyBorder="1" applyAlignment="1">
      <alignment vertical="center" wrapText="1"/>
    </xf>
    <xf numFmtId="183" fontId="5" fillId="2" borderId="56" xfId="11" applyNumberFormat="1" applyBorder="1" applyAlignment="1">
      <alignment vertical="center"/>
    </xf>
    <xf numFmtId="183" fontId="5" fillId="2" borderId="41" xfId="11" applyNumberFormat="1" applyBorder="1" applyAlignment="1">
      <alignment vertical="center"/>
    </xf>
    <xf numFmtId="10" fontId="43" fillId="2" borderId="75" xfId="28" applyNumberFormat="1" applyFont="1" applyFill="1" applyBorder="1" applyAlignment="1">
      <alignment horizontal="center" vertical="center" wrapText="1"/>
    </xf>
    <xf numFmtId="10" fontId="43" fillId="2" borderId="76" xfId="28" applyNumberFormat="1" applyFont="1" applyFill="1" applyBorder="1" applyAlignment="1">
      <alignment horizontal="center" vertical="center" wrapText="1"/>
    </xf>
    <xf numFmtId="0" fontId="21" fillId="2" borderId="41" xfId="11" applyFont="1" applyBorder="1" applyAlignment="1">
      <alignment vertical="center"/>
    </xf>
    <xf numFmtId="0" fontId="5" fillId="15" borderId="41" xfId="11" applyFill="1" applyBorder="1" applyAlignment="1">
      <alignment vertical="center"/>
    </xf>
    <xf numFmtId="10" fontId="47" fillId="2" borderId="77" xfId="28" applyNumberFormat="1" applyFont="1" applyBorder="1" applyAlignment="1">
      <alignment vertical="center" wrapText="1"/>
    </xf>
    <xf numFmtId="0" fontId="5" fillId="15" borderId="56" xfId="11" applyFill="1" applyBorder="1" applyAlignment="1">
      <alignment vertical="center"/>
    </xf>
    <xf numFmtId="10" fontId="43" fillId="2" borderId="78" xfId="28" applyNumberFormat="1" applyFont="1" applyFill="1" applyBorder="1" applyAlignment="1">
      <alignment horizontal="center" vertical="center" wrapText="1"/>
    </xf>
    <xf numFmtId="0" fontId="21" fillId="2" borderId="0" xfId="11" applyFont="1" applyAlignment="1">
      <alignment horizontal="right" vertical="center" wrapText="1"/>
    </xf>
    <xf numFmtId="0" fontId="43" fillId="16" borderId="11" xfId="11" applyFont="1" applyFill="1" applyBorder="1" applyAlignment="1">
      <alignment horizontal="center" vertical="center" wrapText="1"/>
    </xf>
    <xf numFmtId="180" fontId="17" fillId="18" borderId="57" xfId="0" applyNumberFormat="1" applyFont="1" applyFill="1" applyBorder="1"/>
    <xf numFmtId="41" fontId="17" fillId="18" borderId="27" xfId="0" applyNumberFormat="1" applyFont="1" applyFill="1" applyBorder="1"/>
    <xf numFmtId="43" fontId="67" fillId="18" borderId="41" xfId="0" applyNumberFormat="1" applyFont="1" applyFill="1" applyBorder="1" applyAlignment="1">
      <alignment horizontal="center"/>
    </xf>
    <xf numFmtId="180" fontId="17" fillId="18" borderId="41" xfId="0" applyNumberFormat="1" applyFont="1" applyFill="1" applyBorder="1"/>
    <xf numFmtId="0" fontId="47" fillId="16" borderId="59" xfId="26" applyFont="1" applyFill="1" applyBorder="1" applyAlignment="1">
      <alignment horizontal="center" vertical="center" wrapText="1"/>
    </xf>
    <xf numFmtId="10" fontId="43" fillId="23" borderId="80" xfId="27" applyNumberFormat="1" applyFont="1" applyFill="1" applyBorder="1" applyAlignment="1">
      <alignment horizontal="center" vertical="center" wrapText="1"/>
    </xf>
    <xf numFmtId="10" fontId="43" fillId="23" borderId="60" xfId="27" applyNumberFormat="1" applyFont="1" applyFill="1" applyBorder="1" applyAlignment="1">
      <alignment horizontal="center" vertical="center" wrapText="1"/>
    </xf>
    <xf numFmtId="180" fontId="17" fillId="18" borderId="62" xfId="0" applyNumberFormat="1" applyFont="1" applyFill="1" applyBorder="1"/>
    <xf numFmtId="179" fontId="46" fillId="0" borderId="81" xfId="5" applyNumberFormat="1" applyFont="1" applyBorder="1" applyAlignment="1"/>
    <xf numFmtId="179" fontId="46" fillId="0" borderId="63" xfId="5" applyNumberFormat="1" applyFont="1" applyBorder="1" applyAlignment="1"/>
    <xf numFmtId="2" fontId="66" fillId="3" borderId="27" xfId="11" applyNumberFormat="1" applyFont="1" applyFill="1" applyBorder="1" applyAlignment="1">
      <alignment horizontal="center" vertical="center"/>
    </xf>
    <xf numFmtId="0" fontId="32" fillId="0" borderId="41" xfId="0" applyFont="1" applyFill="1" applyBorder="1" applyAlignment="1">
      <alignment horizontal="left"/>
    </xf>
    <xf numFmtId="0" fontId="32" fillId="0" borderId="43" xfId="0" applyFont="1" applyFill="1" applyBorder="1" applyAlignment="1">
      <alignment horizontal="left"/>
    </xf>
    <xf numFmtId="0" fontId="32" fillId="0" borderId="45" xfId="0" applyFont="1" applyFill="1" applyBorder="1" applyAlignment="1">
      <alignment horizontal="left"/>
    </xf>
    <xf numFmtId="0" fontId="19" fillId="13" borderId="46" xfId="21" applyFont="1" applyFill="1" applyBorder="1" applyAlignment="1">
      <alignment vertical="center" wrapText="1"/>
    </xf>
    <xf numFmtId="176" fontId="20" fillId="10" borderId="41" xfId="21" applyNumberFormat="1" applyFont="1" applyFill="1" applyBorder="1" applyAlignment="1">
      <alignment horizontal="center"/>
    </xf>
    <xf numFmtId="176" fontId="20" fillId="10" borderId="41" xfId="21" applyNumberFormat="1" applyFont="1" applyFill="1" applyBorder="1" applyAlignment="1">
      <alignment horizontal="right"/>
    </xf>
    <xf numFmtId="0" fontId="27" fillId="10" borderId="13" xfId="21" applyFont="1" applyFill="1" applyBorder="1" applyAlignment="1">
      <alignment horizontal="center" vertical="center" wrapText="1"/>
    </xf>
    <xf numFmtId="0" fontId="20" fillId="10" borderId="88" xfId="21" applyFont="1" applyFill="1" applyBorder="1" applyAlignment="1">
      <alignment horizontal="right"/>
    </xf>
    <xf numFmtId="14" fontId="71" fillId="17" borderId="14" xfId="10" applyNumberFormat="1" applyFont="1" applyFill="1" applyBorder="1" applyAlignment="1">
      <alignment horizontal="center" vertical="center"/>
    </xf>
    <xf numFmtId="0" fontId="27" fillId="10" borderId="66" xfId="21" applyFont="1" applyFill="1" applyBorder="1" applyAlignment="1">
      <alignment horizontal="center" vertical="center" wrapText="1"/>
    </xf>
    <xf numFmtId="0" fontId="20" fillId="10" borderId="90" xfId="21" applyFont="1" applyFill="1" applyBorder="1" applyAlignment="1">
      <alignment horizontal="right" vertical="center"/>
    </xf>
    <xf numFmtId="14" fontId="72" fillId="17" borderId="91" xfId="10" applyNumberFormat="1" applyFont="1" applyFill="1" applyBorder="1" applyAlignment="1">
      <alignment horizontal="center" vertical="center"/>
    </xf>
    <xf numFmtId="176" fontId="73" fillId="2" borderId="57" xfId="21" applyNumberFormat="1" applyFont="1" applyFill="1" applyBorder="1" applyAlignment="1">
      <alignment horizontal="right"/>
    </xf>
    <xf numFmtId="180" fontId="73" fillId="2" borderId="57" xfId="21" applyNumberFormat="1" applyFont="1" applyFill="1" applyBorder="1" applyAlignment="1">
      <alignment horizontal="right"/>
    </xf>
    <xf numFmtId="0" fontId="75" fillId="2" borderId="0" xfId="21" applyFont="1" applyFill="1" applyAlignment="1">
      <alignment horizontal="right"/>
    </xf>
    <xf numFmtId="0" fontId="76" fillId="2" borderId="0" xfId="21" applyFont="1" applyFill="1" applyAlignment="1">
      <alignment horizontal="right"/>
    </xf>
    <xf numFmtId="0" fontId="53" fillId="19" borderId="41" xfId="0" applyFont="1" applyFill="1" applyBorder="1" applyAlignment="1">
      <alignment horizontal="center"/>
    </xf>
    <xf numFmtId="0" fontId="53" fillId="20" borderId="59" xfId="0" applyFont="1" applyFill="1" applyBorder="1" applyAlignment="1">
      <alignment horizontal="center" vertical="center"/>
    </xf>
    <xf numFmtId="0" fontId="53" fillId="20" borderId="80" xfId="0" applyFont="1" applyFill="1" applyBorder="1" applyAlignment="1">
      <alignment horizontal="center" vertical="center" wrapText="1"/>
    </xf>
    <xf numFmtId="0" fontId="56" fillId="20" borderId="80" xfId="0" applyFont="1" applyFill="1" applyBorder="1" applyAlignment="1">
      <alignment horizontal="center"/>
    </xf>
    <xf numFmtId="0" fontId="53" fillId="20" borderId="80" xfId="0" applyFont="1" applyFill="1" applyBorder="1" applyAlignment="1">
      <alignment horizontal="center" wrapText="1"/>
    </xf>
    <xf numFmtId="0" fontId="56" fillId="20" borderId="80" xfId="0" applyFont="1" applyFill="1" applyBorder="1" applyAlignment="1">
      <alignment horizontal="center" wrapText="1"/>
    </xf>
    <xf numFmtId="0" fontId="53" fillId="20" borderId="60" xfId="0" applyFont="1" applyFill="1" applyBorder="1" applyAlignment="1">
      <alignment horizontal="center" wrapText="1"/>
    </xf>
    <xf numFmtId="0" fontId="53" fillId="19" borderId="61" xfId="0" applyFont="1" applyFill="1" applyBorder="1" applyAlignment="1">
      <alignment horizontal="center" vertical="center"/>
    </xf>
    <xf numFmtId="0" fontId="53" fillId="19" borderId="17" xfId="0" applyFont="1" applyFill="1" applyBorder="1" applyAlignment="1">
      <alignment horizontal="center"/>
    </xf>
    <xf numFmtId="0" fontId="53" fillId="19" borderId="62" xfId="0" applyFont="1" applyFill="1" applyBorder="1" applyAlignment="1">
      <alignment horizontal="center" vertical="center"/>
    </xf>
    <xf numFmtId="10" fontId="53" fillId="3" borderId="81" xfId="27" applyNumberFormat="1" applyFont="1" applyFill="1" applyBorder="1" applyAlignment="1">
      <alignment vertical="center"/>
    </xf>
    <xf numFmtId="10" fontId="57" fillId="19" borderId="81" xfId="27" applyNumberFormat="1" applyFont="1" applyFill="1" applyBorder="1" applyAlignment="1"/>
    <xf numFmtId="0" fontId="53" fillId="19" borderId="81" xfId="0" applyFont="1" applyFill="1" applyBorder="1" applyAlignment="1">
      <alignment horizontal="center"/>
    </xf>
    <xf numFmtId="0" fontId="53" fillId="19" borderId="63" xfId="0" applyFont="1" applyFill="1" applyBorder="1" applyAlignment="1">
      <alignment horizontal="center"/>
    </xf>
    <xf numFmtId="0" fontId="0" fillId="24" borderId="0" xfId="0" applyFill="1"/>
    <xf numFmtId="0" fontId="7" fillId="2" borderId="0" xfId="6" quotePrefix="1"/>
    <xf numFmtId="178" fontId="20" fillId="9" borderId="93" xfId="5" applyNumberFormat="1" applyFont="1" applyFill="1" applyBorder="1" applyAlignment="1">
      <alignment horizontal="right"/>
    </xf>
    <xf numFmtId="178" fontId="20" fillId="9" borderId="94" xfId="5" applyNumberFormat="1" applyFont="1" applyFill="1" applyBorder="1" applyAlignment="1">
      <alignment horizontal="right"/>
    </xf>
    <xf numFmtId="178" fontId="20" fillId="9" borderId="95" xfId="5" applyNumberFormat="1" applyFont="1" applyFill="1" applyBorder="1" applyAlignment="1">
      <alignment horizontal="right"/>
    </xf>
    <xf numFmtId="178" fontId="20" fillId="9" borderId="67" xfId="5" applyNumberFormat="1" applyFont="1" applyFill="1" applyBorder="1" applyAlignment="1">
      <alignment horizontal="right"/>
    </xf>
    <xf numFmtId="0" fontId="20" fillId="5" borderId="96" xfId="0" applyFont="1" applyFill="1" applyBorder="1" applyAlignment="1">
      <alignment horizontal="left"/>
    </xf>
    <xf numFmtId="0" fontId="6" fillId="9" borderId="97" xfId="0" applyFont="1" applyFill="1" applyBorder="1" applyAlignment="1">
      <alignment horizontal="center" vertical="center"/>
    </xf>
    <xf numFmtId="14" fontId="22" fillId="3" borderId="27" xfId="10" applyNumberFormat="1" applyFont="1" applyFill="1" applyBorder="1" applyAlignment="1">
      <alignment horizontal="center" vertical="center"/>
    </xf>
    <xf numFmtId="0" fontId="6" fillId="9" borderId="31" xfId="0" applyFont="1" applyFill="1" applyBorder="1" applyAlignment="1">
      <alignment horizontal="center" vertical="center"/>
    </xf>
    <xf numFmtId="0" fontId="21" fillId="5" borderId="99" xfId="21" applyFont="1" applyFill="1" applyBorder="1" applyAlignment="1">
      <alignment horizontal="center"/>
    </xf>
    <xf numFmtId="0" fontId="21" fillId="5" borderId="101" xfId="21" applyFont="1" applyFill="1" applyBorder="1" applyAlignment="1">
      <alignment horizontal="center"/>
    </xf>
    <xf numFmtId="43" fontId="0" fillId="0" borderId="0" xfId="0" applyNumberFormat="1"/>
    <xf numFmtId="0" fontId="77" fillId="25" borderId="41" xfId="29" applyFont="1" applyFill="1" applyBorder="1" applyAlignment="1">
      <alignment horizontal="center"/>
    </xf>
    <xf numFmtId="0" fontId="79" fillId="25" borderId="41" xfId="29" applyFont="1" applyFill="1" applyBorder="1" applyAlignment="1">
      <alignment horizontal="center"/>
    </xf>
    <xf numFmtId="43" fontId="74" fillId="18" borderId="102" xfId="0" applyNumberFormat="1" applyFont="1" applyFill="1" applyBorder="1" applyAlignment="1">
      <alignment horizontal="center"/>
    </xf>
    <xf numFmtId="176" fontId="0" fillId="0" borderId="0" xfId="0" applyNumberFormat="1"/>
    <xf numFmtId="0" fontId="0" fillId="0" borderId="114" xfId="0" applyBorder="1"/>
    <xf numFmtId="0" fontId="0" fillId="0" borderId="115" xfId="0" applyBorder="1"/>
    <xf numFmtId="0" fontId="17" fillId="0" borderId="116" xfId="0" applyFont="1" applyBorder="1" applyAlignment="1">
      <alignment horizontal="right"/>
    </xf>
    <xf numFmtId="176" fontId="17" fillId="0" borderId="117" xfId="0" applyNumberFormat="1" applyFont="1" applyBorder="1"/>
    <xf numFmtId="0" fontId="0" fillId="20" borderId="105" xfId="0" applyFill="1" applyBorder="1"/>
    <xf numFmtId="0" fontId="0" fillId="20" borderId="106" xfId="0" applyFill="1" applyBorder="1"/>
    <xf numFmtId="0" fontId="17" fillId="20" borderId="107" xfId="0" applyFont="1" applyFill="1" applyBorder="1" applyAlignment="1">
      <alignment horizontal="right"/>
    </xf>
    <xf numFmtId="176" fontId="0" fillId="20" borderId="60" xfId="0" applyNumberFormat="1" applyFill="1" applyBorder="1"/>
    <xf numFmtId="0" fontId="0" fillId="20" borderId="108" xfId="0" applyFill="1" applyBorder="1"/>
    <xf numFmtId="0" fontId="0" fillId="20" borderId="103" xfId="0" applyFill="1" applyBorder="1"/>
    <xf numFmtId="0" fontId="17" fillId="20" borderId="104" xfId="0" applyFont="1" applyFill="1" applyBorder="1" applyAlignment="1">
      <alignment horizontal="right"/>
    </xf>
    <xf numFmtId="176" fontId="0" fillId="20" borderId="109" xfId="0" applyNumberFormat="1" applyFill="1" applyBorder="1"/>
    <xf numFmtId="0" fontId="17" fillId="20" borderId="110" xfId="0" applyFont="1" applyFill="1" applyBorder="1"/>
    <xf numFmtId="0" fontId="17" fillId="20" borderId="111" xfId="0" applyFont="1" applyFill="1" applyBorder="1"/>
    <xf numFmtId="0" fontId="17" fillId="20" borderId="112" xfId="0" applyFont="1" applyFill="1" applyBorder="1" applyAlignment="1">
      <alignment horizontal="right"/>
    </xf>
    <xf numFmtId="176" fontId="17" fillId="20" borderId="113" xfId="0" applyNumberFormat="1" applyFont="1" applyFill="1" applyBorder="1"/>
    <xf numFmtId="0" fontId="0" fillId="3" borderId="114" xfId="0" applyFill="1" applyBorder="1"/>
    <xf numFmtId="0" fontId="0" fillId="3" borderId="115" xfId="0" applyFill="1" applyBorder="1"/>
    <xf numFmtId="0" fontId="17" fillId="3" borderId="116" xfId="0" applyFont="1" applyFill="1" applyBorder="1" applyAlignment="1">
      <alignment horizontal="right"/>
    </xf>
    <xf numFmtId="49" fontId="33" fillId="2" borderId="0" xfId="21" applyNumberFormat="1" applyFont="1" applyAlignment="1">
      <alignment horizontal="right"/>
    </xf>
    <xf numFmtId="49" fontId="32" fillId="0" borderId="42" xfId="0" applyNumberFormat="1" applyFont="1" applyFill="1" applyBorder="1" applyAlignment="1">
      <alignment horizontal="center"/>
    </xf>
    <xf numFmtId="49" fontId="32" fillId="0" borderId="58" xfId="0" applyNumberFormat="1" applyFont="1" applyFill="1" applyBorder="1" applyAlignment="1">
      <alignment horizontal="center"/>
    </xf>
    <xf numFmtId="49" fontId="32" fillId="0" borderId="44" xfId="0" applyNumberFormat="1" applyFont="1" applyFill="1" applyBorder="1" applyAlignment="1">
      <alignment horizontal="center"/>
    </xf>
    <xf numFmtId="49" fontId="77" fillId="25" borderId="41" xfId="29" applyNumberFormat="1" applyFont="1" applyFill="1" applyBorder="1" applyAlignment="1">
      <alignment horizontal="center"/>
    </xf>
    <xf numFmtId="14" fontId="20" fillId="2" borderId="0" xfId="21" applyNumberFormat="1" applyFont="1" applyFill="1" applyAlignment="1">
      <alignment horizontal="center"/>
    </xf>
    <xf numFmtId="4" fontId="34" fillId="0" borderId="9" xfId="0" applyNumberFormat="1" applyFont="1" applyFill="1" applyBorder="1" applyAlignment="1">
      <alignment horizontal="right"/>
    </xf>
    <xf numFmtId="176" fontId="7" fillId="0" borderId="0" xfId="10" applyNumberFormat="1" applyFont="1" applyFill="1"/>
    <xf numFmtId="0" fontId="0" fillId="0" borderId="0" xfId="0" applyFont="1" applyFill="1"/>
    <xf numFmtId="10" fontId="17" fillId="3" borderId="117" xfId="27" applyNumberFormat="1" applyFont="1" applyFill="1" applyBorder="1" applyAlignment="1"/>
    <xf numFmtId="176" fontId="7" fillId="2" borderId="0" xfId="21" applyNumberFormat="1" applyFill="1"/>
    <xf numFmtId="0" fontId="34" fillId="26" borderId="118" xfId="0" applyFont="1" applyFill="1" applyBorder="1" applyAlignment="1">
      <alignment horizontal="center"/>
    </xf>
    <xf numFmtId="4" fontId="34" fillId="26" borderId="118" xfId="0" applyNumberFormat="1" applyFont="1" applyFill="1" applyBorder="1" applyAlignment="1">
      <alignment horizontal="right"/>
    </xf>
    <xf numFmtId="0" fontId="34" fillId="26" borderId="118" xfId="0" applyFont="1" applyFill="1" applyBorder="1" applyAlignment="1">
      <alignment horizontal="right"/>
    </xf>
    <xf numFmtId="14" fontId="34" fillId="26" borderId="118" xfId="0" applyNumberFormat="1" applyFont="1" applyFill="1" applyBorder="1" applyAlignment="1">
      <alignment horizontal="right"/>
    </xf>
    <xf numFmtId="14" fontId="71" fillId="17" borderId="89" xfId="10" applyNumberFormat="1" applyFont="1" applyFill="1" applyBorder="1" applyAlignment="1">
      <alignment horizontal="center" vertical="center"/>
    </xf>
    <xf numFmtId="14" fontId="72" fillId="17" borderId="92" xfId="10" applyNumberFormat="1" applyFont="1" applyFill="1" applyBorder="1" applyAlignment="1">
      <alignment horizontal="center" vertical="center"/>
    </xf>
    <xf numFmtId="0" fontId="19" fillId="12" borderId="85" xfId="21" applyFont="1" applyFill="1" applyBorder="1" applyAlignment="1">
      <alignment horizontal="left" vertical="center" wrapText="1"/>
    </xf>
    <xf numFmtId="0" fontId="19" fillId="12" borderId="86" xfId="21" applyFont="1" applyFill="1" applyBorder="1" applyAlignment="1">
      <alignment horizontal="left" vertical="center" wrapText="1"/>
    </xf>
    <xf numFmtId="0" fontId="19" fillId="12" borderId="87" xfId="21" applyFont="1" applyFill="1" applyBorder="1" applyAlignment="1">
      <alignment horizontal="left" vertical="center" wrapText="1"/>
    </xf>
    <xf numFmtId="0" fontId="26" fillId="10" borderId="12" xfId="21" applyFont="1" applyFill="1" applyBorder="1" applyAlignment="1">
      <alignment horizontal="center" vertical="center" wrapText="1"/>
    </xf>
    <xf numFmtId="0" fontId="26" fillId="10" borderId="66" xfId="21" applyFont="1" applyFill="1" applyBorder="1" applyAlignment="1">
      <alignment horizontal="center" vertical="center" wrapText="1"/>
    </xf>
    <xf numFmtId="0" fontId="21" fillId="5" borderId="98" xfId="21" applyFont="1" applyFill="1" applyBorder="1" applyAlignment="1">
      <alignment horizontal="center" wrapText="1"/>
    </xf>
    <xf numFmtId="0" fontId="18" fillId="5" borderId="100" xfId="21" applyFont="1" applyFill="1" applyBorder="1" applyAlignment="1">
      <alignment horizontal="center"/>
    </xf>
    <xf numFmtId="0" fontId="53" fillId="20" borderId="59" xfId="0" applyFont="1" applyFill="1" applyBorder="1" applyAlignment="1">
      <alignment horizontal="center"/>
    </xf>
    <xf numFmtId="0" fontId="53" fillId="20" borderId="60" xfId="0" applyFont="1" applyFill="1" applyBorder="1" applyAlignment="1">
      <alignment horizontal="center"/>
    </xf>
    <xf numFmtId="0" fontId="68" fillId="11" borderId="82" xfId="0" applyFont="1" applyFill="1" applyBorder="1" applyAlignment="1">
      <alignment horizontal="center" vertical="center" wrapText="1"/>
    </xf>
    <xf numFmtId="0" fontId="68" fillId="11" borderId="83" xfId="0" applyFont="1" applyFill="1" applyBorder="1" applyAlignment="1">
      <alignment horizontal="center" vertical="center" wrapText="1"/>
    </xf>
    <xf numFmtId="0" fontId="21" fillId="3" borderId="32" xfId="11" applyFont="1" applyFill="1" applyBorder="1" applyAlignment="1">
      <alignment horizontal="center" vertical="center" wrapText="1"/>
    </xf>
    <xf numFmtId="0" fontId="21" fillId="3" borderId="84" xfId="11" applyFont="1" applyFill="1" applyBorder="1" applyAlignment="1">
      <alignment horizontal="center" vertical="center" wrapText="1"/>
    </xf>
    <xf numFmtId="2" fontId="69" fillId="3" borderId="33" xfId="0" applyNumberFormat="1" applyFont="1" applyFill="1" applyBorder="1" applyAlignment="1">
      <alignment horizontal="center" vertical="center"/>
    </xf>
    <xf numFmtId="2" fontId="69" fillId="3" borderId="34" xfId="0" applyNumberFormat="1" applyFont="1" applyFill="1" applyBorder="1" applyAlignment="1">
      <alignment horizontal="center" vertical="center"/>
    </xf>
    <xf numFmtId="10" fontId="43" fillId="2" borderId="15" xfId="28" applyNumberFormat="1" applyFont="1" applyBorder="1" applyAlignment="1">
      <alignment horizontal="center" vertical="center" wrapText="1"/>
    </xf>
    <xf numFmtId="10" fontId="43" fillId="2" borderId="48" xfId="28" applyNumberFormat="1" applyFont="1" applyBorder="1" applyAlignment="1">
      <alignment horizontal="center" vertical="center" wrapText="1"/>
    </xf>
    <xf numFmtId="10" fontId="43" fillId="2" borderId="79" xfId="28" applyNumberFormat="1" applyFont="1" applyBorder="1" applyAlignment="1">
      <alignment horizontal="center" vertical="center" wrapText="1"/>
    </xf>
    <xf numFmtId="10" fontId="43" fillId="2" borderId="30" xfId="28" applyNumberFormat="1" applyFont="1" applyBorder="1" applyAlignment="1">
      <alignment horizontal="center" vertical="center" wrapText="1"/>
    </xf>
    <xf numFmtId="0" fontId="60" fillId="8" borderId="2" xfId="11" applyFont="1" applyFill="1" applyBorder="1" applyAlignment="1">
      <alignment horizontal="center" vertical="center"/>
    </xf>
    <xf numFmtId="0" fontId="60" fillId="8" borderId="3" xfId="11" applyFont="1" applyFill="1" applyBorder="1" applyAlignment="1">
      <alignment horizontal="center" vertical="center"/>
    </xf>
    <xf numFmtId="0" fontId="60" fillId="8" borderId="4" xfId="11" applyFont="1" applyFill="1" applyBorder="1" applyAlignment="1">
      <alignment horizontal="center" vertical="center"/>
    </xf>
    <xf numFmtId="0" fontId="60" fillId="8" borderId="5" xfId="11" applyFont="1" applyFill="1" applyBorder="1" applyAlignment="1">
      <alignment horizontal="center" vertical="center"/>
    </xf>
    <xf numFmtId="0" fontId="60" fillId="8" borderId="6" xfId="11" applyFont="1" applyFill="1" applyBorder="1" applyAlignment="1">
      <alignment horizontal="center" vertical="center"/>
    </xf>
    <xf numFmtId="0" fontId="60" fillId="8" borderId="7" xfId="11" applyFont="1" applyFill="1" applyBorder="1" applyAlignment="1">
      <alignment horizontal="center" vertical="center"/>
    </xf>
    <xf numFmtId="0" fontId="47" fillId="18" borderId="73" xfId="11" applyFont="1" applyFill="1" applyBorder="1" applyAlignment="1">
      <alignment horizontal="center" vertical="center" wrapText="1"/>
    </xf>
    <xf numFmtId="0" fontId="47" fillId="18" borderId="74" xfId="11" applyFont="1" applyFill="1" applyBorder="1" applyAlignment="1">
      <alignment horizontal="center" vertical="center" wrapText="1"/>
    </xf>
    <xf numFmtId="0" fontId="47" fillId="10" borderId="73" xfId="11" applyFont="1" applyFill="1" applyBorder="1" applyAlignment="1">
      <alignment horizontal="center" vertical="center" wrapText="1"/>
    </xf>
    <xf numFmtId="0" fontId="47" fillId="10" borderId="74" xfId="11" applyFont="1" applyFill="1" applyBorder="1" applyAlignment="1">
      <alignment horizontal="center" vertical="center" wrapText="1"/>
    </xf>
    <xf numFmtId="0" fontId="36" fillId="3" borderId="8" xfId="26" applyFont="1" applyFill="1" applyBorder="1" applyAlignment="1">
      <alignment horizontal="left" vertical="center" wrapText="1"/>
    </xf>
    <xf numFmtId="0" fontId="36" fillId="2" borderId="8" xfId="26" applyFont="1" applyBorder="1" applyAlignment="1">
      <alignment horizontal="left" vertical="center" wrapText="1"/>
    </xf>
    <xf numFmtId="0" fontId="37" fillId="2" borderId="8" xfId="26" applyFont="1" applyBorder="1" applyAlignment="1">
      <alignment horizontal="left" vertical="center" wrapText="1"/>
    </xf>
    <xf numFmtId="0" fontId="36" fillId="6" borderId="8" xfId="26" applyFont="1" applyFill="1" applyBorder="1" applyAlignment="1">
      <alignment horizontal="left" vertical="center" wrapText="1"/>
    </xf>
    <xf numFmtId="0" fontId="37" fillId="3" borderId="8" xfId="26" applyFont="1" applyFill="1" applyBorder="1" applyAlignment="1">
      <alignment horizontal="left" vertical="center" wrapText="1"/>
    </xf>
    <xf numFmtId="0" fontId="36" fillId="2" borderId="8" xfId="26" applyFont="1" applyFill="1" applyBorder="1" applyAlignment="1">
      <alignment horizontal="left" vertical="center" wrapText="1"/>
    </xf>
    <xf numFmtId="0" fontId="17" fillId="18" borderId="41" xfId="26" applyFont="1" applyFill="1" applyBorder="1" applyAlignment="1">
      <alignment horizontal="center" vertical="center"/>
    </xf>
    <xf numFmtId="0" fontId="17" fillId="20" borderId="41" xfId="26" applyFont="1" applyFill="1" applyBorder="1" applyAlignment="1">
      <alignment horizontal="center" vertical="center" wrapText="1"/>
    </xf>
    <xf numFmtId="0" fontId="17" fillId="10" borderId="41" xfId="26" applyFont="1" applyFill="1" applyBorder="1" applyAlignment="1">
      <alignment horizontal="center" vertical="center" wrapText="1"/>
    </xf>
    <xf numFmtId="0" fontId="0" fillId="2" borderId="0" xfId="26" applyFont="1" applyAlignment="1">
      <alignment horizontal="left" wrapText="1"/>
    </xf>
    <xf numFmtId="0" fontId="7" fillId="2" borderId="0" xfId="26" applyAlignment="1">
      <alignment horizontal="left" wrapText="1"/>
    </xf>
  </cellXfs>
  <cellStyles count="30">
    <cellStyle name="Comma [0] 2" xfId="3" xr:uid="{00000000-0005-0000-0000-000000000000}"/>
    <cellStyle name="Comma [0] 2 2" xfId="9" xr:uid="{00000000-0005-0000-0000-000001000000}"/>
    <cellStyle name="MajorHeading" xfId="2" xr:uid="{00000000-0005-0000-0000-000002000000}"/>
    <cellStyle name="Normal 2" xfId="1" xr:uid="{00000000-0005-0000-0000-000003000000}"/>
    <cellStyle name="Normal 3 2" xfId="7" xr:uid="{00000000-0005-0000-0000-000004000000}"/>
    <cellStyle name="Normal 5" xfId="18" xr:uid="{00000000-0005-0000-0000-000005000000}"/>
    <cellStyle name="Normal 5 8" xfId="19" xr:uid="{00000000-0005-0000-0000-000006000000}"/>
    <cellStyle name="Normal 6" xfId="8" xr:uid="{00000000-0005-0000-0000-000007000000}"/>
    <cellStyle name="UnitValuation" xfId="4" xr:uid="{00000000-0005-0000-0000-000008000000}"/>
    <cellStyle name="백분율" xfId="27" builtinId="5"/>
    <cellStyle name="백분율 2" xfId="28" xr:uid="{00000000-0005-0000-0000-00000A000000}"/>
    <cellStyle name="쉼표 [0]" xfId="5" builtinId="6"/>
    <cellStyle name="쉼표 [0] 2" xfId="23" xr:uid="{00000000-0005-0000-0000-00000C000000}"/>
    <cellStyle name="쉼표 [0] 3" xfId="25" xr:uid="{00000000-0005-0000-0000-00000D000000}"/>
    <cellStyle name="쉼표 2" xfId="10" xr:uid="{00000000-0005-0000-0000-00000E000000}"/>
    <cellStyle name="쉼표 2 2" xfId="17" xr:uid="{00000000-0005-0000-0000-00000F000000}"/>
    <cellStyle name="쉼표 3" xfId="13" xr:uid="{00000000-0005-0000-0000-000010000000}"/>
    <cellStyle name="쉼표 4" xfId="16" xr:uid="{00000000-0005-0000-0000-000011000000}"/>
    <cellStyle name="표준" xfId="0" builtinId="0"/>
    <cellStyle name="표준 10" xfId="29" xr:uid="{3B0B8ED8-FE17-4A19-B555-821D89695632}"/>
    <cellStyle name="표준 2" xfId="6" xr:uid="{00000000-0005-0000-0000-000013000000}"/>
    <cellStyle name="표준 2 2" xfId="15" xr:uid="{00000000-0005-0000-0000-000014000000}"/>
    <cellStyle name="표준 2 3" xfId="22" xr:uid="{00000000-0005-0000-0000-000015000000}"/>
    <cellStyle name="표준 3" xfId="11" xr:uid="{00000000-0005-0000-0000-000016000000}"/>
    <cellStyle name="표준 4" xfId="12" xr:uid="{00000000-0005-0000-0000-000017000000}"/>
    <cellStyle name="표준 5" xfId="14" xr:uid="{00000000-0005-0000-0000-000018000000}"/>
    <cellStyle name="표준 6" xfId="20" xr:uid="{00000000-0005-0000-0000-000019000000}"/>
    <cellStyle name="표준 7" xfId="21" xr:uid="{00000000-0005-0000-0000-00001A000000}"/>
    <cellStyle name="표준 8" xfId="24" xr:uid="{00000000-0005-0000-0000-00001B000000}"/>
    <cellStyle name="표준 9" xfId="26" xr:uid="{00000000-0005-0000-0000-00001C000000}"/>
  </cellStyles>
  <dxfs count="18">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colors>
    <mruColors>
      <color rgb="FFFFCCFF"/>
      <color rgb="FFFF99FF"/>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134471</xdr:colOff>
      <xdr:row>46</xdr:row>
      <xdr:rowOff>89647</xdr:rowOff>
    </xdr:from>
    <xdr:to>
      <xdr:col>8</xdr:col>
      <xdr:colOff>728382</xdr:colOff>
      <xdr:row>49</xdr:row>
      <xdr:rowOff>89646</xdr:rowOff>
    </xdr:to>
    <xdr:sp macro="" textlink="">
      <xdr:nvSpPr>
        <xdr:cNvPr id="2" name="모서리가 둥근 직사각형 1">
          <a:extLst>
            <a:ext uri="{FF2B5EF4-FFF2-40B4-BE49-F238E27FC236}">
              <a16:creationId xmlns:a16="http://schemas.microsoft.com/office/drawing/2014/main" id="{00000000-0008-0000-0200-000002000000}"/>
            </a:ext>
          </a:extLst>
        </xdr:cNvPr>
        <xdr:cNvSpPr/>
      </xdr:nvSpPr>
      <xdr:spPr>
        <a:xfrm>
          <a:off x="7048500" y="9726706"/>
          <a:ext cx="5670176" cy="8740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5400"/>
            <a:t>IRRBB</a:t>
          </a:r>
          <a:r>
            <a:rPr lang="en-US" altLang="ko-KR" sz="5400" baseline="0"/>
            <a:t> Stress Test</a:t>
          </a:r>
          <a:endParaRPr lang="ko-KR" altLang="en-US" sz="54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5</xdr:col>
      <xdr:colOff>15240</xdr:colOff>
      <xdr:row>6</xdr:row>
      <xdr:rowOff>274320</xdr:rowOff>
    </xdr:from>
    <xdr:ext cx="1135380" cy="39624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949065" y="187452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14:m>
                <m:oMathPara xmlns:m="http://schemas.openxmlformats.org/officeDocument/2006/math">
                  <m:oMathParaPr>
                    <m:jc m:val="centerGroup"/>
                  </m:oMathParaPr>
                  <m:oMath xmlns:m="http://schemas.openxmlformats.org/officeDocument/2006/math">
                    <m:sSup>
                      <m:sSupPr>
                        <m:ctrlPr>
                          <a:rPr lang="ko-KR" altLang="en-US" sz="1100" b="1" i="1">
                            <a:solidFill>
                              <a:srgbClr val="836967"/>
                            </a:solidFill>
                            <a:latin typeface="Cambria Math" panose="02040503050406030204" pitchFamily="18" charset="0"/>
                          </a:rPr>
                        </m:ctrlPr>
                      </m:sSupPr>
                      <m:e>
                        <m:r>
                          <a:rPr lang="ko-KR" altLang="en-US" sz="1100" b="1">
                            <a:latin typeface="Cambria Math" panose="02040503050406030204" pitchFamily="18" charset="0"/>
                          </a:rPr>
                          <m:t>ⅇ</m:t>
                        </m:r>
                      </m:e>
                      <m:sup>
                        <m:d>
                          <m:dPr>
                            <m:ctrlPr>
                              <a:rPr lang="ko-KR" altLang="en-US" sz="1100" b="1" i="1">
                                <a:solidFill>
                                  <a:srgbClr val="836967"/>
                                </a:solidFill>
                                <a:latin typeface="Cambria Math" panose="02040503050406030204" pitchFamily="18" charset="0"/>
                              </a:rPr>
                            </m:ctrlPr>
                          </m:dPr>
                          <m:e>
                            <m:r>
                              <a:rPr lang="ko-KR" altLang="en-US" sz="1100" b="1" i="0">
                                <a:latin typeface="Cambria Math" panose="02040503050406030204" pitchFamily="18" charset="0"/>
                              </a:rPr>
                              <m:t>−</m:t>
                            </m:r>
                            <m:f>
                              <m:fPr>
                                <m:ctrlPr>
                                  <a:rPr lang="ko-KR" altLang="en-US" sz="1100" b="1" i="1">
                                    <a:solidFill>
                                      <a:srgbClr val="836967"/>
                                    </a:solidFill>
                                    <a:latin typeface="Cambria Math" panose="02040503050406030204" pitchFamily="18" charset="0"/>
                                  </a:rPr>
                                </m:ctrlPr>
                              </m:fPr>
                              <m:num>
                                <m:sSub>
                                  <m:sSubPr>
                                    <m:ctrlPr>
                                      <a:rPr lang="ko-KR" altLang="en-US" sz="1100" b="1" i="1">
                                        <a:solidFill>
                                          <a:srgbClr val="836967"/>
                                        </a:solidFill>
                                        <a:latin typeface="Cambria Math" panose="02040503050406030204" pitchFamily="18" charset="0"/>
                                      </a:rPr>
                                    </m:ctrlPr>
                                  </m:sSubPr>
                                  <m:e>
                                    <m:r>
                                      <a:rPr lang="ko-KR" altLang="en-US" sz="1100" b="1" i="1">
                                        <a:latin typeface="Cambria Math" panose="02040503050406030204" pitchFamily="18" charset="0"/>
                                      </a:rPr>
                                      <m:t>𝒕</m:t>
                                    </m:r>
                                  </m:e>
                                  <m:sub>
                                    <m:r>
                                      <a:rPr lang="ko-KR" altLang="en-US" sz="1100" b="1" i="1">
                                        <a:latin typeface="Cambria Math" panose="02040503050406030204" pitchFamily="18" charset="0"/>
                                      </a:rPr>
                                      <m:t>𝒌</m:t>
                                    </m:r>
                                  </m:sub>
                                </m:sSub>
                              </m:num>
                              <m:den>
                                <m:r>
                                  <a:rPr lang="ko-KR" altLang="en-US" sz="1100" b="1" i="0">
                                    <a:latin typeface="Cambria Math" panose="02040503050406030204" pitchFamily="18" charset="0"/>
                                  </a:rPr>
                                  <m:t>𝟒</m:t>
                                </m:r>
                              </m:den>
                            </m:f>
                          </m:e>
                        </m:d>
                      </m:sup>
                    </m:sSup>
                  </m:oMath>
                </m:oMathPara>
              </a14:m>
              <a:endParaRPr lang="ko-KR" altLang="en-US" sz="1100" b="1"/>
            </a:p>
          </xdr:txBody>
        </xdr:sp>
      </mc:Choice>
      <mc:Fallback xmlns="">
        <xdr:sp macro="" textlink="">
          <xdr:nvSpPr>
            <xdr:cNvPr id="2" name="TextBox 1">
              <a:extLst>
                <a:ext uri="{FF2B5EF4-FFF2-40B4-BE49-F238E27FC236}">
                  <a16:creationId xmlns:a16="http://schemas.microsoft.com/office/drawing/2014/main" id="{38C30773-8085-6035-FF4E-6E7270ACB395}"/>
                </a:ext>
              </a:extLst>
            </xdr:cNvPr>
            <xdr:cNvSpPr txBox="1"/>
          </xdr:nvSpPr>
          <xdr:spPr>
            <a:xfrm>
              <a:off x="3949065" y="187452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r>
                <a:rPr lang="ko-KR" altLang="en-US" sz="1100" b="1" i="0">
                  <a:latin typeface="Cambria Math" panose="02040503050406030204" pitchFamily="18" charset="0"/>
                </a:rPr>
                <a:t>ⅇ</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−𝒕</a:t>
              </a:r>
              <a:r>
                <a:rPr lang="ko-KR" altLang="en-US" sz="1100" b="1" i="0">
                  <a:solidFill>
                    <a:srgbClr val="836967"/>
                  </a:solidFill>
                  <a:latin typeface="Cambria Math" panose="02040503050406030204" pitchFamily="18" charset="0"/>
                </a:rPr>
                <a:t>_</a:t>
              </a:r>
              <a:r>
                <a:rPr lang="ko-KR" altLang="en-US" sz="1100" b="1" i="0">
                  <a:latin typeface="Cambria Math" panose="02040503050406030204" pitchFamily="18" charset="0"/>
                </a:rPr>
                <a:t>𝒌</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𝟒) </a:t>
              </a:r>
              <a:r>
                <a:rPr lang="ko-KR" altLang="en-US" sz="1100" b="1" i="0">
                  <a:solidFill>
                    <a:srgbClr val="836967"/>
                  </a:solidFill>
                  <a:latin typeface="Cambria Math" panose="02040503050406030204" pitchFamily="18" charset="0"/>
                </a:rPr>
                <a:t>)</a:t>
              </a:r>
              <a:endParaRPr lang="ko-KR" altLang="en-US" sz="1100" b="1"/>
            </a:p>
          </xdr:txBody>
        </xdr:sp>
      </mc:Fallback>
    </mc:AlternateContent>
    <xdr:clientData/>
  </xdr:oneCellAnchor>
  <xdr:twoCellAnchor editAs="oneCell">
    <xdr:from>
      <xdr:col>6</xdr:col>
      <xdr:colOff>24653</xdr:colOff>
      <xdr:row>7</xdr:row>
      <xdr:rowOff>53339</xdr:rowOff>
    </xdr:from>
    <xdr:to>
      <xdr:col>6</xdr:col>
      <xdr:colOff>1039923</xdr:colOff>
      <xdr:row>7</xdr:row>
      <xdr:rowOff>281940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5215778" y="1986914"/>
          <a:ext cx="1015270" cy="228601"/>
        </a:xfrm>
        <a:prstGeom prst="rect">
          <a:avLst/>
        </a:prstGeom>
      </xdr:spPr>
    </xdr:pic>
    <xdr:clientData/>
  </xdr:twoCellAnchor>
  <xdr:oneCellAnchor>
    <xdr:from>
      <xdr:col>5</xdr:col>
      <xdr:colOff>15240</xdr:colOff>
      <xdr:row>32</xdr:row>
      <xdr:rowOff>274320</xdr:rowOff>
    </xdr:from>
    <xdr:ext cx="1135380" cy="39624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949065" y="806577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14:m>
                <m:oMathPara xmlns:m="http://schemas.openxmlformats.org/officeDocument/2006/math">
                  <m:oMathParaPr>
                    <m:jc m:val="centerGroup"/>
                  </m:oMathParaPr>
                  <m:oMath xmlns:m="http://schemas.openxmlformats.org/officeDocument/2006/math">
                    <m:sSup>
                      <m:sSupPr>
                        <m:ctrlPr>
                          <a:rPr lang="ko-KR" altLang="en-US" sz="1100" b="1" i="1">
                            <a:solidFill>
                              <a:srgbClr val="836967"/>
                            </a:solidFill>
                            <a:latin typeface="Cambria Math" panose="02040503050406030204" pitchFamily="18" charset="0"/>
                          </a:rPr>
                        </m:ctrlPr>
                      </m:sSupPr>
                      <m:e>
                        <m:r>
                          <a:rPr lang="ko-KR" altLang="en-US" sz="1100" b="1">
                            <a:latin typeface="Cambria Math" panose="02040503050406030204" pitchFamily="18" charset="0"/>
                          </a:rPr>
                          <m:t>ⅇ</m:t>
                        </m:r>
                      </m:e>
                      <m:sup>
                        <m:d>
                          <m:dPr>
                            <m:ctrlPr>
                              <a:rPr lang="ko-KR" altLang="en-US" sz="1100" b="1" i="1">
                                <a:solidFill>
                                  <a:srgbClr val="836967"/>
                                </a:solidFill>
                                <a:latin typeface="Cambria Math" panose="02040503050406030204" pitchFamily="18" charset="0"/>
                              </a:rPr>
                            </m:ctrlPr>
                          </m:dPr>
                          <m:e>
                            <m:r>
                              <a:rPr lang="ko-KR" altLang="en-US" sz="1100" b="1" i="0">
                                <a:latin typeface="Cambria Math" panose="02040503050406030204" pitchFamily="18" charset="0"/>
                              </a:rPr>
                              <m:t>−</m:t>
                            </m:r>
                            <m:f>
                              <m:fPr>
                                <m:ctrlPr>
                                  <a:rPr lang="ko-KR" altLang="en-US" sz="1100" b="1" i="1">
                                    <a:solidFill>
                                      <a:srgbClr val="836967"/>
                                    </a:solidFill>
                                    <a:latin typeface="Cambria Math" panose="02040503050406030204" pitchFamily="18" charset="0"/>
                                  </a:rPr>
                                </m:ctrlPr>
                              </m:fPr>
                              <m:num>
                                <m:sSub>
                                  <m:sSubPr>
                                    <m:ctrlPr>
                                      <a:rPr lang="ko-KR" altLang="en-US" sz="1100" b="1" i="1">
                                        <a:solidFill>
                                          <a:srgbClr val="836967"/>
                                        </a:solidFill>
                                        <a:latin typeface="Cambria Math" panose="02040503050406030204" pitchFamily="18" charset="0"/>
                                      </a:rPr>
                                    </m:ctrlPr>
                                  </m:sSubPr>
                                  <m:e>
                                    <m:r>
                                      <a:rPr lang="ko-KR" altLang="en-US" sz="1100" b="1" i="1">
                                        <a:latin typeface="Cambria Math" panose="02040503050406030204" pitchFamily="18" charset="0"/>
                                      </a:rPr>
                                      <m:t>𝒕</m:t>
                                    </m:r>
                                  </m:e>
                                  <m:sub>
                                    <m:r>
                                      <a:rPr lang="ko-KR" altLang="en-US" sz="1100" b="1" i="1">
                                        <a:latin typeface="Cambria Math" panose="02040503050406030204" pitchFamily="18" charset="0"/>
                                      </a:rPr>
                                      <m:t>𝒌</m:t>
                                    </m:r>
                                  </m:sub>
                                </m:sSub>
                              </m:num>
                              <m:den>
                                <m:r>
                                  <a:rPr lang="ko-KR" altLang="en-US" sz="1100" b="1" i="0">
                                    <a:latin typeface="Cambria Math" panose="02040503050406030204" pitchFamily="18" charset="0"/>
                                  </a:rPr>
                                  <m:t>𝟒</m:t>
                                </m:r>
                              </m:den>
                            </m:f>
                          </m:e>
                        </m:d>
                      </m:sup>
                    </m:sSup>
                  </m:oMath>
                </m:oMathPara>
              </a14:m>
              <a:endParaRPr lang="ko-KR" altLang="en-US" sz="1100" b="1"/>
            </a:p>
          </xdr:txBody>
        </xdr:sp>
      </mc:Choice>
      <mc:Fallback xmlns="">
        <xdr:sp macro="" textlink="">
          <xdr:nvSpPr>
            <xdr:cNvPr id="4" name="TextBox 3">
              <a:extLst>
                <a:ext uri="{FF2B5EF4-FFF2-40B4-BE49-F238E27FC236}">
                  <a16:creationId xmlns:a16="http://schemas.microsoft.com/office/drawing/2014/main" id="{38C30773-8085-6035-FF4E-6E7270ACB395}"/>
                </a:ext>
              </a:extLst>
            </xdr:cNvPr>
            <xdr:cNvSpPr txBox="1"/>
          </xdr:nvSpPr>
          <xdr:spPr>
            <a:xfrm>
              <a:off x="3949065" y="8065770"/>
              <a:ext cx="113538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b">
              <a:noAutofit/>
            </a:bodyPr>
            <a:lstStyle/>
            <a:p>
              <a:pPr/>
              <a:r>
                <a:rPr lang="ko-KR" altLang="en-US" sz="1100" b="1" i="0">
                  <a:latin typeface="Cambria Math" panose="02040503050406030204" pitchFamily="18" charset="0"/>
                </a:rPr>
                <a:t>ⅇ</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−𝒕</a:t>
              </a:r>
              <a:r>
                <a:rPr lang="ko-KR" altLang="en-US" sz="1100" b="1" i="0">
                  <a:solidFill>
                    <a:srgbClr val="836967"/>
                  </a:solidFill>
                  <a:latin typeface="Cambria Math" panose="02040503050406030204" pitchFamily="18" charset="0"/>
                </a:rPr>
                <a:t>_</a:t>
              </a:r>
              <a:r>
                <a:rPr lang="ko-KR" altLang="en-US" sz="1100" b="1" i="0">
                  <a:latin typeface="Cambria Math" panose="02040503050406030204" pitchFamily="18" charset="0"/>
                </a:rPr>
                <a:t>𝒌</a:t>
              </a:r>
              <a:r>
                <a:rPr lang="ko-KR" altLang="en-US" sz="1100" b="1" i="0">
                  <a:solidFill>
                    <a:srgbClr val="836967"/>
                  </a:solidFill>
                  <a:latin typeface="Cambria Math" panose="02040503050406030204" pitchFamily="18" charset="0"/>
                </a:rPr>
                <a:t>/</a:t>
              </a:r>
              <a:r>
                <a:rPr lang="ko-KR" altLang="en-US" sz="1100" b="1" i="0">
                  <a:latin typeface="Cambria Math" panose="02040503050406030204" pitchFamily="18" charset="0"/>
                </a:rPr>
                <a:t>𝟒) </a:t>
              </a:r>
              <a:r>
                <a:rPr lang="ko-KR" altLang="en-US" sz="1100" b="1" i="0">
                  <a:solidFill>
                    <a:srgbClr val="836967"/>
                  </a:solidFill>
                  <a:latin typeface="Cambria Math" panose="02040503050406030204" pitchFamily="18" charset="0"/>
                </a:rPr>
                <a:t>)</a:t>
              </a:r>
              <a:endParaRPr lang="ko-KR" altLang="en-US" sz="1100" b="1"/>
            </a:p>
          </xdr:txBody>
        </xdr:sp>
      </mc:Fallback>
    </mc:AlternateContent>
    <xdr:clientData/>
  </xdr:oneCellAnchor>
  <xdr:oneCellAnchor>
    <xdr:from>
      <xdr:col>6</xdr:col>
      <xdr:colOff>24653</xdr:colOff>
      <xdr:row>33</xdr:row>
      <xdr:rowOff>53339</xdr:rowOff>
    </xdr:from>
    <xdr:ext cx="1015270" cy="228601"/>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5215778" y="8178164"/>
          <a:ext cx="1015270" cy="22860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22621139\Desktop\&#54924;&#44228;&#51088;&#47308;\Accounting\APRA%20Report\2022\9.%20Sep\Quarterly\&#49352;%20&#54260;&#45908;\APRA%20Qly%20FS%20Return%20Excel%20Model%20Workbook_Q3_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amp; Lodgement"/>
      <sheetName val="Reviews"/>
      <sheetName val="220_5"/>
      <sheetName val="330_0_L"/>
      <sheetName val="330_1_L"/>
      <sheetName val="IS 30092022"/>
      <sheetName val="330_2_L Ins"/>
      <sheetName val="330_3 Ins"/>
      <sheetName val="BS 30092022"/>
      <sheetName val="Change Control"/>
    </sheetNames>
    <sheetDataSet>
      <sheetData sheetId="0">
        <row r="17">
          <cell r="K17">
            <v>44868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8"/>
  <sheetViews>
    <sheetView zoomScale="90" zoomScaleNormal="90" workbookViewId="0">
      <selection activeCell="E29" sqref="E29"/>
    </sheetView>
  </sheetViews>
  <sheetFormatPr defaultColWidth="9" defaultRowHeight="17.350000000000001"/>
  <cols>
    <col min="1" max="1" width="2.109375" style="6" customWidth="1"/>
    <col min="2" max="2" width="18.44140625" style="6" customWidth="1"/>
    <col min="3" max="3" width="50.6640625" style="6" bestFit="1" customWidth="1"/>
    <col min="4" max="4" width="11.109375" style="6" bestFit="1" customWidth="1"/>
    <col min="5" max="5" width="30.6640625" style="6" bestFit="1" customWidth="1"/>
    <col min="6" max="6" width="9" style="6"/>
    <col min="7" max="7" width="16.6640625" style="6" customWidth="1"/>
    <col min="8" max="8" width="14.6640625" style="6" customWidth="1"/>
    <col min="9" max="9" width="9" style="6"/>
    <col min="10" max="10" width="20.6640625" style="6" customWidth="1"/>
    <col min="11" max="11" width="9" style="14"/>
    <col min="12" max="16384" width="9" style="6"/>
  </cols>
  <sheetData>
    <row r="1" spans="2:11" ht="31.35">
      <c r="B1" s="3" t="s">
        <v>16</v>
      </c>
      <c r="C1" s="3"/>
      <c r="D1" s="4"/>
      <c r="E1" s="4"/>
      <c r="F1" s="4"/>
      <c r="G1" s="4"/>
      <c r="H1" s="4"/>
      <c r="I1" s="4"/>
      <c r="J1" s="4"/>
      <c r="K1" s="5"/>
    </row>
    <row r="2" spans="2:11">
      <c r="B2" s="4"/>
      <c r="C2" s="4"/>
      <c r="D2" s="4"/>
      <c r="E2" s="4"/>
      <c r="F2" s="4"/>
      <c r="G2" s="4"/>
      <c r="H2" s="4"/>
      <c r="I2" s="4"/>
      <c r="J2" s="4"/>
      <c r="K2" s="5"/>
    </row>
    <row r="3" spans="2:11">
      <c r="B3" s="7" t="s">
        <v>17</v>
      </c>
      <c r="C3" s="7" t="s">
        <v>14</v>
      </c>
      <c r="D3" s="7" t="s">
        <v>18</v>
      </c>
      <c r="E3" s="7" t="s">
        <v>19</v>
      </c>
      <c r="F3" s="7" t="s">
        <v>20</v>
      </c>
      <c r="G3" s="7" t="s">
        <v>21</v>
      </c>
      <c r="H3" s="7" t="s">
        <v>22</v>
      </c>
      <c r="I3" s="7" t="s">
        <v>23</v>
      </c>
      <c r="J3" s="7" t="s">
        <v>21</v>
      </c>
      <c r="K3" s="8"/>
    </row>
    <row r="4" spans="2:11">
      <c r="B4" s="9" t="s">
        <v>31</v>
      </c>
      <c r="C4" s="10" t="s">
        <v>36</v>
      </c>
      <c r="D4" s="2" t="s">
        <v>24</v>
      </c>
      <c r="E4" s="2" t="s">
        <v>24</v>
      </c>
      <c r="F4" s="2" t="s">
        <v>25</v>
      </c>
      <c r="G4" s="1">
        <f>'[5]Checklist &amp; Lodgement'!K17</f>
        <v>44868</v>
      </c>
      <c r="H4" s="11"/>
      <c r="I4" s="11"/>
      <c r="J4" s="12"/>
      <c r="K4" s="13"/>
    </row>
    <row r="5" spans="2:11">
      <c r="B5" s="9" t="s">
        <v>32</v>
      </c>
      <c r="C5" s="10" t="s">
        <v>37</v>
      </c>
      <c r="D5" s="2" t="s">
        <v>24</v>
      </c>
      <c r="E5" s="2" t="s">
        <v>24</v>
      </c>
      <c r="F5" s="2" t="s">
        <v>15</v>
      </c>
      <c r="G5" s="1">
        <f>G4</f>
        <v>44868</v>
      </c>
      <c r="H5" s="11"/>
      <c r="I5" s="11"/>
      <c r="J5" s="12"/>
      <c r="K5" s="13"/>
    </row>
    <row r="6" spans="2:11">
      <c r="B6" s="9" t="s">
        <v>33</v>
      </c>
      <c r="C6" s="10" t="s">
        <v>38</v>
      </c>
      <c r="D6" s="2" t="s">
        <v>24</v>
      </c>
      <c r="E6" s="2" t="s">
        <v>24</v>
      </c>
      <c r="F6" s="2" t="s">
        <v>26</v>
      </c>
      <c r="G6" s="1">
        <f t="shared" ref="G6:G8" si="0">G5</f>
        <v>44868</v>
      </c>
      <c r="H6" s="11"/>
      <c r="I6" s="11"/>
      <c r="J6" s="12"/>
      <c r="K6" s="13"/>
    </row>
    <row r="7" spans="2:11">
      <c r="B7" s="9" t="s">
        <v>34</v>
      </c>
      <c r="C7" s="10" t="s">
        <v>39</v>
      </c>
      <c r="D7" s="2" t="s">
        <v>24</v>
      </c>
      <c r="E7" s="2" t="s">
        <v>24</v>
      </c>
      <c r="F7" s="2" t="s">
        <v>25</v>
      </c>
      <c r="G7" s="1">
        <f t="shared" si="0"/>
        <v>44868</v>
      </c>
      <c r="H7" s="11"/>
      <c r="I7" s="11"/>
      <c r="J7" s="12"/>
      <c r="K7" s="13"/>
    </row>
    <row r="8" spans="2:11">
      <c r="B8" s="9" t="s">
        <v>35</v>
      </c>
      <c r="C8" s="10" t="s">
        <v>40</v>
      </c>
      <c r="D8" s="2" t="s">
        <v>24</v>
      </c>
      <c r="E8" s="2" t="s">
        <v>24</v>
      </c>
      <c r="F8" s="2" t="s">
        <v>25</v>
      </c>
      <c r="G8" s="1">
        <f t="shared" si="0"/>
        <v>44868</v>
      </c>
      <c r="H8" s="11"/>
      <c r="I8" s="11"/>
      <c r="J8" s="12"/>
      <c r="K8" s="13"/>
    </row>
  </sheetData>
  <phoneticPr fontId="10" type="noConversion"/>
  <dataValidations count="1">
    <dataValidation type="list" allowBlank="1" showInputMessage="1" showErrorMessage="1" sqref="I4" xr:uid="{00000000-0002-0000-0000-000000000000}">
      <formula1>"HK,HL,NC"</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53"/>
  <sheetViews>
    <sheetView zoomScale="55" zoomScaleNormal="55" workbookViewId="0">
      <pane ySplit="11" topLeftCell="A12" activePane="bottomLeft" state="frozen"/>
      <selection pane="bottomLeft" activeCell="A12" sqref="A12"/>
    </sheetView>
  </sheetViews>
  <sheetFormatPr defaultColWidth="9.109375" defaultRowHeight="17.350000000000001"/>
  <cols>
    <col min="1" max="1" width="16.6640625" style="26" bestFit="1" customWidth="1"/>
    <col min="2" max="2" width="59" style="26" bestFit="1" customWidth="1"/>
    <col min="3" max="3" width="34.33203125" style="26" customWidth="1"/>
    <col min="4" max="4" width="30.88671875" style="26" bestFit="1" customWidth="1"/>
    <col min="5" max="5" width="56.109375" style="26" customWidth="1"/>
    <col min="6" max="7" width="16.6640625" style="31" customWidth="1"/>
    <col min="8" max="8" width="19.6640625" style="261" customWidth="1"/>
    <col min="9" max="9" width="17.88671875" style="26" customWidth="1"/>
    <col min="10" max="10" width="19.109375" style="21" bestFit="1" customWidth="1"/>
    <col min="11" max="11" width="27.109375" style="21" bestFit="1" customWidth="1"/>
    <col min="12" max="12" width="82.6640625" style="21" customWidth="1"/>
    <col min="13" max="13" width="31.33203125" style="26" customWidth="1"/>
    <col min="14" max="14" width="25.109375" style="22" bestFit="1" customWidth="1"/>
    <col min="15" max="15" width="12.44140625" style="22" bestFit="1" customWidth="1"/>
    <col min="16" max="16" width="12.6640625" style="22" bestFit="1" customWidth="1"/>
    <col min="17" max="32" width="22.6640625" style="22" customWidth="1"/>
    <col min="33" max="33" width="27.109375" style="22" bestFit="1" customWidth="1"/>
    <col min="34" max="34" width="14.21875" style="26" bestFit="1" customWidth="1"/>
    <col min="35" max="35" width="10.44140625" style="26" bestFit="1" customWidth="1"/>
    <col min="36" max="16384" width="9.109375" style="26"/>
  </cols>
  <sheetData>
    <row r="1" spans="1:35" ht="31.35" thickBot="1">
      <c r="A1" s="254" t="s">
        <v>846</v>
      </c>
      <c r="B1" s="20"/>
      <c r="C1" s="20"/>
      <c r="H1" s="30"/>
      <c r="I1" s="30"/>
      <c r="M1" s="21"/>
      <c r="N1" s="21"/>
      <c r="Q1" s="104"/>
      <c r="R1" s="104"/>
      <c r="S1" s="104"/>
      <c r="T1" s="104"/>
      <c r="U1" s="104"/>
      <c r="V1" s="104"/>
      <c r="W1" s="104"/>
      <c r="X1" s="104"/>
      <c r="Y1" s="104"/>
      <c r="Z1" s="104"/>
      <c r="AA1" s="104"/>
      <c r="AB1" s="104"/>
      <c r="AC1" s="104"/>
      <c r="AD1" s="104"/>
      <c r="AE1" s="104"/>
      <c r="AF1" s="104"/>
      <c r="AG1" s="104"/>
    </row>
    <row r="2" spans="1:35" ht="18.7" thickTop="1" thickBot="1">
      <c r="A2" s="255">
        <v>10690001</v>
      </c>
      <c r="B2" s="189" t="s">
        <v>45</v>
      </c>
      <c r="C2" s="271" t="s">
        <v>499</v>
      </c>
      <c r="H2" s="30"/>
      <c r="I2" s="30"/>
      <c r="K2" s="276" t="s">
        <v>850</v>
      </c>
      <c r="L2" s="228" t="s">
        <v>848</v>
      </c>
      <c r="M2" s="21"/>
      <c r="N2" s="21"/>
      <c r="P2" s="115" t="b">
        <f>ROUND(SUM(Q3:AG3)-SUM(Q4:AG4),0)=ROUND(SUM(Q5:AG5),0)</f>
        <v>1</v>
      </c>
      <c r="Q2" s="203" t="s">
        <v>746</v>
      </c>
      <c r="R2" s="203" t="s">
        <v>747</v>
      </c>
      <c r="S2" s="203" t="s">
        <v>748</v>
      </c>
      <c r="T2" s="203" t="s">
        <v>749</v>
      </c>
      <c r="U2" s="203" t="s">
        <v>750</v>
      </c>
      <c r="V2" s="203" t="s">
        <v>751</v>
      </c>
      <c r="W2" s="203" t="s">
        <v>752</v>
      </c>
      <c r="X2" s="203" t="s">
        <v>753</v>
      </c>
      <c r="Y2" s="203" t="s">
        <v>754</v>
      </c>
      <c r="Z2" s="203" t="s">
        <v>755</v>
      </c>
      <c r="AA2" s="203" t="s">
        <v>756</v>
      </c>
      <c r="AB2" s="203" t="s">
        <v>757</v>
      </c>
      <c r="AC2" s="203" t="s">
        <v>758</v>
      </c>
      <c r="AD2" s="203" t="s">
        <v>759</v>
      </c>
      <c r="AE2" s="203" t="s">
        <v>760</v>
      </c>
      <c r="AF2" s="203" t="s">
        <v>761</v>
      </c>
      <c r="AG2" s="203" t="s">
        <v>762</v>
      </c>
    </row>
    <row r="3" spans="1:35" ht="18" thickBot="1">
      <c r="A3" s="256">
        <v>10690001</v>
      </c>
      <c r="B3" s="188" t="s">
        <v>315</v>
      </c>
      <c r="C3" s="272"/>
      <c r="H3" s="30"/>
      <c r="I3" s="30"/>
      <c r="K3" s="277"/>
      <c r="L3" s="229" t="s">
        <v>849</v>
      </c>
      <c r="M3" s="21"/>
      <c r="N3" s="21"/>
      <c r="P3" s="192" t="s">
        <v>41</v>
      </c>
      <c r="Q3" s="193">
        <f t="shared" ref="Q3:AG3" si="0">SUMIF($P$12:$P$681,$P$3,Q12:Q681)</f>
        <v>130264234.25999998</v>
      </c>
      <c r="R3" s="193">
        <f t="shared" si="0"/>
        <v>82224384.589999989</v>
      </c>
      <c r="S3" s="193">
        <f t="shared" si="0"/>
        <v>17184060.600000001</v>
      </c>
      <c r="T3" s="193">
        <f t="shared" si="0"/>
        <v>28000000</v>
      </c>
      <c r="U3" s="193">
        <f t="shared" si="0"/>
        <v>10000000</v>
      </c>
      <c r="V3" s="193">
        <f t="shared" si="0"/>
        <v>5053962.5</v>
      </c>
      <c r="W3" s="193">
        <f t="shared" si="0"/>
        <v>0</v>
      </c>
      <c r="X3" s="193">
        <f t="shared" si="0"/>
        <v>16463021.149999999</v>
      </c>
      <c r="Y3" s="193">
        <f t="shared" si="0"/>
        <v>0</v>
      </c>
      <c r="Z3" s="193">
        <f t="shared" si="0"/>
        <v>0</v>
      </c>
      <c r="AA3" s="193">
        <f t="shared" si="0"/>
        <v>0</v>
      </c>
      <c r="AB3" s="193">
        <f t="shared" si="0"/>
        <v>0</v>
      </c>
      <c r="AC3" s="193">
        <f t="shared" si="0"/>
        <v>0</v>
      </c>
      <c r="AD3" s="193">
        <f t="shared" si="0"/>
        <v>0</v>
      </c>
      <c r="AE3" s="193">
        <f t="shared" si="0"/>
        <v>0</v>
      </c>
      <c r="AF3" s="193">
        <f t="shared" si="0"/>
        <v>0</v>
      </c>
      <c r="AG3" s="193">
        <f t="shared" si="0"/>
        <v>2765808.7199999946</v>
      </c>
      <c r="AH3" s="264"/>
    </row>
    <row r="4" spans="1:35" ht="18" thickTop="1">
      <c r="A4" s="256">
        <v>10690003</v>
      </c>
      <c r="B4" s="188" t="s">
        <v>100</v>
      </c>
      <c r="C4" s="272"/>
      <c r="H4" s="30"/>
      <c r="I4" s="30"/>
      <c r="M4" s="21"/>
      <c r="N4" s="21"/>
      <c r="P4" s="192" t="s">
        <v>43</v>
      </c>
      <c r="Q4" s="193">
        <f t="shared" ref="Q4:AG4" si="1">SUMIF($P$12:$P$681,$P$4,Q12:Q681)</f>
        <v>0</v>
      </c>
      <c r="R4" s="193">
        <f t="shared" si="1"/>
        <v>114260421.72</v>
      </c>
      <c r="S4" s="193">
        <f t="shared" si="1"/>
        <v>74955978.659999996</v>
      </c>
      <c r="T4" s="193">
        <f t="shared" si="1"/>
        <v>31437553.580000002</v>
      </c>
      <c r="U4" s="193">
        <f t="shared" si="1"/>
        <v>15718776.800000001</v>
      </c>
      <c r="V4" s="193">
        <f t="shared" si="1"/>
        <v>0</v>
      </c>
      <c r="W4" s="193">
        <f t="shared" si="1"/>
        <v>0</v>
      </c>
      <c r="X4" s="193">
        <f t="shared" si="1"/>
        <v>0</v>
      </c>
      <c r="Y4" s="193">
        <f t="shared" si="1"/>
        <v>0</v>
      </c>
      <c r="Z4" s="193">
        <f t="shared" si="1"/>
        <v>0</v>
      </c>
      <c r="AA4" s="193">
        <f t="shared" si="1"/>
        <v>0</v>
      </c>
      <c r="AB4" s="193">
        <f t="shared" si="1"/>
        <v>0</v>
      </c>
      <c r="AC4" s="193">
        <f t="shared" si="1"/>
        <v>0</v>
      </c>
      <c r="AD4" s="193">
        <f t="shared" si="1"/>
        <v>0</v>
      </c>
      <c r="AE4" s="193">
        <f t="shared" si="1"/>
        <v>0</v>
      </c>
      <c r="AF4" s="193">
        <f t="shared" si="1"/>
        <v>0</v>
      </c>
      <c r="AG4" s="193">
        <f t="shared" si="1"/>
        <v>55129543.519999996</v>
      </c>
      <c r="AH4" s="264"/>
      <c r="AI4" s="264"/>
    </row>
    <row r="5" spans="1:35">
      <c r="A5" s="256">
        <v>10690004</v>
      </c>
      <c r="B5" s="188" t="s">
        <v>589</v>
      </c>
      <c r="C5" s="272"/>
      <c r="H5" s="30"/>
      <c r="I5" s="30"/>
      <c r="M5" s="21"/>
      <c r="N5" s="21"/>
      <c r="P5" s="192" t="s">
        <v>816</v>
      </c>
      <c r="Q5" s="193">
        <f t="shared" ref="Q5:AG5" si="2">SUMIF($P$12:$P$681,$P$5,Q12:Q681)</f>
        <v>0</v>
      </c>
      <c r="R5" s="193">
        <f t="shared" si="2"/>
        <v>138.06</v>
      </c>
      <c r="S5" s="193">
        <f t="shared" si="2"/>
        <v>66917.509999999995</v>
      </c>
      <c r="T5" s="193">
        <f t="shared" si="2"/>
        <v>0</v>
      </c>
      <c r="U5" s="193">
        <f t="shared" si="2"/>
        <v>0</v>
      </c>
      <c r="V5" s="193">
        <f t="shared" si="2"/>
        <v>712.5</v>
      </c>
      <c r="W5" s="193">
        <f t="shared" si="2"/>
        <v>0</v>
      </c>
      <c r="X5" s="193">
        <f t="shared" si="2"/>
        <v>66354.42</v>
      </c>
      <c r="Y5" s="193">
        <f t="shared" si="2"/>
        <v>0</v>
      </c>
      <c r="Z5" s="193">
        <f t="shared" si="2"/>
        <v>0</v>
      </c>
      <c r="AA5" s="193">
        <f t="shared" si="2"/>
        <v>0</v>
      </c>
      <c r="AB5" s="193">
        <f t="shared" si="2"/>
        <v>0</v>
      </c>
      <c r="AC5" s="193">
        <f t="shared" si="2"/>
        <v>0</v>
      </c>
      <c r="AD5" s="193">
        <f t="shared" si="2"/>
        <v>0</v>
      </c>
      <c r="AE5" s="193">
        <f t="shared" si="2"/>
        <v>0</v>
      </c>
      <c r="AF5" s="193">
        <f t="shared" si="2"/>
        <v>0</v>
      </c>
      <c r="AG5" s="193">
        <f t="shared" si="2"/>
        <v>319075.03000000119</v>
      </c>
      <c r="AH5" s="264"/>
    </row>
    <row r="6" spans="1:35">
      <c r="A6" s="256">
        <v>10690006</v>
      </c>
      <c r="B6" s="188" t="s">
        <v>546</v>
      </c>
      <c r="C6" s="272"/>
      <c r="H6" s="30"/>
      <c r="I6" s="30"/>
      <c r="M6" s="259"/>
      <c r="N6" s="21"/>
    </row>
    <row r="7" spans="1:35" ht="24" thickBot="1">
      <c r="A7" s="256">
        <v>10690007</v>
      </c>
      <c r="B7" s="188" t="s">
        <v>606</v>
      </c>
      <c r="C7" s="273"/>
      <c r="H7" s="30"/>
      <c r="I7" s="30"/>
      <c r="M7" s="21"/>
      <c r="N7" s="21"/>
      <c r="P7" s="202" t="s">
        <v>817</v>
      </c>
      <c r="Q7" s="200">
        <f>Q3-Q4</f>
        <v>130264234.25999998</v>
      </c>
      <c r="R7" s="201">
        <f t="shared" ref="R7:AG7" si="3">R3-R4</f>
        <v>-32036037.13000001</v>
      </c>
      <c r="S7" s="201">
        <f t="shared" si="3"/>
        <v>-57771918.059999995</v>
      </c>
      <c r="T7" s="201">
        <f t="shared" si="3"/>
        <v>-3437553.5800000019</v>
      </c>
      <c r="U7" s="201">
        <f t="shared" si="3"/>
        <v>-5718776.8000000007</v>
      </c>
      <c r="V7" s="201">
        <f t="shared" si="3"/>
        <v>5053962.5</v>
      </c>
      <c r="W7" s="201">
        <f t="shared" si="3"/>
        <v>0</v>
      </c>
      <c r="X7" s="201">
        <f t="shared" si="3"/>
        <v>16463021.149999999</v>
      </c>
      <c r="Y7" s="201">
        <f t="shared" si="3"/>
        <v>0</v>
      </c>
      <c r="Z7" s="201">
        <f t="shared" si="3"/>
        <v>0</v>
      </c>
      <c r="AA7" s="201">
        <f t="shared" si="3"/>
        <v>0</v>
      </c>
      <c r="AB7" s="201">
        <f t="shared" si="3"/>
        <v>0</v>
      </c>
      <c r="AC7" s="201">
        <f t="shared" si="3"/>
        <v>0</v>
      </c>
      <c r="AD7" s="201">
        <f t="shared" si="3"/>
        <v>0</v>
      </c>
      <c r="AE7" s="201">
        <f t="shared" si="3"/>
        <v>0</v>
      </c>
      <c r="AF7" s="201">
        <f t="shared" si="3"/>
        <v>0</v>
      </c>
      <c r="AG7" s="201">
        <f t="shared" si="3"/>
        <v>-52363734.800000004</v>
      </c>
    </row>
    <row r="8" spans="1:35" ht="18.7" thickTop="1" thickBot="1">
      <c r="A8" s="257">
        <v>20920006</v>
      </c>
      <c r="B8" s="190" t="s">
        <v>609</v>
      </c>
      <c r="C8" s="191" t="s">
        <v>500</v>
      </c>
      <c r="H8" s="30"/>
      <c r="I8" s="30"/>
      <c r="M8" s="21"/>
      <c r="N8" s="21"/>
    </row>
    <row r="9" spans="1:35" s="20" customFormat="1" ht="54" customHeight="1" thickTop="1" thickBot="1">
      <c r="A9" s="30"/>
      <c r="B9" s="30"/>
      <c r="C9" s="30"/>
      <c r="D9" s="30"/>
      <c r="E9" s="30"/>
      <c r="F9" s="30"/>
      <c r="G9" s="30"/>
      <c r="H9" s="30"/>
      <c r="I9" s="30"/>
      <c r="N9" s="274" t="s">
        <v>52</v>
      </c>
      <c r="O9" s="194"/>
      <c r="P9" s="195" t="s">
        <v>46</v>
      </c>
      <c r="Q9" s="196">
        <f>M10</f>
        <v>46058</v>
      </c>
      <c r="R9" s="196">
        <f>Q10</f>
        <v>46059</v>
      </c>
      <c r="S9" s="196">
        <f>R10</f>
        <v>46112</v>
      </c>
      <c r="T9" s="196">
        <f t="shared" ref="T9:AB9" si="4">S10</f>
        <v>46142</v>
      </c>
      <c r="U9" s="196">
        <f t="shared" si="4"/>
        <v>46173</v>
      </c>
      <c r="V9" s="196">
        <f t="shared" si="4"/>
        <v>46265</v>
      </c>
      <c r="W9" s="196">
        <f t="shared" si="4"/>
        <v>46356</v>
      </c>
      <c r="X9" s="196">
        <f t="shared" si="4"/>
        <v>46446</v>
      </c>
      <c r="Y9" s="196">
        <f t="shared" si="4"/>
        <v>46812</v>
      </c>
      <c r="Z9" s="196">
        <f t="shared" si="4"/>
        <v>47177</v>
      </c>
      <c r="AA9" s="196">
        <f t="shared" si="4"/>
        <v>47542</v>
      </c>
      <c r="AB9" s="196">
        <f t="shared" si="4"/>
        <v>47907</v>
      </c>
      <c r="AC9" s="196">
        <f>AB10</f>
        <v>48638</v>
      </c>
      <c r="AD9" s="196">
        <f>AC10</f>
        <v>49734</v>
      </c>
      <c r="AE9" s="196">
        <f>AD10</f>
        <v>51560</v>
      </c>
      <c r="AF9" s="196">
        <f>AE10</f>
        <v>53386</v>
      </c>
      <c r="AG9" s="269" t="s">
        <v>54</v>
      </c>
    </row>
    <row r="10" spans="1:35" s="20" customFormat="1" ht="39.35" thickTop="1" thickBot="1">
      <c r="A10" s="30"/>
      <c r="B10" s="30"/>
      <c r="C10" s="30"/>
      <c r="D10" s="30"/>
      <c r="E10" s="30"/>
      <c r="F10" s="30"/>
      <c r="G10" s="30"/>
      <c r="H10" s="30"/>
      <c r="I10" s="30"/>
      <c r="J10" s="28"/>
      <c r="K10" s="23"/>
      <c r="L10" s="23"/>
      <c r="M10" s="226">
        <v>46058</v>
      </c>
      <c r="N10" s="275"/>
      <c r="O10" s="197"/>
      <c r="P10" s="198" t="s">
        <v>47</v>
      </c>
      <c r="Q10" s="199">
        <f>Q9+1</f>
        <v>46059</v>
      </c>
      <c r="R10" s="199">
        <f>EOMONTH(Q9,1)</f>
        <v>46112</v>
      </c>
      <c r="S10" s="199">
        <f>EOMONTH(S9,1)</f>
        <v>46142</v>
      </c>
      <c r="T10" s="199">
        <f>EOMONTH(T9,1)</f>
        <v>46173</v>
      </c>
      <c r="U10" s="199">
        <f>EOMONTH(U9,3)</f>
        <v>46265</v>
      </c>
      <c r="V10" s="199">
        <f>EOMONTH(V9,3)</f>
        <v>46356</v>
      </c>
      <c r="W10" s="199">
        <f>EOMONTH(W9,3)</f>
        <v>46446</v>
      </c>
      <c r="X10" s="199">
        <f>EOMONTH(X9,12)</f>
        <v>46812</v>
      </c>
      <c r="Y10" s="199">
        <f>EOMONTH(Y9,12)</f>
        <v>47177</v>
      </c>
      <c r="Z10" s="199">
        <f>EOMONTH(Z9,12)</f>
        <v>47542</v>
      </c>
      <c r="AA10" s="199">
        <f>EOMONTH(AA9,12)</f>
        <v>47907</v>
      </c>
      <c r="AB10" s="199">
        <f>EOMONTH(AB9,24)</f>
        <v>48638</v>
      </c>
      <c r="AC10" s="199">
        <f>EOMONTH(AC9,36)</f>
        <v>49734</v>
      </c>
      <c r="AD10" s="199">
        <f>EOMONTH(AD9,60)</f>
        <v>51560</v>
      </c>
      <c r="AE10" s="199">
        <f>EOMONTH(AE9,60)</f>
        <v>53386</v>
      </c>
      <c r="AF10" s="199">
        <f>EOMONTH(AF9,120)</f>
        <v>57039</v>
      </c>
      <c r="AG10" s="270"/>
    </row>
    <row r="11" spans="1:35" s="20" customFormat="1" ht="41.35" customHeight="1" thickTop="1" thickBot="1">
      <c r="A11" s="258" t="s">
        <v>291</v>
      </c>
      <c r="B11" s="231" t="s">
        <v>292</v>
      </c>
      <c r="C11" s="231" t="s">
        <v>293</v>
      </c>
      <c r="D11" s="231" t="s">
        <v>294</v>
      </c>
      <c r="E11" s="231" t="s">
        <v>295</v>
      </c>
      <c r="F11" s="231" t="s">
        <v>296</v>
      </c>
      <c r="G11" s="231" t="s">
        <v>297</v>
      </c>
      <c r="H11" s="232" t="s">
        <v>819</v>
      </c>
      <c r="I11" s="231" t="s">
        <v>298</v>
      </c>
      <c r="J11" s="231" t="s">
        <v>299</v>
      </c>
      <c r="K11" s="231" t="s">
        <v>300</v>
      </c>
      <c r="L11" s="227" t="s">
        <v>847</v>
      </c>
      <c r="M11" s="225" t="s">
        <v>818</v>
      </c>
      <c r="N11" s="55" t="s">
        <v>53</v>
      </c>
      <c r="O11" s="56" t="s">
        <v>269</v>
      </c>
      <c r="P11" s="57" t="s">
        <v>48</v>
      </c>
      <c r="Q11" s="86" t="s">
        <v>746</v>
      </c>
      <c r="R11" s="86" t="s">
        <v>860</v>
      </c>
      <c r="S11" s="86" t="s">
        <v>748</v>
      </c>
      <c r="T11" s="86" t="s">
        <v>749</v>
      </c>
      <c r="U11" s="86" t="s">
        <v>750</v>
      </c>
      <c r="V11" s="86" t="s">
        <v>751</v>
      </c>
      <c r="W11" s="86" t="s">
        <v>752</v>
      </c>
      <c r="X11" s="86" t="s">
        <v>753</v>
      </c>
      <c r="Y11" s="86" t="s">
        <v>754</v>
      </c>
      <c r="Z11" s="86" t="s">
        <v>755</v>
      </c>
      <c r="AA11" s="86" t="s">
        <v>756</v>
      </c>
      <c r="AB11" s="86" t="s">
        <v>757</v>
      </c>
      <c r="AC11" s="86" t="s">
        <v>758</v>
      </c>
      <c r="AD11" s="86" t="s">
        <v>759</v>
      </c>
      <c r="AE11" s="86" t="s">
        <v>760</v>
      </c>
      <c r="AF11" s="86" t="s">
        <v>761</v>
      </c>
      <c r="AG11" s="87" t="s">
        <v>762</v>
      </c>
    </row>
    <row r="12" spans="1:35" s="20" customFormat="1">
      <c r="A12" s="265">
        <v>10212001</v>
      </c>
      <c r="B12" s="265" t="s">
        <v>302</v>
      </c>
      <c r="C12" s="265" t="s">
        <v>270</v>
      </c>
      <c r="D12" s="265">
        <v>100000006</v>
      </c>
      <c r="E12" s="265" t="s">
        <v>271</v>
      </c>
      <c r="F12" s="265" t="s">
        <v>0</v>
      </c>
      <c r="G12" s="266">
        <v>7807.52</v>
      </c>
      <c r="H12" s="266">
        <v>7807.52</v>
      </c>
      <c r="I12" s="267"/>
      <c r="J12" s="267"/>
      <c r="K12" s="267"/>
      <c r="L12" s="224" t="str">
        <f t="shared" ref="L12:L63" si="5">A12&amp;"_"&amp;F12&amp;"_"&amp;D12&amp;"_"&amp;E12</f>
        <v>10212001_AUD_100000006_AUSTRALIA AND NEW ZEALAND BANKING GROUP LTD</v>
      </c>
      <c r="M12" s="220">
        <f>IF(COUNTIF($A$2:$A$8,A12)&gt;0,-H12,H12)</f>
        <v>7807.52</v>
      </c>
      <c r="N12" s="24">
        <f>IF(OR(L12=$L$2,L12=$L$3),$M$10+1,IFERROR(VLOOKUP(A12,'Repricing Maturity Adj.'!$A$3:$C$170,3,0),(IF(K12&lt;$M$10,"Check",K12))))</f>
        <v>46059</v>
      </c>
      <c r="O12" s="62" t="b">
        <f>M12=SUM(Q12:AG12)</f>
        <v>1</v>
      </c>
      <c r="P12" s="63" t="str">
        <f>IF(A12="","N/A",IF(COUNTIF($A$2:$A$7,A12)&gt;0,"Liability",IF(COUNTIF($A$8,A12)&gt;0,"Asset",IF(A12&lt;20000000,"Asset",IF(AND(A12&gt;20000000,A12&lt;28800000),"Liability",IF(A12&gt;28800000,"Equity",""))))))</f>
        <v>Asset</v>
      </c>
      <c r="Q12" s="25">
        <f>IF(AND(N12&gt;$Q$9,N12&lt;$Q$10),M12,IF(N12=$Q$10,M12,0))</f>
        <v>7807.52</v>
      </c>
      <c r="R12" s="25">
        <f>IF(AND(N12&gt;$R$9,N12&lt;$R$10),M12,IF(N12=$R$10,M12,0))</f>
        <v>0</v>
      </c>
      <c r="S12" s="25">
        <f>IF(AND(N12&gt;$S$9,N12&lt;$S$10),M12,IF(N12=$S$10,M12,0))</f>
        <v>0</v>
      </c>
      <c r="T12" s="25">
        <f>IF(AND(N12&gt;$T$9,N12&lt;$T$10),M12,IF(N12=$T$10,M12,0))</f>
        <v>0</v>
      </c>
      <c r="U12" s="25">
        <f>IF(AND(N12&gt;$U$9,N12&lt;$U$10),M12,IF(N12=$U$10,M12,0))</f>
        <v>0</v>
      </c>
      <c r="V12" s="25">
        <f>IF(AND(N12&gt;$V$9,N12&lt;$V$10),M12,IF(N12=$V$10,M12,0))</f>
        <v>0</v>
      </c>
      <c r="W12" s="25">
        <f>IF(AND(N12&gt;$W$9,N12&lt;$W$10),M12,IF(N12=$W$10,M12,0))</f>
        <v>0</v>
      </c>
      <c r="X12" s="64">
        <f>IF(AND(N12&gt;$X$9,N12&lt;$X$10),M12,IF(N12=$X$10,M12,0))</f>
        <v>0</v>
      </c>
      <c r="Y12" s="64">
        <f>IF(AND(N12&gt;$Y$9,N12&lt;$Y$10),M12,IF(N12=$Y$10,M12,0))</f>
        <v>0</v>
      </c>
      <c r="Z12" s="64">
        <f>IF(AND(N12&gt;$Z$9,N12&lt;$Z$10),M12,IF(N12=$Z$10,M12,0))</f>
        <v>0</v>
      </c>
      <c r="AA12" s="64">
        <f>IF(AND(N12&gt;$AA$9,N12&lt;$AA$10),M12,IF(N12=$AA$10,M12,0))</f>
        <v>0</v>
      </c>
      <c r="AB12" s="64">
        <f>IF(AND(N12&gt;$AB$9,N12&lt;$AB$10),M12,IF(N12=$AB$10,M12,0))</f>
        <v>0</v>
      </c>
      <c r="AC12" s="64">
        <f>IF(AND(N12&gt;$AC$9,N12&lt;$AC$10),M12,IF(N12=$AC$10,M12,0))</f>
        <v>0</v>
      </c>
      <c r="AD12" s="64">
        <f>IF(AND(N12&gt;$AD$9,N12&lt;$AD$10),M12,IF(N12=$AD$10,M12,0))</f>
        <v>0</v>
      </c>
      <c r="AE12" s="64">
        <f>IF(AND(N12&gt;$AE$9,N12&lt;$AE$10),M12,IF(N12=$AE$10,M12,0))</f>
        <v>0</v>
      </c>
      <c r="AF12" s="64">
        <f>IF(AND(N12&gt;$AF$9,N12&lt;$AF$10),M12,IF(N12=$AF$10,M12,0))</f>
        <v>0</v>
      </c>
      <c r="AG12" s="29">
        <f>IF(N12=$AG$9,M12,0)</f>
        <v>0</v>
      </c>
    </row>
    <row r="13" spans="1:35" s="20" customFormat="1">
      <c r="A13" s="265">
        <v>10212001</v>
      </c>
      <c r="B13" s="265" t="s">
        <v>302</v>
      </c>
      <c r="C13" s="265" t="s">
        <v>272</v>
      </c>
      <c r="D13" s="265">
        <v>100000006</v>
      </c>
      <c r="E13" s="265" t="s">
        <v>271</v>
      </c>
      <c r="F13" s="265" t="s">
        <v>0</v>
      </c>
      <c r="G13" s="266">
        <v>4896.04</v>
      </c>
      <c r="H13" s="266">
        <v>4896.04</v>
      </c>
      <c r="I13" s="267"/>
      <c r="J13" s="267"/>
      <c r="K13" s="267"/>
      <c r="L13" s="224" t="str">
        <f t="shared" si="5"/>
        <v>10212001_AUD_100000006_AUSTRALIA AND NEW ZEALAND BANKING GROUP LTD</v>
      </c>
      <c r="M13" s="221">
        <f t="shared" ref="M13:M62" si="6">IF(COUNTIF($A$2:$A$8,A13)&gt;0,-H13,H13)</f>
        <v>4896.04</v>
      </c>
      <c r="N13" s="24">
        <f>IF(OR(L13=$L$2,L13=$L$3),$M$10+1,IFERROR(VLOOKUP(A13,'Repricing Maturity Adj.'!$A$3:$C$170,3,0),(IF(K13&lt;$M$10,"Check",K13))))</f>
        <v>46059</v>
      </c>
      <c r="O13" s="62" t="b">
        <f t="shared" ref="O13:O62" si="7">M13=SUM(Q13:AG13)</f>
        <v>1</v>
      </c>
      <c r="P13" s="63" t="str">
        <f t="shared" ref="P13:P62" si="8">IF(A13="","N/A",IF(COUNTIF($A$2:$A$7,A13)&gt;0,"Liability",IF(COUNTIF($A$8,A13)&gt;0,"Asset",IF(A13&lt;20000000,"Asset",IF(AND(A13&gt;20000000,A13&lt;28800000),"Liability",IF(A13&gt;28800000,"Equity",""))))))</f>
        <v>Asset</v>
      </c>
      <c r="Q13" s="25">
        <f t="shared" ref="Q13:Q62" si="9">IF(AND(N13&gt;$Q$9,N13&lt;$Q$10),M13,IF(N13=$Q$10,M13,0))</f>
        <v>4896.04</v>
      </c>
      <c r="R13" s="25">
        <f t="shared" ref="R13:R62" si="10">IF(AND(N13&gt;$R$9,N13&lt;$R$10),M13,IF(N13=$R$10,M13,0))</f>
        <v>0</v>
      </c>
      <c r="S13" s="25">
        <f t="shared" ref="S13:S62" si="11">IF(AND(N13&gt;$S$9,N13&lt;$S$10),M13,IF(N13=$S$10,M13,0))</f>
        <v>0</v>
      </c>
      <c r="T13" s="25">
        <f t="shared" ref="T13:T62" si="12">IF(AND(N13&gt;$T$9,N13&lt;$T$10),M13,IF(N13=$T$10,M13,0))</f>
        <v>0</v>
      </c>
      <c r="U13" s="25">
        <f t="shared" ref="U13:U62" si="13">IF(AND(N13&gt;$U$9,N13&lt;$U$10),M13,IF(N13=$U$10,M13,0))</f>
        <v>0</v>
      </c>
      <c r="V13" s="25">
        <f t="shared" ref="V13:V62" si="14">IF(AND(N13&gt;$V$9,N13&lt;$V$10),M13,IF(N13=$V$10,M13,0))</f>
        <v>0</v>
      </c>
      <c r="W13" s="25">
        <f t="shared" ref="W13:W62" si="15">IF(AND(N13&gt;$W$9,N13&lt;$W$10),M13,IF(N13=$W$10,M13,0))</f>
        <v>0</v>
      </c>
      <c r="X13" s="64">
        <f t="shared" ref="X13:X62" si="16">IF(AND(N13&gt;$X$9,N13&lt;$X$10),M13,IF(N13=$X$10,M13,0))</f>
        <v>0</v>
      </c>
      <c r="Y13" s="64">
        <f t="shared" ref="Y13:Y62" si="17">IF(AND(N13&gt;$Y$9,N13&lt;$Y$10),M13,IF(N13=$Y$10,M13,0))</f>
        <v>0</v>
      </c>
      <c r="Z13" s="64">
        <f t="shared" ref="Z13:Z62" si="18">IF(AND(N13&gt;$Z$9,N13&lt;$Z$10),M13,IF(N13=$Z$10,M13,0))</f>
        <v>0</v>
      </c>
      <c r="AA13" s="64">
        <f t="shared" ref="AA13:AA62" si="19">IF(AND(N13&gt;$AA$9,N13&lt;$AA$10),M13,IF(N13=$AA$10,M13,0))</f>
        <v>0</v>
      </c>
      <c r="AB13" s="64">
        <f t="shared" ref="AB13:AB62" si="20">IF(AND(N13&gt;$AB$9,N13&lt;$AB$10),M13,IF(N13=$AB$10,M13,0))</f>
        <v>0</v>
      </c>
      <c r="AC13" s="64">
        <f t="shared" ref="AC13:AC62" si="21">IF(AND(N13&gt;$AC$9,N13&lt;$AC$10),M13,IF(N13=$AC$10,M13,0))</f>
        <v>0</v>
      </c>
      <c r="AD13" s="64">
        <f t="shared" ref="AD13:AD62" si="22">IF(AND(N13&gt;$AD$9,N13&lt;$AD$10),M13,IF(N13=$AD$10,M13,0))</f>
        <v>0</v>
      </c>
      <c r="AE13" s="64">
        <f t="shared" ref="AE13:AE62" si="23">IF(AND(N13&gt;$AE$9,N13&lt;$AE$10),M13,IF(N13=$AE$10,M13,0))</f>
        <v>0</v>
      </c>
      <c r="AF13" s="64">
        <f t="shared" ref="AF13:AF62" si="24">IF(AND(N13&gt;$AF$9,N13&lt;$AF$10),M13,IF(N13=$AF$10,M13,0))</f>
        <v>0</v>
      </c>
      <c r="AG13" s="29">
        <f t="shared" ref="AG13:AG62" si="25">IF(N13=$AG$9,M13,0)</f>
        <v>0</v>
      </c>
    </row>
    <row r="14" spans="1:35" s="20" customFormat="1">
      <c r="A14" s="265">
        <v>10212001</v>
      </c>
      <c r="B14" s="265" t="s">
        <v>302</v>
      </c>
      <c r="C14" s="265" t="s">
        <v>273</v>
      </c>
      <c r="D14" s="265">
        <v>100000006</v>
      </c>
      <c r="E14" s="265" t="s">
        <v>271</v>
      </c>
      <c r="F14" s="265" t="s">
        <v>0</v>
      </c>
      <c r="G14" s="266">
        <v>87377.23</v>
      </c>
      <c r="H14" s="266">
        <v>87377.23</v>
      </c>
      <c r="I14" s="267"/>
      <c r="J14" s="267"/>
      <c r="K14" s="267"/>
      <c r="L14" s="224" t="str">
        <f t="shared" si="5"/>
        <v>10212001_AUD_100000006_AUSTRALIA AND NEW ZEALAND BANKING GROUP LTD</v>
      </c>
      <c r="M14" s="221">
        <f t="shared" si="6"/>
        <v>87377.23</v>
      </c>
      <c r="N14" s="24">
        <f>IF(OR(L14=$L$2,L14=$L$3),$M$10+1,IFERROR(VLOOKUP(A14,'Repricing Maturity Adj.'!$A$3:$C$170,3,0),(IF(K14&lt;$M$10,"Check",K14))))</f>
        <v>46059</v>
      </c>
      <c r="O14" s="62" t="b">
        <f t="shared" si="7"/>
        <v>1</v>
      </c>
      <c r="P14" s="63" t="str">
        <f t="shared" si="8"/>
        <v>Asset</v>
      </c>
      <c r="Q14" s="25">
        <f t="shared" si="9"/>
        <v>87377.23</v>
      </c>
      <c r="R14" s="25">
        <f t="shared" si="10"/>
        <v>0</v>
      </c>
      <c r="S14" s="25">
        <f t="shared" si="11"/>
        <v>0</v>
      </c>
      <c r="T14" s="25">
        <f t="shared" si="12"/>
        <v>0</v>
      </c>
      <c r="U14" s="25">
        <f t="shared" si="13"/>
        <v>0</v>
      </c>
      <c r="V14" s="25">
        <f t="shared" si="14"/>
        <v>0</v>
      </c>
      <c r="W14" s="25">
        <f t="shared" si="15"/>
        <v>0</v>
      </c>
      <c r="X14" s="64">
        <f t="shared" si="16"/>
        <v>0</v>
      </c>
      <c r="Y14" s="64">
        <f t="shared" si="17"/>
        <v>0</v>
      </c>
      <c r="Z14" s="64">
        <f t="shared" si="18"/>
        <v>0</v>
      </c>
      <c r="AA14" s="64">
        <f t="shared" si="19"/>
        <v>0</v>
      </c>
      <c r="AB14" s="64">
        <f t="shared" si="20"/>
        <v>0</v>
      </c>
      <c r="AC14" s="64">
        <f t="shared" si="21"/>
        <v>0</v>
      </c>
      <c r="AD14" s="64">
        <f t="shared" si="22"/>
        <v>0</v>
      </c>
      <c r="AE14" s="64">
        <f t="shared" si="23"/>
        <v>0</v>
      </c>
      <c r="AF14" s="64">
        <f t="shared" si="24"/>
        <v>0</v>
      </c>
      <c r="AG14" s="29">
        <f t="shared" si="25"/>
        <v>0</v>
      </c>
    </row>
    <row r="15" spans="1:35" s="20" customFormat="1">
      <c r="A15" s="265">
        <v>10212001</v>
      </c>
      <c r="B15" s="265" t="s">
        <v>302</v>
      </c>
      <c r="C15" s="265" t="s">
        <v>274</v>
      </c>
      <c r="D15" s="265">
        <v>100000013</v>
      </c>
      <c r="E15" s="265" t="s">
        <v>275</v>
      </c>
      <c r="F15" s="265" t="s">
        <v>0</v>
      </c>
      <c r="G15" s="266">
        <v>4600972.0599999996</v>
      </c>
      <c r="H15" s="266">
        <v>4600972.0599999996</v>
      </c>
      <c r="I15" s="267"/>
      <c r="J15" s="267"/>
      <c r="K15" s="267"/>
      <c r="L15" s="224" t="str">
        <f t="shared" si="5"/>
        <v>10212001_AUD_100000013_KEB HANA BANK</v>
      </c>
      <c r="M15" s="221">
        <f t="shared" si="6"/>
        <v>4600972.0599999996</v>
      </c>
      <c r="N15" s="24">
        <f>IF(OR(L15=$L$2,L15=$L$3),$M$10+1,IFERROR(VLOOKUP(A15,'Repricing Maturity Adj.'!$A$3:$C$170,3,0),(IF(K15&lt;$M$10,"Check",K15))))</f>
        <v>46059</v>
      </c>
      <c r="O15" s="62" t="b">
        <f t="shared" si="7"/>
        <v>1</v>
      </c>
      <c r="P15" s="63" t="str">
        <f t="shared" si="8"/>
        <v>Asset</v>
      </c>
      <c r="Q15" s="25">
        <f t="shared" si="9"/>
        <v>4600972.0599999996</v>
      </c>
      <c r="R15" s="25">
        <f t="shared" si="10"/>
        <v>0</v>
      </c>
      <c r="S15" s="25">
        <f t="shared" si="11"/>
        <v>0</v>
      </c>
      <c r="T15" s="25">
        <f t="shared" si="12"/>
        <v>0</v>
      </c>
      <c r="U15" s="25">
        <f t="shared" si="13"/>
        <v>0</v>
      </c>
      <c r="V15" s="25">
        <f t="shared" si="14"/>
        <v>0</v>
      </c>
      <c r="W15" s="25">
        <f t="shared" si="15"/>
        <v>0</v>
      </c>
      <c r="X15" s="64">
        <f t="shared" si="16"/>
        <v>0</v>
      </c>
      <c r="Y15" s="64">
        <f t="shared" si="17"/>
        <v>0</v>
      </c>
      <c r="Z15" s="64">
        <f t="shared" si="18"/>
        <v>0</v>
      </c>
      <c r="AA15" s="64">
        <f t="shared" si="19"/>
        <v>0</v>
      </c>
      <c r="AB15" s="64">
        <f t="shared" si="20"/>
        <v>0</v>
      </c>
      <c r="AC15" s="64">
        <f t="shared" si="21"/>
        <v>0</v>
      </c>
      <c r="AD15" s="64">
        <f t="shared" si="22"/>
        <v>0</v>
      </c>
      <c r="AE15" s="64">
        <f t="shared" si="23"/>
        <v>0</v>
      </c>
      <c r="AF15" s="64">
        <f t="shared" si="24"/>
        <v>0</v>
      </c>
      <c r="AG15" s="29">
        <f t="shared" si="25"/>
        <v>0</v>
      </c>
    </row>
    <row r="16" spans="1:35" s="20" customFormat="1">
      <c r="A16" s="265">
        <v>10212001</v>
      </c>
      <c r="B16" s="265" t="s">
        <v>302</v>
      </c>
      <c r="C16" s="265" t="s">
        <v>820</v>
      </c>
      <c r="D16" s="265">
        <v>100000013</v>
      </c>
      <c r="E16" s="265" t="s">
        <v>275</v>
      </c>
      <c r="F16" s="265" t="s">
        <v>301</v>
      </c>
      <c r="G16" s="266">
        <v>1351406.14</v>
      </c>
      <c r="H16" s="266">
        <v>1931131.95</v>
      </c>
      <c r="I16" s="267"/>
      <c r="J16" s="267"/>
      <c r="K16" s="267"/>
      <c r="L16" s="224" t="str">
        <f t="shared" si="5"/>
        <v>10212001_USD_100000013_KEB HANA BANK</v>
      </c>
      <c r="M16" s="221">
        <f t="shared" si="6"/>
        <v>1931131.95</v>
      </c>
      <c r="N16" s="24">
        <f>IF(OR(L16=$L$2,L16=$L$3),$M$10+1,IFERROR(VLOOKUP(A16,'Repricing Maturity Adj.'!$A$3:$C$170,3,0),(IF(K16&lt;$M$10,"Check",K16))))</f>
        <v>46059</v>
      </c>
      <c r="O16" s="62" t="b">
        <f t="shared" si="7"/>
        <v>1</v>
      </c>
      <c r="P16" s="63" t="str">
        <f t="shared" si="8"/>
        <v>Asset</v>
      </c>
      <c r="Q16" s="25">
        <f t="shared" si="9"/>
        <v>1931131.95</v>
      </c>
      <c r="R16" s="25">
        <f t="shared" si="10"/>
        <v>0</v>
      </c>
      <c r="S16" s="25">
        <f t="shared" si="11"/>
        <v>0</v>
      </c>
      <c r="T16" s="25">
        <f t="shared" si="12"/>
        <v>0</v>
      </c>
      <c r="U16" s="25">
        <f t="shared" si="13"/>
        <v>0</v>
      </c>
      <c r="V16" s="25">
        <f t="shared" si="14"/>
        <v>0</v>
      </c>
      <c r="W16" s="25">
        <f t="shared" si="15"/>
        <v>0</v>
      </c>
      <c r="X16" s="64">
        <f t="shared" si="16"/>
        <v>0</v>
      </c>
      <c r="Y16" s="64">
        <f t="shared" si="17"/>
        <v>0</v>
      </c>
      <c r="Z16" s="64">
        <f t="shared" si="18"/>
        <v>0</v>
      </c>
      <c r="AA16" s="64">
        <f t="shared" si="19"/>
        <v>0</v>
      </c>
      <c r="AB16" s="64">
        <f t="shared" si="20"/>
        <v>0</v>
      </c>
      <c r="AC16" s="64">
        <f t="shared" si="21"/>
        <v>0</v>
      </c>
      <c r="AD16" s="64">
        <f t="shared" si="22"/>
        <v>0</v>
      </c>
      <c r="AE16" s="64">
        <f t="shared" si="23"/>
        <v>0</v>
      </c>
      <c r="AF16" s="64">
        <f t="shared" si="24"/>
        <v>0</v>
      </c>
      <c r="AG16" s="29">
        <f t="shared" si="25"/>
        <v>0</v>
      </c>
    </row>
    <row r="17" spans="1:33" s="20" customFormat="1" ht="15.7" customHeight="1">
      <c r="A17" s="265">
        <v>10212002</v>
      </c>
      <c r="B17" s="265" t="s">
        <v>303</v>
      </c>
      <c r="C17" s="265" t="s">
        <v>276</v>
      </c>
      <c r="D17" s="265">
        <v>100000016</v>
      </c>
      <c r="E17" s="265" t="s">
        <v>304</v>
      </c>
      <c r="F17" s="265" t="s">
        <v>301</v>
      </c>
      <c r="G17" s="266">
        <v>2889.33</v>
      </c>
      <c r="H17" s="266">
        <v>4128.79</v>
      </c>
      <c r="I17" s="267"/>
      <c r="J17" s="267"/>
      <c r="K17" s="267"/>
      <c r="L17" s="224" t="str">
        <f t="shared" si="5"/>
        <v>10212002_USD_100000016_BANK OF AMERICA N.A.(H.O.)</v>
      </c>
      <c r="M17" s="221">
        <f t="shared" si="6"/>
        <v>4128.79</v>
      </c>
      <c r="N17" s="24">
        <f>IF(OR(L17=$L$2,L17=$L$3),$M$10+1,IFERROR(VLOOKUP(A17,'Repricing Maturity Adj.'!$A$3:$C$170,3,0),(IF(K17&lt;$M$10,"Check",K17))))</f>
        <v>46059</v>
      </c>
      <c r="O17" s="62" t="b">
        <f t="shared" si="7"/>
        <v>1</v>
      </c>
      <c r="P17" s="63" t="str">
        <f t="shared" si="8"/>
        <v>Asset</v>
      </c>
      <c r="Q17" s="25">
        <f t="shared" si="9"/>
        <v>4128.79</v>
      </c>
      <c r="R17" s="25">
        <f t="shared" si="10"/>
        <v>0</v>
      </c>
      <c r="S17" s="25">
        <f t="shared" si="11"/>
        <v>0</v>
      </c>
      <c r="T17" s="25">
        <f t="shared" si="12"/>
        <v>0</v>
      </c>
      <c r="U17" s="25">
        <f t="shared" si="13"/>
        <v>0</v>
      </c>
      <c r="V17" s="25">
        <f t="shared" si="14"/>
        <v>0</v>
      </c>
      <c r="W17" s="25">
        <f t="shared" si="15"/>
        <v>0</v>
      </c>
      <c r="X17" s="64">
        <f t="shared" si="16"/>
        <v>0</v>
      </c>
      <c r="Y17" s="64">
        <f t="shared" si="17"/>
        <v>0</v>
      </c>
      <c r="Z17" s="64">
        <f t="shared" si="18"/>
        <v>0</v>
      </c>
      <c r="AA17" s="64">
        <f t="shared" si="19"/>
        <v>0</v>
      </c>
      <c r="AB17" s="64">
        <f t="shared" si="20"/>
        <v>0</v>
      </c>
      <c r="AC17" s="64">
        <f t="shared" si="21"/>
        <v>0</v>
      </c>
      <c r="AD17" s="64">
        <f t="shared" si="22"/>
        <v>0</v>
      </c>
      <c r="AE17" s="64">
        <f t="shared" si="23"/>
        <v>0</v>
      </c>
      <c r="AF17" s="64">
        <f t="shared" si="24"/>
        <v>0</v>
      </c>
      <c r="AG17" s="29">
        <f t="shared" si="25"/>
        <v>0</v>
      </c>
    </row>
    <row r="18" spans="1:33" s="20" customFormat="1">
      <c r="A18" s="265">
        <v>10251002</v>
      </c>
      <c r="B18" s="265" t="s">
        <v>533</v>
      </c>
      <c r="C18" s="265" t="s">
        <v>871</v>
      </c>
      <c r="D18" s="265">
        <v>100000008</v>
      </c>
      <c r="E18" s="265" t="s">
        <v>305</v>
      </c>
      <c r="F18" s="265" t="s">
        <v>0</v>
      </c>
      <c r="G18" s="266">
        <v>10000000</v>
      </c>
      <c r="H18" s="266">
        <v>10000000</v>
      </c>
      <c r="I18" s="268">
        <v>46015</v>
      </c>
      <c r="J18" s="268">
        <v>46106</v>
      </c>
      <c r="K18" s="268">
        <v>46106</v>
      </c>
      <c r="L18" s="224" t="str">
        <f t="shared" si="5"/>
        <v>10251002_AUD_100000008_E.SUN COMMERCIAL BANK LTD</v>
      </c>
      <c r="M18" s="221">
        <f t="shared" si="6"/>
        <v>10000000</v>
      </c>
      <c r="N18" s="24">
        <f>IF(OR(L18=$L$2,L18=$L$3),$M$10+1,IFERROR(VLOOKUP(A18,'Repricing Maturity Adj.'!$A$3:$C$170,3,0),(IF(K18&lt;$M$10,"Check",K18))))</f>
        <v>46106</v>
      </c>
      <c r="O18" s="62" t="b">
        <f t="shared" si="7"/>
        <v>1</v>
      </c>
      <c r="P18" s="63" t="str">
        <f t="shared" si="8"/>
        <v>Asset</v>
      </c>
      <c r="Q18" s="25">
        <f t="shared" si="9"/>
        <v>0</v>
      </c>
      <c r="R18" s="25">
        <f t="shared" si="10"/>
        <v>10000000</v>
      </c>
      <c r="S18" s="25">
        <f t="shared" si="11"/>
        <v>0</v>
      </c>
      <c r="T18" s="25">
        <f t="shared" si="12"/>
        <v>0</v>
      </c>
      <c r="U18" s="25">
        <f t="shared" si="13"/>
        <v>0</v>
      </c>
      <c r="V18" s="25">
        <f t="shared" si="14"/>
        <v>0</v>
      </c>
      <c r="W18" s="25">
        <f t="shared" si="15"/>
        <v>0</v>
      </c>
      <c r="X18" s="64">
        <f t="shared" si="16"/>
        <v>0</v>
      </c>
      <c r="Y18" s="64">
        <f t="shared" si="17"/>
        <v>0</v>
      </c>
      <c r="Z18" s="64">
        <f t="shared" si="18"/>
        <v>0</v>
      </c>
      <c r="AA18" s="64">
        <f t="shared" si="19"/>
        <v>0</v>
      </c>
      <c r="AB18" s="64">
        <f t="shared" si="20"/>
        <v>0</v>
      </c>
      <c r="AC18" s="64">
        <f t="shared" si="21"/>
        <v>0</v>
      </c>
      <c r="AD18" s="64">
        <f t="shared" si="22"/>
        <v>0</v>
      </c>
      <c r="AE18" s="64">
        <f t="shared" si="23"/>
        <v>0</v>
      </c>
      <c r="AF18" s="64">
        <f t="shared" si="24"/>
        <v>0</v>
      </c>
      <c r="AG18" s="29">
        <f t="shared" si="25"/>
        <v>0</v>
      </c>
    </row>
    <row r="19" spans="1:33" s="20" customFormat="1">
      <c r="A19" s="265">
        <v>10251002</v>
      </c>
      <c r="B19" s="265" t="s">
        <v>533</v>
      </c>
      <c r="C19" s="265" t="s">
        <v>891</v>
      </c>
      <c r="D19" s="265">
        <v>100000008</v>
      </c>
      <c r="E19" s="265" t="s">
        <v>305</v>
      </c>
      <c r="F19" s="265" t="s">
        <v>0</v>
      </c>
      <c r="G19" s="266">
        <v>3000000</v>
      </c>
      <c r="H19" s="266">
        <v>3000000</v>
      </c>
      <c r="I19" s="268">
        <v>46035</v>
      </c>
      <c r="J19" s="268">
        <v>46090</v>
      </c>
      <c r="K19" s="268">
        <v>46090</v>
      </c>
      <c r="L19" s="224" t="str">
        <f t="shared" si="5"/>
        <v>10251002_AUD_100000008_E.SUN COMMERCIAL BANK LTD</v>
      </c>
      <c r="M19" s="221">
        <f t="shared" si="6"/>
        <v>3000000</v>
      </c>
      <c r="N19" s="24">
        <f>IF(OR(L19=$L$2,L19=$L$3),$M$10+1,IFERROR(VLOOKUP(A19,'Repricing Maturity Adj.'!$A$3:$C$170,3,0),(IF(K19&lt;$M$10,"Check",K19))))</f>
        <v>46090</v>
      </c>
      <c r="O19" s="62" t="b">
        <f t="shared" si="7"/>
        <v>1</v>
      </c>
      <c r="P19" s="63" t="str">
        <f t="shared" si="8"/>
        <v>Asset</v>
      </c>
      <c r="Q19" s="25">
        <f t="shared" si="9"/>
        <v>0</v>
      </c>
      <c r="R19" s="25">
        <f t="shared" si="10"/>
        <v>3000000</v>
      </c>
      <c r="S19" s="25">
        <f t="shared" si="11"/>
        <v>0</v>
      </c>
      <c r="T19" s="25">
        <f t="shared" si="12"/>
        <v>0</v>
      </c>
      <c r="U19" s="25">
        <f t="shared" si="13"/>
        <v>0</v>
      </c>
      <c r="V19" s="25">
        <f t="shared" si="14"/>
        <v>0</v>
      </c>
      <c r="W19" s="25">
        <f t="shared" si="15"/>
        <v>0</v>
      </c>
      <c r="X19" s="64">
        <f t="shared" si="16"/>
        <v>0</v>
      </c>
      <c r="Y19" s="64">
        <f t="shared" si="17"/>
        <v>0</v>
      </c>
      <c r="Z19" s="64">
        <f t="shared" si="18"/>
        <v>0</v>
      </c>
      <c r="AA19" s="64">
        <f t="shared" si="19"/>
        <v>0</v>
      </c>
      <c r="AB19" s="64">
        <f t="shared" si="20"/>
        <v>0</v>
      </c>
      <c r="AC19" s="64">
        <f t="shared" si="21"/>
        <v>0</v>
      </c>
      <c r="AD19" s="64">
        <f t="shared" si="22"/>
        <v>0</v>
      </c>
      <c r="AE19" s="64">
        <f t="shared" si="23"/>
        <v>0</v>
      </c>
      <c r="AF19" s="64">
        <f t="shared" si="24"/>
        <v>0</v>
      </c>
      <c r="AG19" s="29">
        <f t="shared" si="25"/>
        <v>0</v>
      </c>
    </row>
    <row r="20" spans="1:33" s="20" customFormat="1">
      <c r="A20" s="265">
        <v>10251002</v>
      </c>
      <c r="B20" s="265" t="s">
        <v>533</v>
      </c>
      <c r="C20" s="265" t="s">
        <v>892</v>
      </c>
      <c r="D20" s="265">
        <v>100000008</v>
      </c>
      <c r="E20" s="265" t="s">
        <v>305</v>
      </c>
      <c r="F20" s="265" t="s">
        <v>0</v>
      </c>
      <c r="G20" s="266">
        <v>4000000</v>
      </c>
      <c r="H20" s="266">
        <v>4000000</v>
      </c>
      <c r="I20" s="268">
        <v>46035</v>
      </c>
      <c r="J20" s="268">
        <v>46125</v>
      </c>
      <c r="K20" s="268">
        <v>46125</v>
      </c>
      <c r="L20" s="224" t="str">
        <f t="shared" si="5"/>
        <v>10251002_AUD_100000008_E.SUN COMMERCIAL BANK LTD</v>
      </c>
      <c r="M20" s="221">
        <f t="shared" si="6"/>
        <v>4000000</v>
      </c>
      <c r="N20" s="24">
        <f>IF(OR(L20=$L$2,L20=$L$3),$M$10+1,IFERROR(VLOOKUP(A20,'Repricing Maturity Adj.'!$A$3:$C$170,3,0),(IF(K20&lt;$M$10,"Check",K20))))</f>
        <v>46125</v>
      </c>
      <c r="O20" s="62" t="b">
        <f t="shared" si="7"/>
        <v>1</v>
      </c>
      <c r="P20" s="63" t="str">
        <f t="shared" si="8"/>
        <v>Asset</v>
      </c>
      <c r="Q20" s="25">
        <f t="shared" si="9"/>
        <v>0</v>
      </c>
      <c r="R20" s="25">
        <f t="shared" si="10"/>
        <v>0</v>
      </c>
      <c r="S20" s="25">
        <f t="shared" si="11"/>
        <v>4000000</v>
      </c>
      <c r="T20" s="25">
        <f t="shared" si="12"/>
        <v>0</v>
      </c>
      <c r="U20" s="25">
        <f t="shared" si="13"/>
        <v>0</v>
      </c>
      <c r="V20" s="25">
        <f t="shared" si="14"/>
        <v>0</v>
      </c>
      <c r="W20" s="25">
        <f t="shared" si="15"/>
        <v>0</v>
      </c>
      <c r="X20" s="64">
        <f t="shared" si="16"/>
        <v>0</v>
      </c>
      <c r="Y20" s="64">
        <f t="shared" si="17"/>
        <v>0</v>
      </c>
      <c r="Z20" s="64">
        <f t="shared" si="18"/>
        <v>0</v>
      </c>
      <c r="AA20" s="64">
        <f t="shared" si="19"/>
        <v>0</v>
      </c>
      <c r="AB20" s="64">
        <f t="shared" si="20"/>
        <v>0</v>
      </c>
      <c r="AC20" s="64">
        <f t="shared" si="21"/>
        <v>0</v>
      </c>
      <c r="AD20" s="64">
        <f t="shared" si="22"/>
        <v>0</v>
      </c>
      <c r="AE20" s="64">
        <f t="shared" si="23"/>
        <v>0</v>
      </c>
      <c r="AF20" s="64">
        <f t="shared" si="24"/>
        <v>0</v>
      </c>
      <c r="AG20" s="29">
        <f t="shared" si="25"/>
        <v>0</v>
      </c>
    </row>
    <row r="21" spans="1:33" s="20" customFormat="1">
      <c r="A21" s="265">
        <v>10310002</v>
      </c>
      <c r="B21" s="265" t="s">
        <v>306</v>
      </c>
      <c r="C21" s="265" t="s">
        <v>550</v>
      </c>
      <c r="D21" s="265">
        <v>100000027</v>
      </c>
      <c r="E21" s="265" t="s">
        <v>551</v>
      </c>
      <c r="F21" s="265" t="s">
        <v>0</v>
      </c>
      <c r="G21" s="266">
        <v>5053962.5</v>
      </c>
      <c r="H21" s="266">
        <v>5053962.5</v>
      </c>
      <c r="I21" s="268">
        <v>45387</v>
      </c>
      <c r="J21" s="268">
        <v>46343</v>
      </c>
      <c r="K21" s="268">
        <v>46342</v>
      </c>
      <c r="L21" s="224" t="str">
        <f t="shared" si="5"/>
        <v>10310002_AUD_100000027_TREASURY CORPORATION OF VICTORIA</v>
      </c>
      <c r="M21" s="221">
        <f t="shared" si="6"/>
        <v>5053962.5</v>
      </c>
      <c r="N21" s="24">
        <f>IF(OR(L21=$L$2,L21=$L$3),$M$10+1,IFERROR(VLOOKUP(A21,'Repricing Maturity Adj.'!$A$3:$C$170,3,0),(IF(K21&lt;$M$10,"Check",K21))))</f>
        <v>46342</v>
      </c>
      <c r="O21" s="62" t="b">
        <f t="shared" si="7"/>
        <v>1</v>
      </c>
      <c r="P21" s="63" t="str">
        <f t="shared" si="8"/>
        <v>Asset</v>
      </c>
      <c r="Q21" s="25">
        <f t="shared" si="9"/>
        <v>0</v>
      </c>
      <c r="R21" s="25">
        <f t="shared" si="10"/>
        <v>0</v>
      </c>
      <c r="S21" s="25">
        <f t="shared" si="11"/>
        <v>0</v>
      </c>
      <c r="T21" s="25">
        <f t="shared" si="12"/>
        <v>0</v>
      </c>
      <c r="U21" s="25">
        <f t="shared" si="13"/>
        <v>0</v>
      </c>
      <c r="V21" s="25">
        <f t="shared" si="14"/>
        <v>5053962.5</v>
      </c>
      <c r="W21" s="25">
        <f t="shared" si="15"/>
        <v>0</v>
      </c>
      <c r="X21" s="64">
        <f t="shared" si="16"/>
        <v>0</v>
      </c>
      <c r="Y21" s="64">
        <f t="shared" si="17"/>
        <v>0</v>
      </c>
      <c r="Z21" s="64">
        <f t="shared" si="18"/>
        <v>0</v>
      </c>
      <c r="AA21" s="64">
        <f t="shared" si="19"/>
        <v>0</v>
      </c>
      <c r="AB21" s="64">
        <f t="shared" si="20"/>
        <v>0</v>
      </c>
      <c r="AC21" s="64">
        <f t="shared" si="21"/>
        <v>0</v>
      </c>
      <c r="AD21" s="64">
        <f t="shared" si="22"/>
        <v>0</v>
      </c>
      <c r="AE21" s="64">
        <f t="shared" si="23"/>
        <v>0</v>
      </c>
      <c r="AF21" s="64">
        <f t="shared" si="24"/>
        <v>0</v>
      </c>
      <c r="AG21" s="29">
        <f t="shared" si="25"/>
        <v>0</v>
      </c>
    </row>
    <row r="22" spans="1:33" s="20" customFormat="1">
      <c r="A22" s="265">
        <v>10310002</v>
      </c>
      <c r="B22" s="265" t="s">
        <v>306</v>
      </c>
      <c r="C22" s="265" t="s">
        <v>570</v>
      </c>
      <c r="D22" s="265">
        <v>100000034</v>
      </c>
      <c r="E22" s="265" t="s">
        <v>571</v>
      </c>
      <c r="F22" s="265" t="s">
        <v>0</v>
      </c>
      <c r="G22" s="266">
        <v>4000347.35</v>
      </c>
      <c r="H22" s="266">
        <v>4000347.35</v>
      </c>
      <c r="I22" s="268">
        <v>45552</v>
      </c>
      <c r="J22" s="268">
        <v>46091</v>
      </c>
      <c r="K22" s="268">
        <v>46090</v>
      </c>
      <c r="L22" s="224" t="str">
        <f t="shared" si="5"/>
        <v>10310002_AUD_100000034_WESTERN AUSTRALIAN TREASURY CORPORATION</v>
      </c>
      <c r="M22" s="221">
        <f t="shared" si="6"/>
        <v>4000347.35</v>
      </c>
      <c r="N22" s="24">
        <f>IF(OR(L22=$L$2,L22=$L$3),$M$10+1,IFERROR(VLOOKUP(A22,'Repricing Maturity Adj.'!$A$3:$C$170,3,0),(IF(K22&lt;$M$10,"Check",K22))))</f>
        <v>46090</v>
      </c>
      <c r="O22" s="62" t="b">
        <f t="shared" si="7"/>
        <v>1</v>
      </c>
      <c r="P22" s="63" t="str">
        <f t="shared" si="8"/>
        <v>Asset</v>
      </c>
      <c r="Q22" s="25">
        <f t="shared" si="9"/>
        <v>0</v>
      </c>
      <c r="R22" s="25">
        <f t="shared" si="10"/>
        <v>4000347.35</v>
      </c>
      <c r="S22" s="25">
        <f t="shared" si="11"/>
        <v>0</v>
      </c>
      <c r="T22" s="25">
        <f t="shared" si="12"/>
        <v>0</v>
      </c>
      <c r="U22" s="25">
        <f t="shared" si="13"/>
        <v>0</v>
      </c>
      <c r="V22" s="25">
        <f t="shared" si="14"/>
        <v>0</v>
      </c>
      <c r="W22" s="25">
        <f t="shared" si="15"/>
        <v>0</v>
      </c>
      <c r="X22" s="64">
        <f t="shared" si="16"/>
        <v>0</v>
      </c>
      <c r="Y22" s="64">
        <f t="shared" si="17"/>
        <v>0</v>
      </c>
      <c r="Z22" s="64">
        <f t="shared" si="18"/>
        <v>0</v>
      </c>
      <c r="AA22" s="64">
        <f t="shared" si="19"/>
        <v>0</v>
      </c>
      <c r="AB22" s="64">
        <f t="shared" si="20"/>
        <v>0</v>
      </c>
      <c r="AC22" s="64">
        <f t="shared" si="21"/>
        <v>0</v>
      </c>
      <c r="AD22" s="64">
        <f t="shared" si="22"/>
        <v>0</v>
      </c>
      <c r="AE22" s="64">
        <f t="shared" si="23"/>
        <v>0</v>
      </c>
      <c r="AF22" s="64">
        <f t="shared" si="24"/>
        <v>0</v>
      </c>
      <c r="AG22" s="29">
        <f t="shared" si="25"/>
        <v>0</v>
      </c>
    </row>
    <row r="23" spans="1:33" s="20" customFormat="1">
      <c r="A23" s="265">
        <v>10310002</v>
      </c>
      <c r="B23" s="265" t="s">
        <v>306</v>
      </c>
      <c r="C23" s="265" t="s">
        <v>630</v>
      </c>
      <c r="D23" s="265">
        <v>100000038</v>
      </c>
      <c r="E23" s="265" t="s">
        <v>631</v>
      </c>
      <c r="F23" s="265" t="s">
        <v>0</v>
      </c>
      <c r="G23" s="266">
        <v>4891657.5999999996</v>
      </c>
      <c r="H23" s="266">
        <v>4891657.5999999996</v>
      </c>
      <c r="I23" s="268">
        <v>45755</v>
      </c>
      <c r="J23" s="268">
        <v>46776</v>
      </c>
      <c r="K23" s="268">
        <v>46775</v>
      </c>
      <c r="L23" s="224" t="str">
        <f t="shared" si="5"/>
        <v>10310002_AUD_100000038_TASMANIAN PUBLIC FINANCE CORPORATION</v>
      </c>
      <c r="M23" s="221">
        <f t="shared" si="6"/>
        <v>4891657.5999999996</v>
      </c>
      <c r="N23" s="24">
        <f>IF(OR(L23=$L$2,L23=$L$3),$M$10+1,IFERROR(VLOOKUP(A23,'Repricing Maturity Adj.'!$A$3:$C$170,3,0),(IF(K23&lt;$M$10,"Check",K23))))</f>
        <v>46775</v>
      </c>
      <c r="O23" s="62" t="b">
        <f t="shared" si="7"/>
        <v>1</v>
      </c>
      <c r="P23" s="63" t="str">
        <f t="shared" si="8"/>
        <v>Asset</v>
      </c>
      <c r="Q23" s="25">
        <f t="shared" si="9"/>
        <v>0</v>
      </c>
      <c r="R23" s="25">
        <f t="shared" si="10"/>
        <v>0</v>
      </c>
      <c r="S23" s="25">
        <f t="shared" si="11"/>
        <v>0</v>
      </c>
      <c r="T23" s="25">
        <f t="shared" si="12"/>
        <v>0</v>
      </c>
      <c r="U23" s="25">
        <f t="shared" si="13"/>
        <v>0</v>
      </c>
      <c r="V23" s="25">
        <f t="shared" si="14"/>
        <v>0</v>
      </c>
      <c r="W23" s="25">
        <f t="shared" si="15"/>
        <v>0</v>
      </c>
      <c r="X23" s="64">
        <f t="shared" si="16"/>
        <v>4891657.5999999996</v>
      </c>
      <c r="Y23" s="64">
        <f t="shared" si="17"/>
        <v>0</v>
      </c>
      <c r="Z23" s="64">
        <f t="shared" si="18"/>
        <v>0</v>
      </c>
      <c r="AA23" s="64">
        <f t="shared" si="19"/>
        <v>0</v>
      </c>
      <c r="AB23" s="64">
        <f t="shared" si="20"/>
        <v>0</v>
      </c>
      <c r="AC23" s="64">
        <f t="shared" si="21"/>
        <v>0</v>
      </c>
      <c r="AD23" s="64">
        <f t="shared" si="22"/>
        <v>0</v>
      </c>
      <c r="AE23" s="64">
        <f t="shared" si="23"/>
        <v>0</v>
      </c>
      <c r="AF23" s="64">
        <f t="shared" si="24"/>
        <v>0</v>
      </c>
      <c r="AG23" s="29">
        <f t="shared" si="25"/>
        <v>0</v>
      </c>
    </row>
    <row r="24" spans="1:33" s="20" customFormat="1">
      <c r="A24" s="265">
        <v>10310003</v>
      </c>
      <c r="B24" s="265" t="s">
        <v>590</v>
      </c>
      <c r="C24" s="265" t="s">
        <v>591</v>
      </c>
      <c r="D24" s="265">
        <v>100000037</v>
      </c>
      <c r="E24" s="265" t="s">
        <v>592</v>
      </c>
      <c r="F24" s="265" t="s">
        <v>301</v>
      </c>
      <c r="G24" s="266">
        <v>5027405.6100000003</v>
      </c>
      <c r="H24" s="266">
        <v>7184060.5999999996</v>
      </c>
      <c r="I24" s="268">
        <v>45624</v>
      </c>
      <c r="J24" s="268">
        <v>46677</v>
      </c>
      <c r="K24" s="268">
        <v>46128</v>
      </c>
      <c r="L24" s="224" t="str">
        <f t="shared" si="5"/>
        <v>10310003_USD_100000037_THE EXPORT-IMPORT BANK OF KOREA</v>
      </c>
      <c r="M24" s="221">
        <f t="shared" si="6"/>
        <v>7184060.5999999996</v>
      </c>
      <c r="N24" s="24">
        <f>IF(OR(L24=$L$2,L24=$L$3),$M$10+1,IFERROR(VLOOKUP(A24,'Repricing Maturity Adj.'!$A$3:$C$170,3,0),(IF(K24&lt;$M$10,"Check",K24))))</f>
        <v>46128</v>
      </c>
      <c r="O24" s="62" t="b">
        <f t="shared" si="7"/>
        <v>1</v>
      </c>
      <c r="P24" s="63" t="str">
        <f t="shared" si="8"/>
        <v>Asset</v>
      </c>
      <c r="Q24" s="25">
        <f t="shared" si="9"/>
        <v>0</v>
      </c>
      <c r="R24" s="25">
        <f t="shared" si="10"/>
        <v>0</v>
      </c>
      <c r="S24" s="25">
        <f t="shared" si="11"/>
        <v>7184060.5999999996</v>
      </c>
      <c r="T24" s="25">
        <f t="shared" si="12"/>
        <v>0</v>
      </c>
      <c r="U24" s="25">
        <f t="shared" si="13"/>
        <v>0</v>
      </c>
      <c r="V24" s="25">
        <f t="shared" si="14"/>
        <v>0</v>
      </c>
      <c r="W24" s="25">
        <f t="shared" si="15"/>
        <v>0</v>
      </c>
      <c r="X24" s="64">
        <f t="shared" si="16"/>
        <v>0</v>
      </c>
      <c r="Y24" s="64">
        <f t="shared" si="17"/>
        <v>0</v>
      </c>
      <c r="Z24" s="64">
        <f t="shared" si="18"/>
        <v>0</v>
      </c>
      <c r="AA24" s="64">
        <f t="shared" si="19"/>
        <v>0</v>
      </c>
      <c r="AB24" s="64">
        <f t="shared" si="20"/>
        <v>0</v>
      </c>
      <c r="AC24" s="64">
        <f t="shared" si="21"/>
        <v>0</v>
      </c>
      <c r="AD24" s="64">
        <f t="shared" si="22"/>
        <v>0</v>
      </c>
      <c r="AE24" s="64">
        <f t="shared" si="23"/>
        <v>0</v>
      </c>
      <c r="AF24" s="64">
        <f t="shared" si="24"/>
        <v>0</v>
      </c>
      <c r="AG24" s="29">
        <f t="shared" si="25"/>
        <v>0</v>
      </c>
    </row>
    <row r="25" spans="1:33" s="20" customFormat="1">
      <c r="A25" s="265">
        <v>10310003</v>
      </c>
      <c r="B25" s="265" t="s">
        <v>590</v>
      </c>
      <c r="C25" s="265" t="s">
        <v>889</v>
      </c>
      <c r="D25" s="265">
        <v>100000037</v>
      </c>
      <c r="E25" s="265" t="s">
        <v>592</v>
      </c>
      <c r="F25" s="265" t="s">
        <v>301</v>
      </c>
      <c r="G25" s="266">
        <v>-15.6</v>
      </c>
      <c r="H25" s="266">
        <v>-22.29</v>
      </c>
      <c r="I25" s="268">
        <v>45692</v>
      </c>
      <c r="J25" s="268">
        <v>46766</v>
      </c>
      <c r="K25" s="267"/>
      <c r="L25" s="224" t="str">
        <f t="shared" si="5"/>
        <v>10310003_USD_100000037_THE EXPORT-IMPORT BANK OF KOREA</v>
      </c>
      <c r="M25" s="221">
        <f t="shared" si="6"/>
        <v>-22.29</v>
      </c>
      <c r="N25" s="24" t="str">
        <f>IF(OR(L25=$L$2,L25=$L$3),$M$10+1,IFERROR(VLOOKUP(A25,'Repricing Maturity Adj.'!$A$3:$C$170,3,0),(IF(K25&lt;$M$10,"Check",K25))))</f>
        <v>Check</v>
      </c>
      <c r="O25" s="62" t="b">
        <f t="shared" si="7"/>
        <v>0</v>
      </c>
      <c r="P25" s="63" t="str">
        <f t="shared" si="8"/>
        <v>Asset</v>
      </c>
      <c r="Q25" s="25">
        <f t="shared" si="9"/>
        <v>0</v>
      </c>
      <c r="R25" s="25">
        <f t="shared" si="10"/>
        <v>0</v>
      </c>
      <c r="S25" s="25">
        <f t="shared" si="11"/>
        <v>0</v>
      </c>
      <c r="T25" s="25">
        <f t="shared" si="12"/>
        <v>0</v>
      </c>
      <c r="U25" s="25">
        <f t="shared" si="13"/>
        <v>0</v>
      </c>
      <c r="V25" s="25">
        <f t="shared" si="14"/>
        <v>0</v>
      </c>
      <c r="W25" s="25">
        <f t="shared" si="15"/>
        <v>0</v>
      </c>
      <c r="X25" s="64">
        <f t="shared" si="16"/>
        <v>0</v>
      </c>
      <c r="Y25" s="64">
        <f t="shared" si="17"/>
        <v>0</v>
      </c>
      <c r="Z25" s="64">
        <f t="shared" si="18"/>
        <v>0</v>
      </c>
      <c r="AA25" s="64">
        <f t="shared" si="19"/>
        <v>0</v>
      </c>
      <c r="AB25" s="64">
        <f t="shared" si="20"/>
        <v>0</v>
      </c>
      <c r="AC25" s="64">
        <f t="shared" si="21"/>
        <v>0</v>
      </c>
      <c r="AD25" s="64">
        <f t="shared" si="22"/>
        <v>0</v>
      </c>
      <c r="AE25" s="64">
        <f t="shared" si="23"/>
        <v>0</v>
      </c>
      <c r="AF25" s="64">
        <f t="shared" si="24"/>
        <v>0</v>
      </c>
      <c r="AG25" s="29">
        <f t="shared" si="25"/>
        <v>0</v>
      </c>
    </row>
    <row r="26" spans="1:33" s="20" customFormat="1">
      <c r="A26" s="265">
        <v>10310003</v>
      </c>
      <c r="B26" s="265" t="s">
        <v>590</v>
      </c>
      <c r="C26" s="265" t="s">
        <v>610</v>
      </c>
      <c r="D26" s="265">
        <v>100000037</v>
      </c>
      <c r="E26" s="265" t="s">
        <v>592</v>
      </c>
      <c r="F26" s="265" t="s">
        <v>301</v>
      </c>
      <c r="G26" s="266">
        <v>5076634.8499999996</v>
      </c>
      <c r="H26" s="266">
        <v>7254408.1900000004</v>
      </c>
      <c r="I26" s="268">
        <v>45692</v>
      </c>
      <c r="J26" s="268">
        <v>46766</v>
      </c>
      <c r="K26" s="268">
        <v>46765</v>
      </c>
      <c r="L26" s="224" t="str">
        <f t="shared" si="5"/>
        <v>10310003_USD_100000037_THE EXPORT-IMPORT BANK OF KOREA</v>
      </c>
      <c r="M26" s="221">
        <f t="shared" si="6"/>
        <v>7254408.1900000004</v>
      </c>
      <c r="N26" s="24">
        <f>IF(OR(L26=$L$2,L26=$L$3),$M$10+1,IFERROR(VLOOKUP(A26,'Repricing Maturity Adj.'!$A$3:$C$170,3,0),(IF(K26&lt;$M$10,"Check",K26))))</f>
        <v>46765</v>
      </c>
      <c r="O26" s="62" t="b">
        <f t="shared" si="7"/>
        <v>1</v>
      </c>
      <c r="P26" s="63" t="str">
        <f t="shared" si="8"/>
        <v>Asset</v>
      </c>
      <c r="Q26" s="25">
        <f t="shared" si="9"/>
        <v>0</v>
      </c>
      <c r="R26" s="25">
        <f t="shared" si="10"/>
        <v>0</v>
      </c>
      <c r="S26" s="25">
        <f t="shared" si="11"/>
        <v>0</v>
      </c>
      <c r="T26" s="25">
        <f t="shared" si="12"/>
        <v>0</v>
      </c>
      <c r="U26" s="25">
        <f t="shared" si="13"/>
        <v>0</v>
      </c>
      <c r="V26" s="25">
        <f t="shared" si="14"/>
        <v>0</v>
      </c>
      <c r="W26" s="25">
        <f t="shared" si="15"/>
        <v>0</v>
      </c>
      <c r="X26" s="64">
        <f t="shared" si="16"/>
        <v>7254408.1900000004</v>
      </c>
      <c r="Y26" s="64">
        <f t="shared" si="17"/>
        <v>0</v>
      </c>
      <c r="Z26" s="64">
        <f t="shared" si="18"/>
        <v>0</v>
      </c>
      <c r="AA26" s="64">
        <f t="shared" si="19"/>
        <v>0</v>
      </c>
      <c r="AB26" s="64">
        <f t="shared" si="20"/>
        <v>0</v>
      </c>
      <c r="AC26" s="64">
        <f t="shared" si="21"/>
        <v>0</v>
      </c>
      <c r="AD26" s="64">
        <f t="shared" si="22"/>
        <v>0</v>
      </c>
      <c r="AE26" s="64">
        <f t="shared" si="23"/>
        <v>0</v>
      </c>
      <c r="AF26" s="64">
        <f t="shared" si="24"/>
        <v>0</v>
      </c>
      <c r="AG26" s="29">
        <f t="shared" si="25"/>
        <v>0</v>
      </c>
    </row>
    <row r="27" spans="1:33" s="20" customFormat="1">
      <c r="A27" s="265">
        <v>10310003</v>
      </c>
      <c r="B27" s="265" t="s">
        <v>590</v>
      </c>
      <c r="C27" s="265" t="s">
        <v>632</v>
      </c>
      <c r="D27" s="265">
        <v>100000037</v>
      </c>
      <c r="E27" s="265" t="s">
        <v>592</v>
      </c>
      <c r="F27" s="265" t="s">
        <v>301</v>
      </c>
      <c r="G27" s="266">
        <v>3021005.36</v>
      </c>
      <c r="H27" s="266">
        <v>4316955.3600000003</v>
      </c>
      <c r="I27" s="268">
        <v>45818</v>
      </c>
      <c r="J27" s="268">
        <v>46645</v>
      </c>
      <c r="K27" s="268">
        <v>46644</v>
      </c>
      <c r="L27" s="224" t="str">
        <f t="shared" si="5"/>
        <v>10310003_USD_100000037_THE EXPORT-IMPORT BANK OF KOREA</v>
      </c>
      <c r="M27" s="221">
        <f t="shared" si="6"/>
        <v>4316955.3600000003</v>
      </c>
      <c r="N27" s="24">
        <f>IF(OR(L27=$L$2,L27=$L$3),$M$10+1,IFERROR(VLOOKUP(A27,'Repricing Maturity Adj.'!$A$3:$C$170,3,0),(IF(K27&lt;$M$10,"Check",K27))))</f>
        <v>46644</v>
      </c>
      <c r="O27" s="62" t="b">
        <f t="shared" si="7"/>
        <v>1</v>
      </c>
      <c r="P27" s="63" t="str">
        <f t="shared" si="8"/>
        <v>Asset</v>
      </c>
      <c r="Q27" s="25">
        <f t="shared" si="9"/>
        <v>0</v>
      </c>
      <c r="R27" s="25">
        <f t="shared" si="10"/>
        <v>0</v>
      </c>
      <c r="S27" s="25">
        <f t="shared" si="11"/>
        <v>0</v>
      </c>
      <c r="T27" s="25">
        <f t="shared" si="12"/>
        <v>0</v>
      </c>
      <c r="U27" s="25">
        <f t="shared" si="13"/>
        <v>0</v>
      </c>
      <c r="V27" s="25">
        <f t="shared" si="14"/>
        <v>0</v>
      </c>
      <c r="W27" s="25">
        <f t="shared" si="15"/>
        <v>0</v>
      </c>
      <c r="X27" s="64">
        <f t="shared" si="16"/>
        <v>4316955.3600000003</v>
      </c>
      <c r="Y27" s="64">
        <f t="shared" si="17"/>
        <v>0</v>
      </c>
      <c r="Z27" s="64">
        <f t="shared" si="18"/>
        <v>0</v>
      </c>
      <c r="AA27" s="64">
        <f t="shared" si="19"/>
        <v>0</v>
      </c>
      <c r="AB27" s="64">
        <f t="shared" si="20"/>
        <v>0</v>
      </c>
      <c r="AC27" s="64">
        <f t="shared" si="21"/>
        <v>0</v>
      </c>
      <c r="AD27" s="64">
        <f t="shared" si="22"/>
        <v>0</v>
      </c>
      <c r="AE27" s="64">
        <f t="shared" si="23"/>
        <v>0</v>
      </c>
      <c r="AF27" s="64">
        <f t="shared" si="24"/>
        <v>0</v>
      </c>
      <c r="AG27" s="29">
        <f t="shared" si="25"/>
        <v>0</v>
      </c>
    </row>
    <row r="28" spans="1:33" s="20" customFormat="1">
      <c r="A28" s="265">
        <v>10310003</v>
      </c>
      <c r="B28" s="265" t="s">
        <v>590</v>
      </c>
      <c r="C28" s="265" t="s">
        <v>890</v>
      </c>
      <c r="D28" s="265">
        <v>100000037</v>
      </c>
      <c r="E28" s="265" t="s">
        <v>592</v>
      </c>
      <c r="F28" s="265" t="s">
        <v>301</v>
      </c>
      <c r="G28" s="266">
        <v>15.6</v>
      </c>
      <c r="H28" s="266">
        <v>22.29</v>
      </c>
      <c r="I28" s="267"/>
      <c r="J28" s="267"/>
      <c r="K28" s="267"/>
      <c r="L28" s="224" t="str">
        <f t="shared" si="5"/>
        <v>10310003_USD_100000037_THE EXPORT-IMPORT BANK OF KOREA</v>
      </c>
      <c r="M28" s="221">
        <f t="shared" si="6"/>
        <v>22.29</v>
      </c>
      <c r="N28" s="24" t="str">
        <f>IF(OR(L28=$L$2,L28=$L$3),$M$10+1,IFERROR(VLOOKUP(A28,'Repricing Maturity Adj.'!$A$3:$C$170,3,0),(IF(K28&lt;$M$10,"Check",K28))))</f>
        <v>Check</v>
      </c>
      <c r="O28" s="62" t="b">
        <f t="shared" si="7"/>
        <v>0</v>
      </c>
      <c r="P28" s="63" t="str">
        <f t="shared" si="8"/>
        <v>Asset</v>
      </c>
      <c r="Q28" s="25">
        <f t="shared" si="9"/>
        <v>0</v>
      </c>
      <c r="R28" s="25">
        <f t="shared" si="10"/>
        <v>0</v>
      </c>
      <c r="S28" s="25">
        <f t="shared" si="11"/>
        <v>0</v>
      </c>
      <c r="T28" s="25">
        <f t="shared" si="12"/>
        <v>0</v>
      </c>
      <c r="U28" s="25">
        <f t="shared" si="13"/>
        <v>0</v>
      </c>
      <c r="V28" s="25">
        <f t="shared" si="14"/>
        <v>0</v>
      </c>
      <c r="W28" s="25">
        <f t="shared" si="15"/>
        <v>0</v>
      </c>
      <c r="X28" s="64">
        <f t="shared" si="16"/>
        <v>0</v>
      </c>
      <c r="Y28" s="64">
        <f t="shared" si="17"/>
        <v>0</v>
      </c>
      <c r="Z28" s="64">
        <f t="shared" si="18"/>
        <v>0</v>
      </c>
      <c r="AA28" s="64">
        <f t="shared" si="19"/>
        <v>0</v>
      </c>
      <c r="AB28" s="64">
        <f t="shared" si="20"/>
        <v>0</v>
      </c>
      <c r="AC28" s="64">
        <f t="shared" si="21"/>
        <v>0</v>
      </c>
      <c r="AD28" s="64">
        <f t="shared" si="22"/>
        <v>0</v>
      </c>
      <c r="AE28" s="64">
        <f t="shared" si="23"/>
        <v>0</v>
      </c>
      <c r="AF28" s="64">
        <f t="shared" si="24"/>
        <v>0</v>
      </c>
      <c r="AG28" s="29">
        <f t="shared" si="25"/>
        <v>0</v>
      </c>
    </row>
    <row r="29" spans="1:33" s="20" customFormat="1">
      <c r="A29" s="265">
        <v>10610005</v>
      </c>
      <c r="B29" s="265" t="s">
        <v>307</v>
      </c>
      <c r="C29" s="265" t="s">
        <v>283</v>
      </c>
      <c r="D29" s="265">
        <v>100000003</v>
      </c>
      <c r="E29" s="265" t="s">
        <v>49</v>
      </c>
      <c r="F29" s="265" t="s">
        <v>0</v>
      </c>
      <c r="G29" s="266">
        <v>6000000</v>
      </c>
      <c r="H29" s="266">
        <v>6000000</v>
      </c>
      <c r="I29" s="268">
        <v>44859</v>
      </c>
      <c r="J29" s="268">
        <v>46318</v>
      </c>
      <c r="K29" s="268">
        <v>46136</v>
      </c>
      <c r="L29" s="224" t="str">
        <f t="shared" si="5"/>
        <v>10610005_AUD_100000003_COSMAX NBT AUSTRALIA PTY LTD</v>
      </c>
      <c r="M29" s="221">
        <f t="shared" si="6"/>
        <v>6000000</v>
      </c>
      <c r="N29" s="24">
        <f>IF(OR(L29=$L$2,L29=$L$3),$M$10+1,IFERROR(VLOOKUP(A29,'Repricing Maturity Adj.'!$A$3:$C$170,3,0),(IF(K29&lt;$M$10,"Check",K29))))</f>
        <v>46136</v>
      </c>
      <c r="O29" s="62" t="b">
        <f t="shared" si="7"/>
        <v>1</v>
      </c>
      <c r="P29" s="63" t="str">
        <f t="shared" si="8"/>
        <v>Asset</v>
      </c>
      <c r="Q29" s="25">
        <f t="shared" si="9"/>
        <v>0</v>
      </c>
      <c r="R29" s="25">
        <f t="shared" si="10"/>
        <v>0</v>
      </c>
      <c r="S29" s="25">
        <f t="shared" si="11"/>
        <v>6000000</v>
      </c>
      <c r="T29" s="25">
        <f t="shared" si="12"/>
        <v>0</v>
      </c>
      <c r="U29" s="25">
        <f t="shared" si="13"/>
        <v>0</v>
      </c>
      <c r="V29" s="25">
        <f t="shared" si="14"/>
        <v>0</v>
      </c>
      <c r="W29" s="25">
        <f t="shared" si="15"/>
        <v>0</v>
      </c>
      <c r="X29" s="64">
        <f t="shared" si="16"/>
        <v>0</v>
      </c>
      <c r="Y29" s="64">
        <f t="shared" si="17"/>
        <v>0</v>
      </c>
      <c r="Z29" s="64">
        <f t="shared" si="18"/>
        <v>0</v>
      </c>
      <c r="AA29" s="64">
        <f t="shared" si="19"/>
        <v>0</v>
      </c>
      <c r="AB29" s="64">
        <f t="shared" si="20"/>
        <v>0</v>
      </c>
      <c r="AC29" s="64">
        <f t="shared" si="21"/>
        <v>0</v>
      </c>
      <c r="AD29" s="64">
        <f t="shared" si="22"/>
        <v>0</v>
      </c>
      <c r="AE29" s="64">
        <f t="shared" si="23"/>
        <v>0</v>
      </c>
      <c r="AF29" s="64">
        <f t="shared" si="24"/>
        <v>0</v>
      </c>
      <c r="AG29" s="29">
        <f t="shared" si="25"/>
        <v>0</v>
      </c>
    </row>
    <row r="30" spans="1:33" s="20" customFormat="1">
      <c r="A30" s="265">
        <v>10620001</v>
      </c>
      <c r="B30" s="265" t="s">
        <v>502</v>
      </c>
      <c r="C30" s="265" t="s">
        <v>504</v>
      </c>
      <c r="D30" s="265">
        <v>100000020</v>
      </c>
      <c r="E30" s="265" t="s">
        <v>503</v>
      </c>
      <c r="F30" s="265" t="s">
        <v>0</v>
      </c>
      <c r="G30" s="266">
        <v>8000000</v>
      </c>
      <c r="H30" s="266">
        <v>8000000</v>
      </c>
      <c r="I30" s="268">
        <v>45240</v>
      </c>
      <c r="J30" s="268">
        <v>48883</v>
      </c>
      <c r="K30" s="268">
        <v>46153</v>
      </c>
      <c r="L30" s="224" t="str">
        <f t="shared" si="5"/>
        <v>10620001_AUD_100000020_APA INFRASTRUCTURE LIMITED</v>
      </c>
      <c r="M30" s="221">
        <f t="shared" si="6"/>
        <v>8000000</v>
      </c>
      <c r="N30" s="24">
        <f>IF(OR(L30=$L$2,L30=$L$3),$M$10+1,IFERROR(VLOOKUP(A30,'Repricing Maturity Adj.'!$A$3:$C$170,3,0),(IF(K30&lt;$M$10,"Check",K30))))</f>
        <v>46153</v>
      </c>
      <c r="O30" s="62" t="b">
        <f t="shared" si="7"/>
        <v>1</v>
      </c>
      <c r="P30" s="63" t="str">
        <f t="shared" si="8"/>
        <v>Asset</v>
      </c>
      <c r="Q30" s="25">
        <f t="shared" si="9"/>
        <v>0</v>
      </c>
      <c r="R30" s="25">
        <f t="shared" si="10"/>
        <v>0</v>
      </c>
      <c r="S30" s="25">
        <f t="shared" si="11"/>
        <v>0</v>
      </c>
      <c r="T30" s="25">
        <f t="shared" si="12"/>
        <v>8000000</v>
      </c>
      <c r="U30" s="25">
        <f t="shared" si="13"/>
        <v>0</v>
      </c>
      <c r="V30" s="25">
        <f t="shared" si="14"/>
        <v>0</v>
      </c>
      <c r="W30" s="25">
        <f t="shared" si="15"/>
        <v>0</v>
      </c>
      <c r="X30" s="64">
        <f t="shared" si="16"/>
        <v>0</v>
      </c>
      <c r="Y30" s="64">
        <f t="shared" si="17"/>
        <v>0</v>
      </c>
      <c r="Z30" s="64">
        <f t="shared" si="18"/>
        <v>0</v>
      </c>
      <c r="AA30" s="64">
        <f t="shared" si="19"/>
        <v>0</v>
      </c>
      <c r="AB30" s="64">
        <f t="shared" si="20"/>
        <v>0</v>
      </c>
      <c r="AC30" s="64">
        <f t="shared" si="21"/>
        <v>0</v>
      </c>
      <c r="AD30" s="64">
        <f t="shared" si="22"/>
        <v>0</v>
      </c>
      <c r="AE30" s="64">
        <f t="shared" si="23"/>
        <v>0</v>
      </c>
      <c r="AF30" s="64">
        <f t="shared" si="24"/>
        <v>0</v>
      </c>
      <c r="AG30" s="29">
        <f t="shared" si="25"/>
        <v>0</v>
      </c>
    </row>
    <row r="31" spans="1:33" s="20" customFormat="1">
      <c r="A31" s="265">
        <v>10620001</v>
      </c>
      <c r="B31" s="265" t="s">
        <v>502</v>
      </c>
      <c r="C31" s="265" t="s">
        <v>552</v>
      </c>
      <c r="D31" s="265">
        <v>100000031</v>
      </c>
      <c r="E31" s="265" t="s">
        <v>553</v>
      </c>
      <c r="F31" s="265" t="s">
        <v>0</v>
      </c>
      <c r="G31" s="266">
        <v>10000000</v>
      </c>
      <c r="H31" s="266">
        <v>10000000</v>
      </c>
      <c r="I31" s="268">
        <v>45463</v>
      </c>
      <c r="J31" s="268">
        <v>48005</v>
      </c>
      <c r="K31" s="268">
        <v>46195</v>
      </c>
      <c r="L31" s="224" t="str">
        <f t="shared" si="5"/>
        <v>10620001_AUD_100000031_ORIGIN ENERGY LIMITED</v>
      </c>
      <c r="M31" s="221">
        <f t="shared" si="6"/>
        <v>10000000</v>
      </c>
      <c r="N31" s="24">
        <f>IF(OR(L31=$L$2,L31=$L$3),$M$10+1,IFERROR(VLOOKUP(A31,'Repricing Maturity Adj.'!$A$3:$C$170,3,0),(IF(K31&lt;$M$10,"Check",K31))))</f>
        <v>46195</v>
      </c>
      <c r="O31" s="62" t="b">
        <f t="shared" si="7"/>
        <v>1</v>
      </c>
      <c r="P31" s="63" t="str">
        <f t="shared" si="8"/>
        <v>Asset</v>
      </c>
      <c r="Q31" s="25">
        <f t="shared" si="9"/>
        <v>0</v>
      </c>
      <c r="R31" s="25">
        <f t="shared" si="10"/>
        <v>0</v>
      </c>
      <c r="S31" s="25">
        <f t="shared" si="11"/>
        <v>0</v>
      </c>
      <c r="T31" s="25">
        <f t="shared" si="12"/>
        <v>0</v>
      </c>
      <c r="U31" s="25">
        <f t="shared" si="13"/>
        <v>10000000</v>
      </c>
      <c r="V31" s="25">
        <f t="shared" si="14"/>
        <v>0</v>
      </c>
      <c r="W31" s="25">
        <f t="shared" si="15"/>
        <v>0</v>
      </c>
      <c r="X31" s="64">
        <f t="shared" si="16"/>
        <v>0</v>
      </c>
      <c r="Y31" s="64">
        <f t="shared" si="17"/>
        <v>0</v>
      </c>
      <c r="Z31" s="64">
        <f t="shared" si="18"/>
        <v>0</v>
      </c>
      <c r="AA31" s="64">
        <f t="shared" si="19"/>
        <v>0</v>
      </c>
      <c r="AB31" s="64">
        <f t="shared" si="20"/>
        <v>0</v>
      </c>
      <c r="AC31" s="64">
        <f t="shared" si="21"/>
        <v>0</v>
      </c>
      <c r="AD31" s="64">
        <f t="shared" si="22"/>
        <v>0</v>
      </c>
      <c r="AE31" s="64">
        <f t="shared" si="23"/>
        <v>0</v>
      </c>
      <c r="AF31" s="64">
        <f t="shared" si="24"/>
        <v>0</v>
      </c>
      <c r="AG31" s="29">
        <f t="shared" si="25"/>
        <v>0</v>
      </c>
    </row>
    <row r="32" spans="1:33" s="20" customFormat="1">
      <c r="A32" s="265">
        <v>10620001</v>
      </c>
      <c r="B32" s="265" t="s">
        <v>502</v>
      </c>
      <c r="C32" s="265" t="s">
        <v>572</v>
      </c>
      <c r="D32" s="265">
        <v>100000033</v>
      </c>
      <c r="E32" s="265" t="s">
        <v>573</v>
      </c>
      <c r="F32" s="265" t="s">
        <v>301</v>
      </c>
      <c r="G32" s="266">
        <v>30000000</v>
      </c>
      <c r="H32" s="266">
        <v>42869391.25</v>
      </c>
      <c r="I32" s="268">
        <v>45565</v>
      </c>
      <c r="J32" s="268">
        <v>48136</v>
      </c>
      <c r="K32" s="268">
        <v>46107</v>
      </c>
      <c r="L32" s="224" t="str">
        <f t="shared" si="5"/>
        <v>10620001_USD_100000033_MACQUARIE GROUP LIMITED</v>
      </c>
      <c r="M32" s="221">
        <f t="shared" si="6"/>
        <v>42869391.25</v>
      </c>
      <c r="N32" s="24">
        <f>IF(OR(L32=$L$2,L32=$L$3),$M$10+1,IFERROR(VLOOKUP(A32,'Repricing Maturity Adj.'!$A$3:$C$170,3,0),(IF(K32&lt;$M$10,"Check",K32))))</f>
        <v>46059</v>
      </c>
      <c r="O32" s="62" t="b">
        <f t="shared" si="7"/>
        <v>1</v>
      </c>
      <c r="P32" s="63" t="str">
        <f t="shared" si="8"/>
        <v>Asset</v>
      </c>
      <c r="Q32" s="25">
        <f t="shared" si="9"/>
        <v>42869391.25</v>
      </c>
      <c r="R32" s="25">
        <f t="shared" si="10"/>
        <v>0</v>
      </c>
      <c r="S32" s="25">
        <f t="shared" si="11"/>
        <v>0</v>
      </c>
      <c r="T32" s="25">
        <f t="shared" si="12"/>
        <v>0</v>
      </c>
      <c r="U32" s="25">
        <f t="shared" si="13"/>
        <v>0</v>
      </c>
      <c r="V32" s="25">
        <f t="shared" si="14"/>
        <v>0</v>
      </c>
      <c r="W32" s="25">
        <f t="shared" si="15"/>
        <v>0</v>
      </c>
      <c r="X32" s="64">
        <f t="shared" si="16"/>
        <v>0</v>
      </c>
      <c r="Y32" s="64">
        <f t="shared" si="17"/>
        <v>0</v>
      </c>
      <c r="Z32" s="64">
        <f t="shared" si="18"/>
        <v>0</v>
      </c>
      <c r="AA32" s="64">
        <f t="shared" si="19"/>
        <v>0</v>
      </c>
      <c r="AB32" s="64">
        <f t="shared" si="20"/>
        <v>0</v>
      </c>
      <c r="AC32" s="64">
        <f t="shared" si="21"/>
        <v>0</v>
      </c>
      <c r="AD32" s="64">
        <f t="shared" si="22"/>
        <v>0</v>
      </c>
      <c r="AE32" s="64">
        <f t="shared" si="23"/>
        <v>0</v>
      </c>
      <c r="AF32" s="64">
        <f t="shared" si="24"/>
        <v>0</v>
      </c>
      <c r="AG32" s="29">
        <f t="shared" si="25"/>
        <v>0</v>
      </c>
    </row>
    <row r="33" spans="1:33" s="20" customFormat="1">
      <c r="A33" s="265">
        <v>10620001</v>
      </c>
      <c r="B33" s="265" t="s">
        <v>502</v>
      </c>
      <c r="C33" s="265" t="s">
        <v>593</v>
      </c>
      <c r="D33" s="265">
        <v>100000035</v>
      </c>
      <c r="E33" s="265" t="s">
        <v>594</v>
      </c>
      <c r="F33" s="265" t="s">
        <v>0</v>
      </c>
      <c r="G33" s="266">
        <v>20000000</v>
      </c>
      <c r="H33" s="266">
        <v>20000000</v>
      </c>
      <c r="I33" s="268">
        <v>45629</v>
      </c>
      <c r="J33" s="268">
        <v>48185</v>
      </c>
      <c r="K33" s="268">
        <v>46084</v>
      </c>
      <c r="L33" s="224" t="str">
        <f t="shared" si="5"/>
        <v>10620001_AUD_100000035_NEXTDC LIMITED</v>
      </c>
      <c r="M33" s="221">
        <f t="shared" si="6"/>
        <v>20000000</v>
      </c>
      <c r="N33" s="24">
        <f>IF(OR(L33=$L$2,L33=$L$3),$M$10+1,IFERROR(VLOOKUP(A33,'Repricing Maturity Adj.'!$A$3:$C$170,3,0),(IF(K33&lt;$M$10,"Check",K33))))</f>
        <v>46084</v>
      </c>
      <c r="O33" s="62" t="b">
        <f t="shared" si="7"/>
        <v>1</v>
      </c>
      <c r="P33" s="63" t="str">
        <f t="shared" si="8"/>
        <v>Asset</v>
      </c>
      <c r="Q33" s="25">
        <f t="shared" si="9"/>
        <v>0</v>
      </c>
      <c r="R33" s="25">
        <f t="shared" si="10"/>
        <v>20000000</v>
      </c>
      <c r="S33" s="25">
        <f t="shared" si="11"/>
        <v>0</v>
      </c>
      <c r="T33" s="25">
        <f t="shared" si="12"/>
        <v>0</v>
      </c>
      <c r="U33" s="25">
        <f t="shared" si="13"/>
        <v>0</v>
      </c>
      <c r="V33" s="25">
        <f t="shared" si="14"/>
        <v>0</v>
      </c>
      <c r="W33" s="25">
        <f t="shared" si="15"/>
        <v>0</v>
      </c>
      <c r="X33" s="64">
        <f t="shared" si="16"/>
        <v>0</v>
      </c>
      <c r="Y33" s="64">
        <f t="shared" si="17"/>
        <v>0</v>
      </c>
      <c r="Z33" s="64">
        <f t="shared" si="18"/>
        <v>0</v>
      </c>
      <c r="AA33" s="64">
        <f t="shared" si="19"/>
        <v>0</v>
      </c>
      <c r="AB33" s="64">
        <f t="shared" si="20"/>
        <v>0</v>
      </c>
      <c r="AC33" s="64">
        <f t="shared" si="21"/>
        <v>0</v>
      </c>
      <c r="AD33" s="64">
        <f t="shared" si="22"/>
        <v>0</v>
      </c>
      <c r="AE33" s="64">
        <f t="shared" si="23"/>
        <v>0</v>
      </c>
      <c r="AF33" s="64">
        <f t="shared" si="24"/>
        <v>0</v>
      </c>
      <c r="AG33" s="29">
        <f t="shared" si="25"/>
        <v>0</v>
      </c>
    </row>
    <row r="34" spans="1:33" s="20" customFormat="1">
      <c r="A34" s="265">
        <v>10620001</v>
      </c>
      <c r="B34" s="265" t="s">
        <v>502</v>
      </c>
      <c r="C34" s="265" t="s">
        <v>633</v>
      </c>
      <c r="D34" s="265">
        <v>100000039</v>
      </c>
      <c r="E34" s="265" t="s">
        <v>634</v>
      </c>
      <c r="F34" s="265" t="s">
        <v>0</v>
      </c>
      <c r="G34" s="266">
        <v>5000000</v>
      </c>
      <c r="H34" s="266">
        <v>5000000</v>
      </c>
      <c r="I34" s="268">
        <v>45791</v>
      </c>
      <c r="J34" s="268">
        <v>48341</v>
      </c>
      <c r="K34" s="268">
        <v>46066</v>
      </c>
      <c r="L34" s="224" t="str">
        <f t="shared" si="5"/>
        <v>10620001_AUD_100000039_QANTAS AIRWAYS LIMITED</v>
      </c>
      <c r="M34" s="221">
        <f t="shared" si="6"/>
        <v>5000000</v>
      </c>
      <c r="N34" s="24">
        <f>IF(OR(L34=$L$2,L34=$L$3),$M$10+1,IFERROR(VLOOKUP(A34,'Repricing Maturity Adj.'!$A$3:$C$170,3,0),(IF(K34&lt;$M$10,"Check",K34))))</f>
        <v>46066</v>
      </c>
      <c r="O34" s="62" t="b">
        <f t="shared" si="7"/>
        <v>1</v>
      </c>
      <c r="P34" s="63" t="str">
        <f t="shared" si="8"/>
        <v>Asset</v>
      </c>
      <c r="Q34" s="25">
        <f t="shared" si="9"/>
        <v>0</v>
      </c>
      <c r="R34" s="25">
        <f t="shared" si="10"/>
        <v>5000000</v>
      </c>
      <c r="S34" s="25">
        <f t="shared" si="11"/>
        <v>0</v>
      </c>
      <c r="T34" s="25">
        <f t="shared" si="12"/>
        <v>0</v>
      </c>
      <c r="U34" s="25">
        <f t="shared" si="13"/>
        <v>0</v>
      </c>
      <c r="V34" s="25">
        <f t="shared" si="14"/>
        <v>0</v>
      </c>
      <c r="W34" s="25">
        <f t="shared" si="15"/>
        <v>0</v>
      </c>
      <c r="X34" s="64">
        <f t="shared" si="16"/>
        <v>0</v>
      </c>
      <c r="Y34" s="64">
        <f t="shared" si="17"/>
        <v>0</v>
      </c>
      <c r="Z34" s="64">
        <f t="shared" si="18"/>
        <v>0</v>
      </c>
      <c r="AA34" s="64">
        <f t="shared" si="19"/>
        <v>0</v>
      </c>
      <c r="AB34" s="64">
        <f t="shared" si="20"/>
        <v>0</v>
      </c>
      <c r="AC34" s="64">
        <f t="shared" si="21"/>
        <v>0</v>
      </c>
      <c r="AD34" s="64">
        <f t="shared" si="22"/>
        <v>0</v>
      </c>
      <c r="AE34" s="64">
        <f t="shared" si="23"/>
        <v>0</v>
      </c>
      <c r="AF34" s="64">
        <f t="shared" si="24"/>
        <v>0</v>
      </c>
      <c r="AG34" s="29">
        <f t="shared" si="25"/>
        <v>0</v>
      </c>
    </row>
    <row r="35" spans="1:33" s="20" customFormat="1">
      <c r="A35" s="265">
        <v>10620001</v>
      </c>
      <c r="B35" s="265" t="s">
        <v>502</v>
      </c>
      <c r="C35" s="265" t="s">
        <v>635</v>
      </c>
      <c r="D35" s="265">
        <v>100000040</v>
      </c>
      <c r="E35" s="265" t="s">
        <v>636</v>
      </c>
      <c r="F35" s="265" t="s">
        <v>0</v>
      </c>
      <c r="G35" s="266">
        <v>35000000</v>
      </c>
      <c r="H35" s="266">
        <v>35000000</v>
      </c>
      <c r="I35" s="268">
        <v>45828</v>
      </c>
      <c r="J35" s="268">
        <v>48383</v>
      </c>
      <c r="K35" s="268">
        <v>46080</v>
      </c>
      <c r="L35" s="224" t="str">
        <f t="shared" si="5"/>
        <v>10620001_AUD_100000040_DOWNER GROUP FINANCE PTY LIMITED</v>
      </c>
      <c r="M35" s="221">
        <f t="shared" si="6"/>
        <v>35000000</v>
      </c>
      <c r="N35" s="24">
        <f>IF(OR(L35=$L$2,L35=$L$3),$M$10+1,IFERROR(VLOOKUP(A35,'Repricing Maturity Adj.'!$A$3:$C$170,3,0),(IF(K35&lt;$M$10,"Check",K35))))</f>
        <v>46080</v>
      </c>
      <c r="O35" s="62" t="b">
        <f t="shared" si="7"/>
        <v>1</v>
      </c>
      <c r="P35" s="63" t="str">
        <f t="shared" si="8"/>
        <v>Asset</v>
      </c>
      <c r="Q35" s="25">
        <f t="shared" si="9"/>
        <v>0</v>
      </c>
      <c r="R35" s="25">
        <f t="shared" si="10"/>
        <v>35000000</v>
      </c>
      <c r="S35" s="25">
        <f t="shared" si="11"/>
        <v>0</v>
      </c>
      <c r="T35" s="25">
        <f t="shared" si="12"/>
        <v>0</v>
      </c>
      <c r="U35" s="25">
        <f t="shared" si="13"/>
        <v>0</v>
      </c>
      <c r="V35" s="25">
        <f t="shared" si="14"/>
        <v>0</v>
      </c>
      <c r="W35" s="25">
        <f t="shared" si="15"/>
        <v>0</v>
      </c>
      <c r="X35" s="64">
        <f t="shared" si="16"/>
        <v>0</v>
      </c>
      <c r="Y35" s="64">
        <f t="shared" si="17"/>
        <v>0</v>
      </c>
      <c r="Z35" s="64">
        <f t="shared" si="18"/>
        <v>0</v>
      </c>
      <c r="AA35" s="64">
        <f t="shared" si="19"/>
        <v>0</v>
      </c>
      <c r="AB35" s="64">
        <f t="shared" si="20"/>
        <v>0</v>
      </c>
      <c r="AC35" s="64">
        <f t="shared" si="21"/>
        <v>0</v>
      </c>
      <c r="AD35" s="64">
        <f t="shared" si="22"/>
        <v>0</v>
      </c>
      <c r="AE35" s="64">
        <f t="shared" si="23"/>
        <v>0</v>
      </c>
      <c r="AF35" s="64">
        <f t="shared" si="24"/>
        <v>0</v>
      </c>
      <c r="AG35" s="29">
        <f t="shared" si="25"/>
        <v>0</v>
      </c>
    </row>
    <row r="36" spans="1:33" s="20" customFormat="1">
      <c r="A36" s="265">
        <v>10620001</v>
      </c>
      <c r="B36" s="265" t="s">
        <v>502</v>
      </c>
      <c r="C36" s="265" t="s">
        <v>637</v>
      </c>
      <c r="D36" s="265">
        <v>100000020</v>
      </c>
      <c r="E36" s="265" t="s">
        <v>503</v>
      </c>
      <c r="F36" s="265" t="s">
        <v>0</v>
      </c>
      <c r="G36" s="266">
        <v>20000000</v>
      </c>
      <c r="H36" s="266">
        <v>20000000</v>
      </c>
      <c r="I36" s="268">
        <v>45833</v>
      </c>
      <c r="J36" s="268">
        <v>48426</v>
      </c>
      <c r="K36" s="268">
        <v>46153</v>
      </c>
      <c r="L36" s="224" t="str">
        <f t="shared" si="5"/>
        <v>10620001_AUD_100000020_APA INFRASTRUCTURE LIMITED</v>
      </c>
      <c r="M36" s="221">
        <f t="shared" si="6"/>
        <v>20000000</v>
      </c>
      <c r="N36" s="24">
        <f>IF(OR(L36=$L$2,L36=$L$3),$M$10+1,IFERROR(VLOOKUP(A36,'Repricing Maturity Adj.'!$A$3:$C$170,3,0),(IF(K36&lt;$M$10,"Check",K36))))</f>
        <v>46153</v>
      </c>
      <c r="O36" s="62" t="b">
        <f t="shared" si="7"/>
        <v>1</v>
      </c>
      <c r="P36" s="63" t="str">
        <f t="shared" si="8"/>
        <v>Asset</v>
      </c>
      <c r="Q36" s="25">
        <f t="shared" si="9"/>
        <v>0</v>
      </c>
      <c r="R36" s="25">
        <f t="shared" si="10"/>
        <v>0</v>
      </c>
      <c r="S36" s="25">
        <f t="shared" si="11"/>
        <v>0</v>
      </c>
      <c r="T36" s="25">
        <f t="shared" si="12"/>
        <v>20000000</v>
      </c>
      <c r="U36" s="25">
        <f t="shared" si="13"/>
        <v>0</v>
      </c>
      <c r="V36" s="25">
        <f t="shared" si="14"/>
        <v>0</v>
      </c>
      <c r="W36" s="25">
        <f t="shared" si="15"/>
        <v>0</v>
      </c>
      <c r="X36" s="64">
        <f t="shared" si="16"/>
        <v>0</v>
      </c>
      <c r="Y36" s="64">
        <f t="shared" si="17"/>
        <v>0</v>
      </c>
      <c r="Z36" s="64">
        <f t="shared" si="18"/>
        <v>0</v>
      </c>
      <c r="AA36" s="64">
        <f t="shared" si="19"/>
        <v>0</v>
      </c>
      <c r="AB36" s="64">
        <f t="shared" si="20"/>
        <v>0</v>
      </c>
      <c r="AC36" s="64">
        <f t="shared" si="21"/>
        <v>0</v>
      </c>
      <c r="AD36" s="64">
        <f t="shared" si="22"/>
        <v>0</v>
      </c>
      <c r="AE36" s="64">
        <f t="shared" si="23"/>
        <v>0</v>
      </c>
      <c r="AF36" s="64">
        <f t="shared" si="24"/>
        <v>0</v>
      </c>
      <c r="AG36" s="29">
        <f t="shared" si="25"/>
        <v>0</v>
      </c>
    </row>
    <row r="37" spans="1:33" s="20" customFormat="1">
      <c r="A37" s="265">
        <v>10620001</v>
      </c>
      <c r="B37" s="265" t="s">
        <v>502</v>
      </c>
      <c r="C37" s="265" t="s">
        <v>821</v>
      </c>
      <c r="D37" s="265">
        <v>100000039</v>
      </c>
      <c r="E37" s="265" t="s">
        <v>634</v>
      </c>
      <c r="F37" s="265" t="s">
        <v>0</v>
      </c>
      <c r="G37" s="266">
        <v>5000000</v>
      </c>
      <c r="H37" s="266">
        <v>5000000</v>
      </c>
      <c r="I37" s="268">
        <v>45924</v>
      </c>
      <c r="J37" s="268">
        <v>48487</v>
      </c>
      <c r="K37" s="268">
        <v>46105</v>
      </c>
      <c r="L37" s="224" t="str">
        <f t="shared" si="5"/>
        <v>10620001_AUD_100000039_QANTAS AIRWAYS LIMITED</v>
      </c>
      <c r="M37" s="221">
        <f t="shared" si="6"/>
        <v>5000000</v>
      </c>
      <c r="N37" s="24">
        <f>IF(OR(L37=$L$2,L37=$L$3),$M$10+1,IFERROR(VLOOKUP(A37,'Repricing Maturity Adj.'!$A$3:$C$170,3,0),(IF(K37&lt;$M$10,"Check",K37))))</f>
        <v>46105</v>
      </c>
      <c r="O37" s="62" t="b">
        <f t="shared" si="7"/>
        <v>1</v>
      </c>
      <c r="P37" s="63" t="str">
        <f t="shared" si="8"/>
        <v>Asset</v>
      </c>
      <c r="Q37" s="25">
        <f t="shared" si="9"/>
        <v>0</v>
      </c>
      <c r="R37" s="25">
        <f t="shared" si="10"/>
        <v>5000000</v>
      </c>
      <c r="S37" s="25">
        <f t="shared" si="11"/>
        <v>0</v>
      </c>
      <c r="T37" s="25">
        <f t="shared" si="12"/>
        <v>0</v>
      </c>
      <c r="U37" s="25">
        <f t="shared" si="13"/>
        <v>0</v>
      </c>
      <c r="V37" s="25">
        <f t="shared" si="14"/>
        <v>0</v>
      </c>
      <c r="W37" s="25">
        <f t="shared" si="15"/>
        <v>0</v>
      </c>
      <c r="X37" s="64">
        <f t="shared" si="16"/>
        <v>0</v>
      </c>
      <c r="Y37" s="64">
        <f t="shared" si="17"/>
        <v>0</v>
      </c>
      <c r="Z37" s="64">
        <f t="shared" si="18"/>
        <v>0</v>
      </c>
      <c r="AA37" s="64">
        <f t="shared" si="19"/>
        <v>0</v>
      </c>
      <c r="AB37" s="64">
        <f t="shared" si="20"/>
        <v>0</v>
      </c>
      <c r="AC37" s="64">
        <f t="shared" si="21"/>
        <v>0</v>
      </c>
      <c r="AD37" s="64">
        <f t="shared" si="22"/>
        <v>0</v>
      </c>
      <c r="AE37" s="64">
        <f t="shared" si="23"/>
        <v>0</v>
      </c>
      <c r="AF37" s="64">
        <f t="shared" si="24"/>
        <v>0</v>
      </c>
      <c r="AG37" s="29">
        <f t="shared" si="25"/>
        <v>0</v>
      </c>
    </row>
    <row r="38" spans="1:33" s="20" customFormat="1">
      <c r="A38" s="265">
        <v>10620001</v>
      </c>
      <c r="B38" s="265" t="s">
        <v>502</v>
      </c>
      <c r="C38" s="265" t="s">
        <v>861</v>
      </c>
      <c r="D38" s="265">
        <v>100000033</v>
      </c>
      <c r="E38" s="265" t="s">
        <v>573</v>
      </c>
      <c r="F38" s="265" t="s">
        <v>301</v>
      </c>
      <c r="G38" s="266">
        <v>10000000</v>
      </c>
      <c r="H38" s="266">
        <v>14289797.08</v>
      </c>
      <c r="I38" s="268">
        <v>45974</v>
      </c>
      <c r="J38" s="268">
        <v>48136</v>
      </c>
      <c r="K38" s="268">
        <v>46066</v>
      </c>
      <c r="L38" s="224" t="str">
        <f t="shared" si="5"/>
        <v>10620001_USD_100000033_MACQUARIE GROUP LIMITED</v>
      </c>
      <c r="M38" s="221">
        <f t="shared" si="6"/>
        <v>14289797.08</v>
      </c>
      <c r="N38" s="24">
        <f>IF(OR(L38=$L$2,L38=$L$3),$M$10+1,IFERROR(VLOOKUP(A38,'Repricing Maturity Adj.'!$A$3:$C$170,3,0),(IF(K38&lt;$M$10,"Check",K38))))</f>
        <v>46059</v>
      </c>
      <c r="O38" s="62" t="b">
        <f t="shared" si="7"/>
        <v>1</v>
      </c>
      <c r="P38" s="63" t="str">
        <f t="shared" si="8"/>
        <v>Asset</v>
      </c>
      <c r="Q38" s="25">
        <f t="shared" si="9"/>
        <v>14289797.08</v>
      </c>
      <c r="R38" s="25">
        <f t="shared" si="10"/>
        <v>0</v>
      </c>
      <c r="S38" s="25">
        <f t="shared" si="11"/>
        <v>0</v>
      </c>
      <c r="T38" s="25">
        <f t="shared" si="12"/>
        <v>0</v>
      </c>
      <c r="U38" s="25">
        <f t="shared" si="13"/>
        <v>0</v>
      </c>
      <c r="V38" s="25">
        <f t="shared" si="14"/>
        <v>0</v>
      </c>
      <c r="W38" s="25">
        <f t="shared" si="15"/>
        <v>0</v>
      </c>
      <c r="X38" s="64">
        <f t="shared" si="16"/>
        <v>0</v>
      </c>
      <c r="Y38" s="64">
        <f t="shared" si="17"/>
        <v>0</v>
      </c>
      <c r="Z38" s="64">
        <f t="shared" si="18"/>
        <v>0</v>
      </c>
      <c r="AA38" s="64">
        <f t="shared" si="19"/>
        <v>0</v>
      </c>
      <c r="AB38" s="64">
        <f t="shared" si="20"/>
        <v>0</v>
      </c>
      <c r="AC38" s="64">
        <f t="shared" si="21"/>
        <v>0</v>
      </c>
      <c r="AD38" s="64">
        <f t="shared" si="22"/>
        <v>0</v>
      </c>
      <c r="AE38" s="64">
        <f t="shared" si="23"/>
        <v>0</v>
      </c>
      <c r="AF38" s="64">
        <f t="shared" si="24"/>
        <v>0</v>
      </c>
      <c r="AG38" s="29">
        <f t="shared" si="25"/>
        <v>0</v>
      </c>
    </row>
    <row r="39" spans="1:33" s="20" customFormat="1">
      <c r="A39" s="265">
        <v>10630001</v>
      </c>
      <c r="B39" s="265" t="s">
        <v>308</v>
      </c>
      <c r="C39" s="265" t="s">
        <v>277</v>
      </c>
      <c r="D39" s="265">
        <v>100000014</v>
      </c>
      <c r="E39" s="265" t="s">
        <v>278</v>
      </c>
      <c r="F39" s="265" t="s">
        <v>301</v>
      </c>
      <c r="G39" s="266">
        <v>7591891.9500000002</v>
      </c>
      <c r="H39" s="266">
        <v>10848659.550000001</v>
      </c>
      <c r="I39" s="268">
        <v>45106</v>
      </c>
      <c r="J39" s="268">
        <v>47579</v>
      </c>
      <c r="K39" s="268">
        <v>46087</v>
      </c>
      <c r="L39" s="224" t="str">
        <f t="shared" si="5"/>
        <v>10630001_USD_100000014_PERDAMAN CHEMICALS &amp; FERTILISERS (FINANCE)PTY LTD</v>
      </c>
      <c r="M39" s="221">
        <f t="shared" si="6"/>
        <v>10848659.550000001</v>
      </c>
      <c r="N39" s="24">
        <f>IF(OR(L39=$L$2,L39=$L$3),$M$10+1,IFERROR(VLOOKUP(A39,'Repricing Maturity Adj.'!$A$3:$C$170,3,0),(IF(K39&lt;$M$10,"Check",K39))))</f>
        <v>46059</v>
      </c>
      <c r="O39" s="62" t="b">
        <f t="shared" si="7"/>
        <v>1</v>
      </c>
      <c r="P39" s="63" t="str">
        <f t="shared" si="8"/>
        <v>Asset</v>
      </c>
      <c r="Q39" s="25">
        <f t="shared" si="9"/>
        <v>10848659.550000001</v>
      </c>
      <c r="R39" s="25">
        <f t="shared" si="10"/>
        <v>0</v>
      </c>
      <c r="S39" s="25">
        <f t="shared" si="11"/>
        <v>0</v>
      </c>
      <c r="T39" s="25">
        <f t="shared" si="12"/>
        <v>0</v>
      </c>
      <c r="U39" s="25">
        <f t="shared" si="13"/>
        <v>0</v>
      </c>
      <c r="V39" s="25">
        <f t="shared" si="14"/>
        <v>0</v>
      </c>
      <c r="W39" s="25">
        <f t="shared" si="15"/>
        <v>0</v>
      </c>
      <c r="X39" s="64">
        <f t="shared" si="16"/>
        <v>0</v>
      </c>
      <c r="Y39" s="64">
        <f t="shared" si="17"/>
        <v>0</v>
      </c>
      <c r="Z39" s="64">
        <f t="shared" si="18"/>
        <v>0</v>
      </c>
      <c r="AA39" s="64">
        <f t="shared" si="19"/>
        <v>0</v>
      </c>
      <c r="AB39" s="64">
        <f t="shared" si="20"/>
        <v>0</v>
      </c>
      <c r="AC39" s="64">
        <f t="shared" si="21"/>
        <v>0</v>
      </c>
      <c r="AD39" s="64">
        <f t="shared" si="22"/>
        <v>0</v>
      </c>
      <c r="AE39" s="64">
        <f t="shared" si="23"/>
        <v>0</v>
      </c>
      <c r="AF39" s="64">
        <f t="shared" si="24"/>
        <v>0</v>
      </c>
      <c r="AG39" s="29">
        <f t="shared" si="25"/>
        <v>0</v>
      </c>
    </row>
    <row r="40" spans="1:33" s="20" customFormat="1">
      <c r="A40" s="265">
        <v>10630001</v>
      </c>
      <c r="B40" s="265" t="s">
        <v>308</v>
      </c>
      <c r="C40" s="265" t="s">
        <v>279</v>
      </c>
      <c r="D40" s="265">
        <v>100000014</v>
      </c>
      <c r="E40" s="265" t="s">
        <v>278</v>
      </c>
      <c r="F40" s="265" t="s">
        <v>301</v>
      </c>
      <c r="G40" s="266">
        <v>129689.8</v>
      </c>
      <c r="H40" s="266">
        <v>185324.09</v>
      </c>
      <c r="I40" s="268">
        <v>45107</v>
      </c>
      <c r="J40" s="268">
        <v>47579</v>
      </c>
      <c r="K40" s="268">
        <v>46112</v>
      </c>
      <c r="L40" s="224" t="str">
        <f t="shared" si="5"/>
        <v>10630001_USD_100000014_PERDAMAN CHEMICALS &amp; FERTILISERS (FINANCE)PTY LTD</v>
      </c>
      <c r="M40" s="221">
        <f t="shared" si="6"/>
        <v>185324.09</v>
      </c>
      <c r="N40" s="24">
        <f>IF(OR(L40=$L$2,L40=$L$3),$M$10+1,IFERROR(VLOOKUP(A40,'Repricing Maturity Adj.'!$A$3:$C$170,3,0),(IF(K40&lt;$M$10,"Check",K40))))</f>
        <v>46059</v>
      </c>
      <c r="O40" s="62" t="b">
        <f t="shared" si="7"/>
        <v>1</v>
      </c>
      <c r="P40" s="63" t="str">
        <f t="shared" si="8"/>
        <v>Asset</v>
      </c>
      <c r="Q40" s="25">
        <f t="shared" si="9"/>
        <v>185324.09</v>
      </c>
      <c r="R40" s="25">
        <f t="shared" si="10"/>
        <v>0</v>
      </c>
      <c r="S40" s="25">
        <f t="shared" si="11"/>
        <v>0</v>
      </c>
      <c r="T40" s="25">
        <f t="shared" si="12"/>
        <v>0</v>
      </c>
      <c r="U40" s="25">
        <f t="shared" si="13"/>
        <v>0</v>
      </c>
      <c r="V40" s="25">
        <f t="shared" si="14"/>
        <v>0</v>
      </c>
      <c r="W40" s="25">
        <f t="shared" si="15"/>
        <v>0</v>
      </c>
      <c r="X40" s="64">
        <f t="shared" si="16"/>
        <v>0</v>
      </c>
      <c r="Y40" s="64">
        <f t="shared" si="17"/>
        <v>0</v>
      </c>
      <c r="Z40" s="64">
        <f t="shared" si="18"/>
        <v>0</v>
      </c>
      <c r="AA40" s="64">
        <f t="shared" si="19"/>
        <v>0</v>
      </c>
      <c r="AB40" s="64">
        <f t="shared" si="20"/>
        <v>0</v>
      </c>
      <c r="AC40" s="64">
        <f t="shared" si="21"/>
        <v>0</v>
      </c>
      <c r="AD40" s="64">
        <f t="shared" si="22"/>
        <v>0</v>
      </c>
      <c r="AE40" s="64">
        <f t="shared" si="23"/>
        <v>0</v>
      </c>
      <c r="AF40" s="64">
        <f t="shared" si="24"/>
        <v>0</v>
      </c>
      <c r="AG40" s="29">
        <f t="shared" si="25"/>
        <v>0</v>
      </c>
    </row>
    <row r="41" spans="1:33" s="20" customFormat="1">
      <c r="A41" s="265">
        <v>10630001</v>
      </c>
      <c r="B41" s="265" t="s">
        <v>308</v>
      </c>
      <c r="C41" s="265" t="s">
        <v>309</v>
      </c>
      <c r="D41" s="265">
        <v>100000014</v>
      </c>
      <c r="E41" s="265" t="s">
        <v>278</v>
      </c>
      <c r="F41" s="265" t="s">
        <v>301</v>
      </c>
      <c r="G41" s="266">
        <v>1787648.61</v>
      </c>
      <c r="H41" s="266">
        <v>2554513.59</v>
      </c>
      <c r="I41" s="268">
        <v>45138</v>
      </c>
      <c r="J41" s="268">
        <v>47579</v>
      </c>
      <c r="K41" s="268">
        <v>46142</v>
      </c>
      <c r="L41" s="224" t="str">
        <f t="shared" si="5"/>
        <v>10630001_USD_100000014_PERDAMAN CHEMICALS &amp; FERTILISERS (FINANCE)PTY LTD</v>
      </c>
      <c r="M41" s="221">
        <f t="shared" si="6"/>
        <v>2554513.59</v>
      </c>
      <c r="N41" s="24">
        <f>IF(OR(L41=$L$2,L41=$L$3),$M$10+1,IFERROR(VLOOKUP(A41,'Repricing Maturity Adj.'!$A$3:$C$170,3,0),(IF(K41&lt;$M$10,"Check",K41))))</f>
        <v>46059</v>
      </c>
      <c r="O41" s="62" t="b">
        <f t="shared" si="7"/>
        <v>1</v>
      </c>
      <c r="P41" s="63" t="str">
        <f t="shared" si="8"/>
        <v>Asset</v>
      </c>
      <c r="Q41" s="25">
        <f t="shared" si="9"/>
        <v>2554513.59</v>
      </c>
      <c r="R41" s="25">
        <f t="shared" si="10"/>
        <v>0</v>
      </c>
      <c r="S41" s="25">
        <f t="shared" si="11"/>
        <v>0</v>
      </c>
      <c r="T41" s="25">
        <f t="shared" si="12"/>
        <v>0</v>
      </c>
      <c r="U41" s="25">
        <f t="shared" si="13"/>
        <v>0</v>
      </c>
      <c r="V41" s="25">
        <f t="shared" si="14"/>
        <v>0</v>
      </c>
      <c r="W41" s="25">
        <f t="shared" si="15"/>
        <v>0</v>
      </c>
      <c r="X41" s="64">
        <f t="shared" si="16"/>
        <v>0</v>
      </c>
      <c r="Y41" s="64">
        <f t="shared" si="17"/>
        <v>0</v>
      </c>
      <c r="Z41" s="64">
        <f t="shared" si="18"/>
        <v>0</v>
      </c>
      <c r="AA41" s="64">
        <f t="shared" si="19"/>
        <v>0</v>
      </c>
      <c r="AB41" s="64">
        <f t="shared" si="20"/>
        <v>0</v>
      </c>
      <c r="AC41" s="64">
        <f t="shared" si="21"/>
        <v>0</v>
      </c>
      <c r="AD41" s="64">
        <f t="shared" si="22"/>
        <v>0</v>
      </c>
      <c r="AE41" s="64">
        <f t="shared" si="23"/>
        <v>0</v>
      </c>
      <c r="AF41" s="64">
        <f t="shared" si="24"/>
        <v>0</v>
      </c>
      <c r="AG41" s="29">
        <f t="shared" si="25"/>
        <v>0</v>
      </c>
    </row>
    <row r="42" spans="1:33" s="20" customFormat="1">
      <c r="A42" s="265">
        <v>10630001</v>
      </c>
      <c r="B42" s="265" t="s">
        <v>308</v>
      </c>
      <c r="C42" s="265" t="s">
        <v>310</v>
      </c>
      <c r="D42" s="265">
        <v>100000014</v>
      </c>
      <c r="E42" s="265" t="s">
        <v>278</v>
      </c>
      <c r="F42" s="265" t="s">
        <v>301</v>
      </c>
      <c r="G42" s="266">
        <v>98518.15</v>
      </c>
      <c r="H42" s="266">
        <v>140780.44</v>
      </c>
      <c r="I42" s="268">
        <v>45138</v>
      </c>
      <c r="J42" s="268">
        <v>47579</v>
      </c>
      <c r="K42" s="268">
        <v>46112</v>
      </c>
      <c r="L42" s="224" t="str">
        <f t="shared" si="5"/>
        <v>10630001_USD_100000014_PERDAMAN CHEMICALS &amp; FERTILISERS (FINANCE)PTY LTD</v>
      </c>
      <c r="M42" s="221">
        <f t="shared" si="6"/>
        <v>140780.44</v>
      </c>
      <c r="N42" s="24">
        <f>IF(OR(L42=$L$2,L42=$L$3),$M$10+1,IFERROR(VLOOKUP(A42,'Repricing Maturity Adj.'!$A$3:$C$170,3,0),(IF(K42&lt;$M$10,"Check",K42))))</f>
        <v>46059</v>
      </c>
      <c r="O42" s="62" t="b">
        <f t="shared" si="7"/>
        <v>1</v>
      </c>
      <c r="P42" s="63" t="str">
        <f t="shared" si="8"/>
        <v>Asset</v>
      </c>
      <c r="Q42" s="25">
        <f t="shared" si="9"/>
        <v>140780.44</v>
      </c>
      <c r="R42" s="25">
        <f t="shared" si="10"/>
        <v>0</v>
      </c>
      <c r="S42" s="25">
        <f t="shared" si="11"/>
        <v>0</v>
      </c>
      <c r="T42" s="25">
        <f t="shared" si="12"/>
        <v>0</v>
      </c>
      <c r="U42" s="25">
        <f t="shared" si="13"/>
        <v>0</v>
      </c>
      <c r="V42" s="25">
        <f t="shared" si="14"/>
        <v>0</v>
      </c>
      <c r="W42" s="25">
        <f t="shared" si="15"/>
        <v>0</v>
      </c>
      <c r="X42" s="64">
        <f t="shared" si="16"/>
        <v>0</v>
      </c>
      <c r="Y42" s="64">
        <f t="shared" si="17"/>
        <v>0</v>
      </c>
      <c r="Z42" s="64">
        <f t="shared" si="18"/>
        <v>0</v>
      </c>
      <c r="AA42" s="64">
        <f t="shared" si="19"/>
        <v>0</v>
      </c>
      <c r="AB42" s="64">
        <f t="shared" si="20"/>
        <v>0</v>
      </c>
      <c r="AC42" s="64">
        <f t="shared" si="21"/>
        <v>0</v>
      </c>
      <c r="AD42" s="64">
        <f t="shared" si="22"/>
        <v>0</v>
      </c>
      <c r="AE42" s="64">
        <f t="shared" si="23"/>
        <v>0</v>
      </c>
      <c r="AF42" s="64">
        <f t="shared" si="24"/>
        <v>0</v>
      </c>
      <c r="AG42" s="29">
        <f t="shared" si="25"/>
        <v>0</v>
      </c>
    </row>
    <row r="43" spans="1:33" s="20" customFormat="1">
      <c r="A43" s="265">
        <v>10630001</v>
      </c>
      <c r="B43" s="265" t="s">
        <v>308</v>
      </c>
      <c r="C43" s="265" t="s">
        <v>311</v>
      </c>
      <c r="D43" s="265">
        <v>100000014</v>
      </c>
      <c r="E43" s="265" t="s">
        <v>278</v>
      </c>
      <c r="F43" s="265" t="s">
        <v>301</v>
      </c>
      <c r="G43" s="266">
        <v>468658.73</v>
      </c>
      <c r="H43" s="266">
        <v>669703.81999999995</v>
      </c>
      <c r="I43" s="268">
        <v>45169</v>
      </c>
      <c r="J43" s="268">
        <v>47579</v>
      </c>
      <c r="K43" s="268">
        <v>46112</v>
      </c>
      <c r="L43" s="224" t="str">
        <f t="shared" si="5"/>
        <v>10630001_USD_100000014_PERDAMAN CHEMICALS &amp; FERTILISERS (FINANCE)PTY LTD</v>
      </c>
      <c r="M43" s="221">
        <f t="shared" si="6"/>
        <v>669703.81999999995</v>
      </c>
      <c r="N43" s="24">
        <f>IF(OR(L43=$L$2,L43=$L$3),$M$10+1,IFERROR(VLOOKUP(A43,'Repricing Maturity Adj.'!$A$3:$C$170,3,0),(IF(K43&lt;$M$10,"Check",K43))))</f>
        <v>46059</v>
      </c>
      <c r="O43" s="62" t="b">
        <f t="shared" si="7"/>
        <v>1</v>
      </c>
      <c r="P43" s="63" t="str">
        <f t="shared" si="8"/>
        <v>Asset</v>
      </c>
      <c r="Q43" s="25">
        <f t="shared" si="9"/>
        <v>669703.81999999995</v>
      </c>
      <c r="R43" s="25">
        <f t="shared" si="10"/>
        <v>0</v>
      </c>
      <c r="S43" s="25">
        <f t="shared" si="11"/>
        <v>0</v>
      </c>
      <c r="T43" s="25">
        <f t="shared" si="12"/>
        <v>0</v>
      </c>
      <c r="U43" s="25">
        <f t="shared" si="13"/>
        <v>0</v>
      </c>
      <c r="V43" s="25">
        <f t="shared" si="14"/>
        <v>0</v>
      </c>
      <c r="W43" s="25">
        <f t="shared" si="15"/>
        <v>0</v>
      </c>
      <c r="X43" s="64">
        <f t="shared" si="16"/>
        <v>0</v>
      </c>
      <c r="Y43" s="64">
        <f t="shared" si="17"/>
        <v>0</v>
      </c>
      <c r="Z43" s="64">
        <f t="shared" si="18"/>
        <v>0</v>
      </c>
      <c r="AA43" s="64">
        <f t="shared" si="19"/>
        <v>0</v>
      </c>
      <c r="AB43" s="64">
        <f t="shared" si="20"/>
        <v>0</v>
      </c>
      <c r="AC43" s="64">
        <f t="shared" si="21"/>
        <v>0</v>
      </c>
      <c r="AD43" s="64">
        <f t="shared" si="22"/>
        <v>0</v>
      </c>
      <c r="AE43" s="64">
        <f t="shared" si="23"/>
        <v>0</v>
      </c>
      <c r="AF43" s="64">
        <f t="shared" si="24"/>
        <v>0</v>
      </c>
      <c r="AG43" s="29">
        <f t="shared" si="25"/>
        <v>0</v>
      </c>
    </row>
    <row r="44" spans="1:33" s="20" customFormat="1">
      <c r="A44" s="265">
        <v>10630001</v>
      </c>
      <c r="B44" s="265" t="s">
        <v>308</v>
      </c>
      <c r="C44" s="265" t="s">
        <v>312</v>
      </c>
      <c r="D44" s="265">
        <v>100000014</v>
      </c>
      <c r="E44" s="265" t="s">
        <v>278</v>
      </c>
      <c r="F44" s="265" t="s">
        <v>301</v>
      </c>
      <c r="G44" s="266">
        <v>111261.33</v>
      </c>
      <c r="H44" s="266">
        <v>158990.18</v>
      </c>
      <c r="I44" s="268">
        <v>45169</v>
      </c>
      <c r="J44" s="268">
        <v>47579</v>
      </c>
      <c r="K44" s="268">
        <v>46142</v>
      </c>
      <c r="L44" s="224" t="str">
        <f t="shared" si="5"/>
        <v>10630001_USD_100000014_PERDAMAN CHEMICALS &amp; FERTILISERS (FINANCE)PTY LTD</v>
      </c>
      <c r="M44" s="221">
        <f t="shared" si="6"/>
        <v>158990.18</v>
      </c>
      <c r="N44" s="24">
        <f>IF(OR(L44=$L$2,L44=$L$3),$M$10+1,IFERROR(VLOOKUP(A44,'Repricing Maturity Adj.'!$A$3:$C$170,3,0),(IF(K44&lt;$M$10,"Check",K44))))</f>
        <v>46059</v>
      </c>
      <c r="O44" s="62" t="b">
        <f t="shared" si="7"/>
        <v>1</v>
      </c>
      <c r="P44" s="63" t="str">
        <f t="shared" si="8"/>
        <v>Asset</v>
      </c>
      <c r="Q44" s="25">
        <f t="shared" si="9"/>
        <v>158990.18</v>
      </c>
      <c r="R44" s="25">
        <f t="shared" si="10"/>
        <v>0</v>
      </c>
      <c r="S44" s="25">
        <f t="shared" si="11"/>
        <v>0</v>
      </c>
      <c r="T44" s="25">
        <f t="shared" si="12"/>
        <v>0</v>
      </c>
      <c r="U44" s="25">
        <f t="shared" si="13"/>
        <v>0</v>
      </c>
      <c r="V44" s="25">
        <f t="shared" si="14"/>
        <v>0</v>
      </c>
      <c r="W44" s="25">
        <f t="shared" si="15"/>
        <v>0</v>
      </c>
      <c r="X44" s="64">
        <f t="shared" si="16"/>
        <v>0</v>
      </c>
      <c r="Y44" s="64">
        <f t="shared" si="17"/>
        <v>0</v>
      </c>
      <c r="Z44" s="64">
        <f t="shared" si="18"/>
        <v>0</v>
      </c>
      <c r="AA44" s="64">
        <f t="shared" si="19"/>
        <v>0</v>
      </c>
      <c r="AB44" s="64">
        <f t="shared" si="20"/>
        <v>0</v>
      </c>
      <c r="AC44" s="64">
        <f t="shared" si="21"/>
        <v>0</v>
      </c>
      <c r="AD44" s="64">
        <f t="shared" si="22"/>
        <v>0</v>
      </c>
      <c r="AE44" s="64">
        <f t="shared" si="23"/>
        <v>0</v>
      </c>
      <c r="AF44" s="64">
        <f t="shared" si="24"/>
        <v>0</v>
      </c>
      <c r="AG44" s="29">
        <f t="shared" si="25"/>
        <v>0</v>
      </c>
    </row>
    <row r="45" spans="1:33" s="20" customFormat="1">
      <c r="A45" s="265">
        <v>10630001</v>
      </c>
      <c r="B45" s="265" t="s">
        <v>308</v>
      </c>
      <c r="C45" s="265" t="s">
        <v>313</v>
      </c>
      <c r="D45" s="265">
        <v>100000014</v>
      </c>
      <c r="E45" s="265" t="s">
        <v>278</v>
      </c>
      <c r="F45" s="265" t="s">
        <v>301</v>
      </c>
      <c r="G45" s="266">
        <v>1607793.1</v>
      </c>
      <c r="H45" s="266">
        <v>2297503.7200000002</v>
      </c>
      <c r="I45" s="268">
        <v>45190</v>
      </c>
      <c r="J45" s="268">
        <v>47579</v>
      </c>
      <c r="K45" s="268">
        <v>46133</v>
      </c>
      <c r="L45" s="224" t="str">
        <f t="shared" si="5"/>
        <v>10630001_USD_100000014_PERDAMAN CHEMICALS &amp; FERTILISERS (FINANCE)PTY LTD</v>
      </c>
      <c r="M45" s="221">
        <f t="shared" si="6"/>
        <v>2297503.7200000002</v>
      </c>
      <c r="N45" s="24">
        <f>IF(OR(L45=$L$2,L45=$L$3),$M$10+1,IFERROR(VLOOKUP(A45,'Repricing Maturity Adj.'!$A$3:$C$170,3,0),(IF(K45&lt;$M$10,"Check",K45))))</f>
        <v>46059</v>
      </c>
      <c r="O45" s="62" t="b">
        <f t="shared" si="7"/>
        <v>1</v>
      </c>
      <c r="P45" s="63" t="str">
        <f t="shared" si="8"/>
        <v>Asset</v>
      </c>
      <c r="Q45" s="25">
        <f t="shared" si="9"/>
        <v>2297503.7200000002</v>
      </c>
      <c r="R45" s="25">
        <f t="shared" si="10"/>
        <v>0</v>
      </c>
      <c r="S45" s="25">
        <f t="shared" si="11"/>
        <v>0</v>
      </c>
      <c r="T45" s="25">
        <f t="shared" si="12"/>
        <v>0</v>
      </c>
      <c r="U45" s="25">
        <f t="shared" si="13"/>
        <v>0</v>
      </c>
      <c r="V45" s="25">
        <f t="shared" si="14"/>
        <v>0</v>
      </c>
      <c r="W45" s="25">
        <f t="shared" si="15"/>
        <v>0</v>
      </c>
      <c r="X45" s="64">
        <f t="shared" si="16"/>
        <v>0</v>
      </c>
      <c r="Y45" s="64">
        <f t="shared" si="17"/>
        <v>0</v>
      </c>
      <c r="Z45" s="64">
        <f t="shared" si="18"/>
        <v>0</v>
      </c>
      <c r="AA45" s="64">
        <f t="shared" si="19"/>
        <v>0</v>
      </c>
      <c r="AB45" s="64">
        <f t="shared" si="20"/>
        <v>0</v>
      </c>
      <c r="AC45" s="64">
        <f t="shared" si="21"/>
        <v>0</v>
      </c>
      <c r="AD45" s="64">
        <f t="shared" si="22"/>
        <v>0</v>
      </c>
      <c r="AE45" s="64">
        <f t="shared" si="23"/>
        <v>0</v>
      </c>
      <c r="AF45" s="64">
        <f t="shared" si="24"/>
        <v>0</v>
      </c>
      <c r="AG45" s="29">
        <f t="shared" si="25"/>
        <v>0</v>
      </c>
    </row>
    <row r="46" spans="1:33" s="20" customFormat="1">
      <c r="A46" s="265">
        <v>10630001</v>
      </c>
      <c r="B46" s="265" t="s">
        <v>308</v>
      </c>
      <c r="C46" s="265" t="s">
        <v>314</v>
      </c>
      <c r="D46" s="265">
        <v>100000014</v>
      </c>
      <c r="E46" s="265" t="s">
        <v>278</v>
      </c>
      <c r="F46" s="265" t="s">
        <v>301</v>
      </c>
      <c r="G46" s="266">
        <v>103568.68</v>
      </c>
      <c r="H46" s="266">
        <v>147997.54</v>
      </c>
      <c r="I46" s="268">
        <v>45197</v>
      </c>
      <c r="J46" s="268">
        <v>47579</v>
      </c>
      <c r="K46" s="268">
        <v>46140</v>
      </c>
      <c r="L46" s="224" t="str">
        <f t="shared" si="5"/>
        <v>10630001_USD_100000014_PERDAMAN CHEMICALS &amp; FERTILISERS (FINANCE)PTY LTD</v>
      </c>
      <c r="M46" s="221">
        <f t="shared" si="6"/>
        <v>147997.54</v>
      </c>
      <c r="N46" s="24">
        <f>IF(OR(L46=$L$2,L46=$L$3),$M$10+1,IFERROR(VLOOKUP(A46,'Repricing Maturity Adj.'!$A$3:$C$170,3,0),(IF(K46&lt;$M$10,"Check",K46))))</f>
        <v>46059</v>
      </c>
      <c r="O46" s="62" t="b">
        <f t="shared" si="7"/>
        <v>1</v>
      </c>
      <c r="P46" s="63" t="str">
        <f t="shared" si="8"/>
        <v>Asset</v>
      </c>
      <c r="Q46" s="25">
        <f t="shared" si="9"/>
        <v>147997.54</v>
      </c>
      <c r="R46" s="25">
        <f t="shared" si="10"/>
        <v>0</v>
      </c>
      <c r="S46" s="25">
        <f t="shared" si="11"/>
        <v>0</v>
      </c>
      <c r="T46" s="25">
        <f t="shared" si="12"/>
        <v>0</v>
      </c>
      <c r="U46" s="25">
        <f t="shared" si="13"/>
        <v>0</v>
      </c>
      <c r="V46" s="25">
        <f t="shared" si="14"/>
        <v>0</v>
      </c>
      <c r="W46" s="25">
        <f t="shared" si="15"/>
        <v>0</v>
      </c>
      <c r="X46" s="64">
        <f t="shared" si="16"/>
        <v>0</v>
      </c>
      <c r="Y46" s="64">
        <f t="shared" si="17"/>
        <v>0</v>
      </c>
      <c r="Z46" s="64">
        <f t="shared" si="18"/>
        <v>0</v>
      </c>
      <c r="AA46" s="64">
        <f t="shared" si="19"/>
        <v>0</v>
      </c>
      <c r="AB46" s="64">
        <f t="shared" si="20"/>
        <v>0</v>
      </c>
      <c r="AC46" s="64">
        <f t="shared" si="21"/>
        <v>0</v>
      </c>
      <c r="AD46" s="64">
        <f t="shared" si="22"/>
        <v>0</v>
      </c>
      <c r="AE46" s="64">
        <f t="shared" si="23"/>
        <v>0</v>
      </c>
      <c r="AF46" s="64">
        <f t="shared" si="24"/>
        <v>0</v>
      </c>
      <c r="AG46" s="29">
        <f t="shared" si="25"/>
        <v>0</v>
      </c>
    </row>
    <row r="47" spans="1:33" s="20" customFormat="1">
      <c r="A47" s="265">
        <v>10630001</v>
      </c>
      <c r="B47" s="265" t="s">
        <v>308</v>
      </c>
      <c r="C47" s="265" t="s">
        <v>505</v>
      </c>
      <c r="D47" s="265">
        <v>100000014</v>
      </c>
      <c r="E47" s="265" t="s">
        <v>278</v>
      </c>
      <c r="F47" s="265" t="s">
        <v>301</v>
      </c>
      <c r="G47" s="266">
        <v>120567.47</v>
      </c>
      <c r="H47" s="266">
        <v>172288.47</v>
      </c>
      <c r="I47" s="268">
        <v>45226</v>
      </c>
      <c r="J47" s="268">
        <v>47579</v>
      </c>
      <c r="K47" s="268">
        <v>46139</v>
      </c>
      <c r="L47" s="224" t="str">
        <f t="shared" si="5"/>
        <v>10630001_USD_100000014_PERDAMAN CHEMICALS &amp; FERTILISERS (FINANCE)PTY LTD</v>
      </c>
      <c r="M47" s="221">
        <f t="shared" si="6"/>
        <v>172288.47</v>
      </c>
      <c r="N47" s="24">
        <f>IF(OR(L47=$L$2,L47=$L$3),$M$10+1,IFERROR(VLOOKUP(A47,'Repricing Maturity Adj.'!$A$3:$C$170,3,0),(IF(K47&lt;$M$10,"Check",K47))))</f>
        <v>46059</v>
      </c>
      <c r="O47" s="62" t="b">
        <f t="shared" si="7"/>
        <v>1</v>
      </c>
      <c r="P47" s="63" t="str">
        <f t="shared" si="8"/>
        <v>Asset</v>
      </c>
      <c r="Q47" s="25">
        <f t="shared" si="9"/>
        <v>172288.47</v>
      </c>
      <c r="R47" s="25">
        <f t="shared" si="10"/>
        <v>0</v>
      </c>
      <c r="S47" s="25">
        <f t="shared" si="11"/>
        <v>0</v>
      </c>
      <c r="T47" s="25">
        <f t="shared" si="12"/>
        <v>0</v>
      </c>
      <c r="U47" s="25">
        <f t="shared" si="13"/>
        <v>0</v>
      </c>
      <c r="V47" s="25">
        <f t="shared" si="14"/>
        <v>0</v>
      </c>
      <c r="W47" s="25">
        <f t="shared" si="15"/>
        <v>0</v>
      </c>
      <c r="X47" s="64">
        <f t="shared" si="16"/>
        <v>0</v>
      </c>
      <c r="Y47" s="64">
        <f t="shared" si="17"/>
        <v>0</v>
      </c>
      <c r="Z47" s="64">
        <f t="shared" si="18"/>
        <v>0</v>
      </c>
      <c r="AA47" s="64">
        <f t="shared" si="19"/>
        <v>0</v>
      </c>
      <c r="AB47" s="64">
        <f t="shared" si="20"/>
        <v>0</v>
      </c>
      <c r="AC47" s="64">
        <f t="shared" si="21"/>
        <v>0</v>
      </c>
      <c r="AD47" s="64">
        <f t="shared" si="22"/>
        <v>0</v>
      </c>
      <c r="AE47" s="64">
        <f t="shared" si="23"/>
        <v>0</v>
      </c>
      <c r="AF47" s="64">
        <f t="shared" si="24"/>
        <v>0</v>
      </c>
      <c r="AG47" s="29">
        <f t="shared" si="25"/>
        <v>0</v>
      </c>
    </row>
    <row r="48" spans="1:33" s="20" customFormat="1">
      <c r="A48" s="265">
        <v>10630001</v>
      </c>
      <c r="B48" s="265" t="s">
        <v>308</v>
      </c>
      <c r="C48" s="265" t="s">
        <v>506</v>
      </c>
      <c r="D48" s="265">
        <v>100000014</v>
      </c>
      <c r="E48" s="265" t="s">
        <v>278</v>
      </c>
      <c r="F48" s="265" t="s">
        <v>301</v>
      </c>
      <c r="G48" s="266">
        <v>1107550.1200000001</v>
      </c>
      <c r="H48" s="266">
        <v>1582666.65</v>
      </c>
      <c r="I48" s="268">
        <v>45230</v>
      </c>
      <c r="J48" s="268">
        <v>47579</v>
      </c>
      <c r="K48" s="268">
        <v>46142</v>
      </c>
      <c r="L48" s="224" t="str">
        <f t="shared" si="5"/>
        <v>10630001_USD_100000014_PERDAMAN CHEMICALS &amp; FERTILISERS (FINANCE)PTY LTD</v>
      </c>
      <c r="M48" s="221">
        <f t="shared" si="6"/>
        <v>1582666.65</v>
      </c>
      <c r="N48" s="24">
        <f>IF(OR(L48=$L$2,L48=$L$3),$M$10+1,IFERROR(VLOOKUP(A48,'Repricing Maturity Adj.'!$A$3:$C$170,3,0),(IF(K48&lt;$M$10,"Check",K48))))</f>
        <v>46059</v>
      </c>
      <c r="O48" s="62" t="b">
        <f t="shared" si="7"/>
        <v>1</v>
      </c>
      <c r="P48" s="63" t="str">
        <f t="shared" si="8"/>
        <v>Asset</v>
      </c>
      <c r="Q48" s="25">
        <f t="shared" si="9"/>
        <v>1582666.65</v>
      </c>
      <c r="R48" s="25">
        <f t="shared" si="10"/>
        <v>0</v>
      </c>
      <c r="S48" s="25">
        <f t="shared" si="11"/>
        <v>0</v>
      </c>
      <c r="T48" s="25">
        <f t="shared" si="12"/>
        <v>0</v>
      </c>
      <c r="U48" s="25">
        <f t="shared" si="13"/>
        <v>0</v>
      </c>
      <c r="V48" s="25">
        <f t="shared" si="14"/>
        <v>0</v>
      </c>
      <c r="W48" s="25">
        <f t="shared" si="15"/>
        <v>0</v>
      </c>
      <c r="X48" s="64">
        <f t="shared" si="16"/>
        <v>0</v>
      </c>
      <c r="Y48" s="64">
        <f t="shared" si="17"/>
        <v>0</v>
      </c>
      <c r="Z48" s="64">
        <f t="shared" si="18"/>
        <v>0</v>
      </c>
      <c r="AA48" s="64">
        <f t="shared" si="19"/>
        <v>0</v>
      </c>
      <c r="AB48" s="64">
        <f t="shared" si="20"/>
        <v>0</v>
      </c>
      <c r="AC48" s="64">
        <f t="shared" si="21"/>
        <v>0</v>
      </c>
      <c r="AD48" s="64">
        <f t="shared" si="22"/>
        <v>0</v>
      </c>
      <c r="AE48" s="64">
        <f t="shared" si="23"/>
        <v>0</v>
      </c>
      <c r="AF48" s="64">
        <f t="shared" si="24"/>
        <v>0</v>
      </c>
      <c r="AG48" s="29">
        <f t="shared" si="25"/>
        <v>0</v>
      </c>
    </row>
    <row r="49" spans="1:33" s="20" customFormat="1">
      <c r="A49" s="265">
        <v>10630001</v>
      </c>
      <c r="B49" s="265" t="s">
        <v>308</v>
      </c>
      <c r="C49" s="265" t="s">
        <v>507</v>
      </c>
      <c r="D49" s="265">
        <v>100000014</v>
      </c>
      <c r="E49" s="265" t="s">
        <v>278</v>
      </c>
      <c r="F49" s="265" t="s">
        <v>301</v>
      </c>
      <c r="G49" s="266">
        <v>132635.54</v>
      </c>
      <c r="H49" s="266">
        <v>189533.5</v>
      </c>
      <c r="I49" s="268">
        <v>45257</v>
      </c>
      <c r="J49" s="268">
        <v>47579</v>
      </c>
      <c r="K49" s="268">
        <v>46139</v>
      </c>
      <c r="L49" s="224" t="str">
        <f t="shared" si="5"/>
        <v>10630001_USD_100000014_PERDAMAN CHEMICALS &amp; FERTILISERS (FINANCE)PTY LTD</v>
      </c>
      <c r="M49" s="221">
        <f t="shared" si="6"/>
        <v>189533.5</v>
      </c>
      <c r="N49" s="24">
        <f>IF(OR(L49=$L$2,L49=$L$3),$M$10+1,IFERROR(VLOOKUP(A49,'Repricing Maturity Adj.'!$A$3:$C$170,3,0),(IF(K49&lt;$M$10,"Check",K49))))</f>
        <v>46059</v>
      </c>
      <c r="O49" s="62" t="b">
        <f t="shared" si="7"/>
        <v>1</v>
      </c>
      <c r="P49" s="63" t="str">
        <f t="shared" si="8"/>
        <v>Asset</v>
      </c>
      <c r="Q49" s="25">
        <f t="shared" si="9"/>
        <v>189533.5</v>
      </c>
      <c r="R49" s="25">
        <f t="shared" si="10"/>
        <v>0</v>
      </c>
      <c r="S49" s="25">
        <f t="shared" si="11"/>
        <v>0</v>
      </c>
      <c r="T49" s="25">
        <f t="shared" si="12"/>
        <v>0</v>
      </c>
      <c r="U49" s="25">
        <f t="shared" si="13"/>
        <v>0</v>
      </c>
      <c r="V49" s="25">
        <f t="shared" si="14"/>
        <v>0</v>
      </c>
      <c r="W49" s="25">
        <f t="shared" si="15"/>
        <v>0</v>
      </c>
      <c r="X49" s="64">
        <f t="shared" si="16"/>
        <v>0</v>
      </c>
      <c r="Y49" s="64">
        <f t="shared" si="17"/>
        <v>0</v>
      </c>
      <c r="Z49" s="64">
        <f t="shared" si="18"/>
        <v>0</v>
      </c>
      <c r="AA49" s="64">
        <f t="shared" si="19"/>
        <v>0</v>
      </c>
      <c r="AB49" s="64">
        <f t="shared" si="20"/>
        <v>0</v>
      </c>
      <c r="AC49" s="64">
        <f t="shared" si="21"/>
        <v>0</v>
      </c>
      <c r="AD49" s="64">
        <f t="shared" si="22"/>
        <v>0</v>
      </c>
      <c r="AE49" s="64">
        <f t="shared" si="23"/>
        <v>0</v>
      </c>
      <c r="AF49" s="64">
        <f t="shared" si="24"/>
        <v>0</v>
      </c>
      <c r="AG49" s="29">
        <f t="shared" si="25"/>
        <v>0</v>
      </c>
    </row>
    <row r="50" spans="1:33" s="20" customFormat="1">
      <c r="A50" s="265">
        <v>10630001</v>
      </c>
      <c r="B50" s="265" t="s">
        <v>308</v>
      </c>
      <c r="C50" s="265" t="s">
        <v>508</v>
      </c>
      <c r="D50" s="265">
        <v>100000014</v>
      </c>
      <c r="E50" s="265" t="s">
        <v>278</v>
      </c>
      <c r="F50" s="265" t="s">
        <v>301</v>
      </c>
      <c r="G50" s="266">
        <v>233477.42</v>
      </c>
      <c r="H50" s="266">
        <v>333634.5</v>
      </c>
      <c r="I50" s="268">
        <v>45260</v>
      </c>
      <c r="J50" s="268">
        <v>47579</v>
      </c>
      <c r="K50" s="268">
        <v>46142</v>
      </c>
      <c r="L50" s="224" t="str">
        <f t="shared" si="5"/>
        <v>10630001_USD_100000014_PERDAMAN CHEMICALS &amp; FERTILISERS (FINANCE)PTY LTD</v>
      </c>
      <c r="M50" s="221">
        <f t="shared" si="6"/>
        <v>333634.5</v>
      </c>
      <c r="N50" s="24">
        <f>IF(OR(L50=$L$2,L50=$L$3),$M$10+1,IFERROR(VLOOKUP(A50,'Repricing Maturity Adj.'!$A$3:$C$170,3,0),(IF(K50&lt;$M$10,"Check",K50))))</f>
        <v>46059</v>
      </c>
      <c r="O50" s="62" t="b">
        <f t="shared" si="7"/>
        <v>1</v>
      </c>
      <c r="P50" s="63" t="str">
        <f t="shared" si="8"/>
        <v>Asset</v>
      </c>
      <c r="Q50" s="25">
        <f t="shared" si="9"/>
        <v>333634.5</v>
      </c>
      <c r="R50" s="25">
        <f t="shared" si="10"/>
        <v>0</v>
      </c>
      <c r="S50" s="25">
        <f t="shared" si="11"/>
        <v>0</v>
      </c>
      <c r="T50" s="25">
        <f t="shared" si="12"/>
        <v>0</v>
      </c>
      <c r="U50" s="25">
        <f t="shared" si="13"/>
        <v>0</v>
      </c>
      <c r="V50" s="25">
        <f t="shared" si="14"/>
        <v>0</v>
      </c>
      <c r="W50" s="25">
        <f t="shared" si="15"/>
        <v>0</v>
      </c>
      <c r="X50" s="64">
        <f t="shared" si="16"/>
        <v>0</v>
      </c>
      <c r="Y50" s="64">
        <f t="shared" si="17"/>
        <v>0</v>
      </c>
      <c r="Z50" s="64">
        <f t="shared" si="18"/>
        <v>0</v>
      </c>
      <c r="AA50" s="64">
        <f t="shared" si="19"/>
        <v>0</v>
      </c>
      <c r="AB50" s="64">
        <f t="shared" si="20"/>
        <v>0</v>
      </c>
      <c r="AC50" s="64">
        <f t="shared" si="21"/>
        <v>0</v>
      </c>
      <c r="AD50" s="64">
        <f t="shared" si="22"/>
        <v>0</v>
      </c>
      <c r="AE50" s="64">
        <f t="shared" si="23"/>
        <v>0</v>
      </c>
      <c r="AF50" s="64">
        <f t="shared" si="24"/>
        <v>0</v>
      </c>
      <c r="AG50" s="29">
        <f t="shared" si="25"/>
        <v>0</v>
      </c>
    </row>
    <row r="51" spans="1:33" s="20" customFormat="1">
      <c r="A51" s="265">
        <v>10630001</v>
      </c>
      <c r="B51" s="265" t="s">
        <v>308</v>
      </c>
      <c r="C51" s="265" t="s">
        <v>509</v>
      </c>
      <c r="D51" s="265">
        <v>100000014</v>
      </c>
      <c r="E51" s="265" t="s">
        <v>278</v>
      </c>
      <c r="F51" s="265" t="s">
        <v>301</v>
      </c>
      <c r="G51" s="266">
        <v>131409.16</v>
      </c>
      <c r="H51" s="266">
        <v>187781.02</v>
      </c>
      <c r="I51" s="268">
        <v>45287</v>
      </c>
      <c r="J51" s="268">
        <v>47579</v>
      </c>
      <c r="K51" s="268">
        <v>46139</v>
      </c>
      <c r="L51" s="224" t="str">
        <f t="shared" si="5"/>
        <v>10630001_USD_100000014_PERDAMAN CHEMICALS &amp; FERTILISERS (FINANCE)PTY LTD</v>
      </c>
      <c r="M51" s="221">
        <f t="shared" si="6"/>
        <v>187781.02</v>
      </c>
      <c r="N51" s="24">
        <f>IF(OR(L51=$L$2,L51=$L$3),$M$10+1,IFERROR(VLOOKUP(A51,'Repricing Maturity Adj.'!$A$3:$C$170,3,0),(IF(K51&lt;$M$10,"Check",K51))))</f>
        <v>46059</v>
      </c>
      <c r="O51" s="62" t="b">
        <f t="shared" si="7"/>
        <v>1</v>
      </c>
      <c r="P51" s="63" t="str">
        <f t="shared" si="8"/>
        <v>Asset</v>
      </c>
      <c r="Q51" s="25">
        <f t="shared" si="9"/>
        <v>187781.02</v>
      </c>
      <c r="R51" s="25">
        <f t="shared" si="10"/>
        <v>0</v>
      </c>
      <c r="S51" s="25">
        <f t="shared" si="11"/>
        <v>0</v>
      </c>
      <c r="T51" s="25">
        <f t="shared" si="12"/>
        <v>0</v>
      </c>
      <c r="U51" s="25">
        <f t="shared" si="13"/>
        <v>0</v>
      </c>
      <c r="V51" s="25">
        <f t="shared" si="14"/>
        <v>0</v>
      </c>
      <c r="W51" s="25">
        <f t="shared" si="15"/>
        <v>0</v>
      </c>
      <c r="X51" s="64">
        <f t="shared" si="16"/>
        <v>0</v>
      </c>
      <c r="Y51" s="64">
        <f t="shared" si="17"/>
        <v>0</v>
      </c>
      <c r="Z51" s="64">
        <f t="shared" si="18"/>
        <v>0</v>
      </c>
      <c r="AA51" s="64">
        <f t="shared" si="19"/>
        <v>0</v>
      </c>
      <c r="AB51" s="64">
        <f t="shared" si="20"/>
        <v>0</v>
      </c>
      <c r="AC51" s="64">
        <f t="shared" si="21"/>
        <v>0</v>
      </c>
      <c r="AD51" s="64">
        <f t="shared" si="22"/>
        <v>0</v>
      </c>
      <c r="AE51" s="64">
        <f t="shared" si="23"/>
        <v>0</v>
      </c>
      <c r="AF51" s="64">
        <f t="shared" si="24"/>
        <v>0</v>
      </c>
      <c r="AG51" s="29">
        <f t="shared" si="25"/>
        <v>0</v>
      </c>
    </row>
    <row r="52" spans="1:33" s="20" customFormat="1">
      <c r="A52" s="265">
        <v>10630001</v>
      </c>
      <c r="B52" s="265" t="s">
        <v>308</v>
      </c>
      <c r="C52" s="265" t="s">
        <v>510</v>
      </c>
      <c r="D52" s="265">
        <v>100000014</v>
      </c>
      <c r="E52" s="265" t="s">
        <v>278</v>
      </c>
      <c r="F52" s="265" t="s">
        <v>301</v>
      </c>
      <c r="G52" s="266">
        <v>967741.94</v>
      </c>
      <c r="H52" s="266">
        <v>1382883.6</v>
      </c>
      <c r="I52" s="268">
        <v>45289</v>
      </c>
      <c r="J52" s="268">
        <v>47579</v>
      </c>
      <c r="K52" s="268">
        <v>46141</v>
      </c>
      <c r="L52" s="224" t="str">
        <f t="shared" si="5"/>
        <v>10630001_USD_100000014_PERDAMAN CHEMICALS &amp; FERTILISERS (FINANCE)PTY LTD</v>
      </c>
      <c r="M52" s="221">
        <f t="shared" si="6"/>
        <v>1382883.6</v>
      </c>
      <c r="N52" s="24">
        <f>IF(OR(L52=$L$2,L52=$L$3),$M$10+1,IFERROR(VLOOKUP(A52,'Repricing Maturity Adj.'!$A$3:$C$170,3,0),(IF(K52&lt;$M$10,"Check",K52))))</f>
        <v>46059</v>
      </c>
      <c r="O52" s="62" t="b">
        <f t="shared" si="7"/>
        <v>1</v>
      </c>
      <c r="P52" s="63" t="str">
        <f t="shared" si="8"/>
        <v>Asset</v>
      </c>
      <c r="Q52" s="25">
        <f t="shared" si="9"/>
        <v>1382883.6</v>
      </c>
      <c r="R52" s="25">
        <f t="shared" si="10"/>
        <v>0</v>
      </c>
      <c r="S52" s="25">
        <f t="shared" si="11"/>
        <v>0</v>
      </c>
      <c r="T52" s="25">
        <f t="shared" si="12"/>
        <v>0</v>
      </c>
      <c r="U52" s="25">
        <f t="shared" si="13"/>
        <v>0</v>
      </c>
      <c r="V52" s="25">
        <f t="shared" si="14"/>
        <v>0</v>
      </c>
      <c r="W52" s="25">
        <f t="shared" si="15"/>
        <v>0</v>
      </c>
      <c r="X52" s="64">
        <f t="shared" si="16"/>
        <v>0</v>
      </c>
      <c r="Y52" s="64">
        <f t="shared" si="17"/>
        <v>0</v>
      </c>
      <c r="Z52" s="64">
        <f t="shared" si="18"/>
        <v>0</v>
      </c>
      <c r="AA52" s="64">
        <f t="shared" si="19"/>
        <v>0</v>
      </c>
      <c r="AB52" s="64">
        <f t="shared" si="20"/>
        <v>0</v>
      </c>
      <c r="AC52" s="64">
        <f t="shared" si="21"/>
        <v>0</v>
      </c>
      <c r="AD52" s="64">
        <f t="shared" si="22"/>
        <v>0</v>
      </c>
      <c r="AE52" s="64">
        <f t="shared" si="23"/>
        <v>0</v>
      </c>
      <c r="AF52" s="64">
        <f t="shared" si="24"/>
        <v>0</v>
      </c>
      <c r="AG52" s="29">
        <f t="shared" si="25"/>
        <v>0</v>
      </c>
    </row>
    <row r="53" spans="1:33" s="20" customFormat="1">
      <c r="A53" s="265">
        <v>10630001</v>
      </c>
      <c r="B53" s="265" t="s">
        <v>308</v>
      </c>
      <c r="C53" s="265" t="s">
        <v>534</v>
      </c>
      <c r="D53" s="265">
        <v>100000014</v>
      </c>
      <c r="E53" s="265" t="s">
        <v>278</v>
      </c>
      <c r="F53" s="265" t="s">
        <v>301</v>
      </c>
      <c r="G53" s="266">
        <v>133263.53</v>
      </c>
      <c r="H53" s="266">
        <v>190430.88</v>
      </c>
      <c r="I53" s="268">
        <v>45316</v>
      </c>
      <c r="J53" s="268">
        <v>47579</v>
      </c>
      <c r="K53" s="268">
        <v>46139</v>
      </c>
      <c r="L53" s="224" t="str">
        <f t="shared" si="5"/>
        <v>10630001_USD_100000014_PERDAMAN CHEMICALS &amp; FERTILISERS (FINANCE)PTY LTD</v>
      </c>
      <c r="M53" s="221">
        <f t="shared" si="6"/>
        <v>190430.88</v>
      </c>
      <c r="N53" s="24">
        <f>IF(OR(L53=$L$2,L53=$L$3),$M$10+1,IFERROR(VLOOKUP(A53,'Repricing Maturity Adj.'!$A$3:$C$170,3,0),(IF(K53&lt;$M$10,"Check",K53))))</f>
        <v>46059</v>
      </c>
      <c r="O53" s="62" t="b">
        <f t="shared" si="7"/>
        <v>1</v>
      </c>
      <c r="P53" s="63" t="str">
        <f t="shared" si="8"/>
        <v>Asset</v>
      </c>
      <c r="Q53" s="25">
        <f t="shared" si="9"/>
        <v>190430.88</v>
      </c>
      <c r="R53" s="25">
        <f t="shared" si="10"/>
        <v>0</v>
      </c>
      <c r="S53" s="25">
        <f t="shared" si="11"/>
        <v>0</v>
      </c>
      <c r="T53" s="25">
        <f t="shared" si="12"/>
        <v>0</v>
      </c>
      <c r="U53" s="25">
        <f t="shared" si="13"/>
        <v>0</v>
      </c>
      <c r="V53" s="25">
        <f t="shared" si="14"/>
        <v>0</v>
      </c>
      <c r="W53" s="25">
        <f t="shared" si="15"/>
        <v>0</v>
      </c>
      <c r="X53" s="64">
        <f t="shared" si="16"/>
        <v>0</v>
      </c>
      <c r="Y53" s="64">
        <f t="shared" si="17"/>
        <v>0</v>
      </c>
      <c r="Z53" s="64">
        <f t="shared" si="18"/>
        <v>0</v>
      </c>
      <c r="AA53" s="64">
        <f t="shared" si="19"/>
        <v>0</v>
      </c>
      <c r="AB53" s="64">
        <f t="shared" si="20"/>
        <v>0</v>
      </c>
      <c r="AC53" s="64">
        <f t="shared" si="21"/>
        <v>0</v>
      </c>
      <c r="AD53" s="64">
        <f t="shared" si="22"/>
        <v>0</v>
      </c>
      <c r="AE53" s="64">
        <f t="shared" si="23"/>
        <v>0</v>
      </c>
      <c r="AF53" s="64">
        <f t="shared" si="24"/>
        <v>0</v>
      </c>
      <c r="AG53" s="29">
        <f t="shared" si="25"/>
        <v>0</v>
      </c>
    </row>
    <row r="54" spans="1:33" s="20" customFormat="1">
      <c r="A54" s="265">
        <v>10630001</v>
      </c>
      <c r="B54" s="265" t="s">
        <v>308</v>
      </c>
      <c r="C54" s="265" t="s">
        <v>535</v>
      </c>
      <c r="D54" s="265">
        <v>100000014</v>
      </c>
      <c r="E54" s="265" t="s">
        <v>278</v>
      </c>
      <c r="F54" s="265" t="s">
        <v>301</v>
      </c>
      <c r="G54" s="266">
        <v>1666666.67</v>
      </c>
      <c r="H54" s="266">
        <v>2381632.85</v>
      </c>
      <c r="I54" s="268">
        <v>45321</v>
      </c>
      <c r="J54" s="268">
        <v>47579</v>
      </c>
      <c r="K54" s="268">
        <v>46142</v>
      </c>
      <c r="L54" s="224" t="str">
        <f t="shared" si="5"/>
        <v>10630001_USD_100000014_PERDAMAN CHEMICALS &amp; FERTILISERS (FINANCE)PTY LTD</v>
      </c>
      <c r="M54" s="221">
        <f t="shared" si="6"/>
        <v>2381632.85</v>
      </c>
      <c r="N54" s="24">
        <f>IF(OR(L54=$L$2,L54=$L$3),$M$10+1,IFERROR(VLOOKUP(A54,'Repricing Maturity Adj.'!$A$3:$C$170,3,0),(IF(K54&lt;$M$10,"Check",K54))))</f>
        <v>46059</v>
      </c>
      <c r="O54" s="62" t="b">
        <f t="shared" si="7"/>
        <v>1</v>
      </c>
      <c r="P54" s="63" t="str">
        <f t="shared" si="8"/>
        <v>Asset</v>
      </c>
      <c r="Q54" s="25">
        <f t="shared" si="9"/>
        <v>2381632.85</v>
      </c>
      <c r="R54" s="25">
        <f t="shared" si="10"/>
        <v>0</v>
      </c>
      <c r="S54" s="25">
        <f t="shared" si="11"/>
        <v>0</v>
      </c>
      <c r="T54" s="25">
        <f t="shared" si="12"/>
        <v>0</v>
      </c>
      <c r="U54" s="25">
        <f t="shared" si="13"/>
        <v>0</v>
      </c>
      <c r="V54" s="25">
        <f t="shared" si="14"/>
        <v>0</v>
      </c>
      <c r="W54" s="25">
        <f t="shared" si="15"/>
        <v>0</v>
      </c>
      <c r="X54" s="64">
        <f t="shared" si="16"/>
        <v>0</v>
      </c>
      <c r="Y54" s="64">
        <f t="shared" si="17"/>
        <v>0</v>
      </c>
      <c r="Z54" s="64">
        <f t="shared" si="18"/>
        <v>0</v>
      </c>
      <c r="AA54" s="64">
        <f t="shared" si="19"/>
        <v>0</v>
      </c>
      <c r="AB54" s="64">
        <f t="shared" si="20"/>
        <v>0</v>
      </c>
      <c r="AC54" s="64">
        <f t="shared" si="21"/>
        <v>0</v>
      </c>
      <c r="AD54" s="64">
        <f t="shared" si="22"/>
        <v>0</v>
      </c>
      <c r="AE54" s="64">
        <f t="shared" si="23"/>
        <v>0</v>
      </c>
      <c r="AF54" s="64">
        <f t="shared" si="24"/>
        <v>0</v>
      </c>
      <c r="AG54" s="29">
        <f t="shared" si="25"/>
        <v>0</v>
      </c>
    </row>
    <row r="55" spans="1:33" s="20" customFormat="1">
      <c r="A55" s="265">
        <v>10630001</v>
      </c>
      <c r="B55" s="265" t="s">
        <v>308</v>
      </c>
      <c r="C55" s="265" t="s">
        <v>536</v>
      </c>
      <c r="D55" s="265">
        <v>100000014</v>
      </c>
      <c r="E55" s="265" t="s">
        <v>278</v>
      </c>
      <c r="F55" s="265" t="s">
        <v>301</v>
      </c>
      <c r="G55" s="266">
        <v>894131.86</v>
      </c>
      <c r="H55" s="266">
        <v>1277696.28</v>
      </c>
      <c r="I55" s="268">
        <v>45344</v>
      </c>
      <c r="J55" s="268">
        <v>47579</v>
      </c>
      <c r="K55" s="268">
        <v>46134</v>
      </c>
      <c r="L55" s="224" t="str">
        <f t="shared" si="5"/>
        <v>10630001_USD_100000014_PERDAMAN CHEMICALS &amp; FERTILISERS (FINANCE)PTY LTD</v>
      </c>
      <c r="M55" s="221">
        <f t="shared" si="6"/>
        <v>1277696.28</v>
      </c>
      <c r="N55" s="24">
        <f>IF(OR(L55=$L$2,L55=$L$3),$M$10+1,IFERROR(VLOOKUP(A55,'Repricing Maturity Adj.'!$A$3:$C$170,3,0),(IF(K55&lt;$M$10,"Check",K55))))</f>
        <v>46059</v>
      </c>
      <c r="O55" s="62" t="b">
        <f t="shared" si="7"/>
        <v>1</v>
      </c>
      <c r="P55" s="63" t="str">
        <f t="shared" si="8"/>
        <v>Asset</v>
      </c>
      <c r="Q55" s="25">
        <f t="shared" si="9"/>
        <v>1277696.28</v>
      </c>
      <c r="R55" s="25">
        <f t="shared" si="10"/>
        <v>0</v>
      </c>
      <c r="S55" s="25">
        <f t="shared" si="11"/>
        <v>0</v>
      </c>
      <c r="T55" s="25">
        <f t="shared" si="12"/>
        <v>0</v>
      </c>
      <c r="U55" s="25">
        <f t="shared" si="13"/>
        <v>0</v>
      </c>
      <c r="V55" s="25">
        <f t="shared" si="14"/>
        <v>0</v>
      </c>
      <c r="W55" s="25">
        <f t="shared" si="15"/>
        <v>0</v>
      </c>
      <c r="X55" s="64">
        <f t="shared" si="16"/>
        <v>0</v>
      </c>
      <c r="Y55" s="64">
        <f t="shared" si="17"/>
        <v>0</v>
      </c>
      <c r="Z55" s="64">
        <f t="shared" si="18"/>
        <v>0</v>
      </c>
      <c r="AA55" s="64">
        <f t="shared" si="19"/>
        <v>0</v>
      </c>
      <c r="AB55" s="64">
        <f t="shared" si="20"/>
        <v>0</v>
      </c>
      <c r="AC55" s="64">
        <f t="shared" si="21"/>
        <v>0</v>
      </c>
      <c r="AD55" s="64">
        <f t="shared" si="22"/>
        <v>0</v>
      </c>
      <c r="AE55" s="64">
        <f t="shared" si="23"/>
        <v>0</v>
      </c>
      <c r="AF55" s="64">
        <f t="shared" si="24"/>
        <v>0</v>
      </c>
      <c r="AG55" s="29">
        <f t="shared" si="25"/>
        <v>0</v>
      </c>
    </row>
    <row r="56" spans="1:33" s="20" customFormat="1">
      <c r="A56" s="265">
        <v>10630001</v>
      </c>
      <c r="B56" s="265" t="s">
        <v>308</v>
      </c>
      <c r="C56" s="265" t="s">
        <v>537</v>
      </c>
      <c r="D56" s="265">
        <v>100000014</v>
      </c>
      <c r="E56" s="265" t="s">
        <v>278</v>
      </c>
      <c r="F56" s="265" t="s">
        <v>301</v>
      </c>
      <c r="G56" s="266">
        <v>142201.57999999999</v>
      </c>
      <c r="H56" s="266">
        <v>203203.17</v>
      </c>
      <c r="I56" s="268">
        <v>45345</v>
      </c>
      <c r="J56" s="268">
        <v>47579</v>
      </c>
      <c r="K56" s="268">
        <v>46135</v>
      </c>
      <c r="L56" s="224" t="str">
        <f t="shared" si="5"/>
        <v>10630001_USD_100000014_PERDAMAN CHEMICALS &amp; FERTILISERS (FINANCE)PTY LTD</v>
      </c>
      <c r="M56" s="221">
        <f t="shared" si="6"/>
        <v>203203.17</v>
      </c>
      <c r="N56" s="24">
        <f>IF(OR(L56=$L$2,L56=$L$3),$M$10+1,IFERROR(VLOOKUP(A56,'Repricing Maturity Adj.'!$A$3:$C$170,3,0),(IF(K56&lt;$M$10,"Check",K56))))</f>
        <v>46059</v>
      </c>
      <c r="O56" s="62" t="b">
        <f t="shared" si="7"/>
        <v>1</v>
      </c>
      <c r="P56" s="63" t="str">
        <f t="shared" si="8"/>
        <v>Asset</v>
      </c>
      <c r="Q56" s="25">
        <f t="shared" si="9"/>
        <v>203203.17</v>
      </c>
      <c r="R56" s="25">
        <f t="shared" si="10"/>
        <v>0</v>
      </c>
      <c r="S56" s="25">
        <f t="shared" si="11"/>
        <v>0</v>
      </c>
      <c r="T56" s="25">
        <f t="shared" si="12"/>
        <v>0</v>
      </c>
      <c r="U56" s="25">
        <f t="shared" si="13"/>
        <v>0</v>
      </c>
      <c r="V56" s="25">
        <f t="shared" si="14"/>
        <v>0</v>
      </c>
      <c r="W56" s="25">
        <f t="shared" si="15"/>
        <v>0</v>
      </c>
      <c r="X56" s="64">
        <f t="shared" si="16"/>
        <v>0</v>
      </c>
      <c r="Y56" s="64">
        <f t="shared" si="17"/>
        <v>0</v>
      </c>
      <c r="Z56" s="64">
        <f t="shared" si="18"/>
        <v>0</v>
      </c>
      <c r="AA56" s="64">
        <f t="shared" si="19"/>
        <v>0</v>
      </c>
      <c r="AB56" s="64">
        <f t="shared" si="20"/>
        <v>0</v>
      </c>
      <c r="AC56" s="64">
        <f t="shared" si="21"/>
        <v>0</v>
      </c>
      <c r="AD56" s="64">
        <f t="shared" si="22"/>
        <v>0</v>
      </c>
      <c r="AE56" s="64">
        <f t="shared" si="23"/>
        <v>0</v>
      </c>
      <c r="AF56" s="64">
        <f t="shared" si="24"/>
        <v>0</v>
      </c>
      <c r="AG56" s="29">
        <f t="shared" si="25"/>
        <v>0</v>
      </c>
    </row>
    <row r="57" spans="1:33" s="20" customFormat="1">
      <c r="A57" s="265">
        <v>10630001</v>
      </c>
      <c r="B57" s="265" t="s">
        <v>308</v>
      </c>
      <c r="C57" s="265" t="s">
        <v>538</v>
      </c>
      <c r="D57" s="265">
        <v>100000014</v>
      </c>
      <c r="E57" s="265" t="s">
        <v>278</v>
      </c>
      <c r="F57" s="265" t="s">
        <v>301</v>
      </c>
      <c r="G57" s="266">
        <v>144932.94</v>
      </c>
      <c r="H57" s="266">
        <v>207106.23</v>
      </c>
      <c r="I57" s="268">
        <v>45373</v>
      </c>
      <c r="J57" s="268">
        <v>47579</v>
      </c>
      <c r="K57" s="268">
        <v>46134</v>
      </c>
      <c r="L57" s="224" t="str">
        <f t="shared" si="5"/>
        <v>10630001_USD_100000014_PERDAMAN CHEMICALS &amp; FERTILISERS (FINANCE)PTY LTD</v>
      </c>
      <c r="M57" s="221">
        <f t="shared" si="6"/>
        <v>207106.23</v>
      </c>
      <c r="N57" s="24">
        <f>IF(OR(L57=$L$2,L57=$L$3),$M$10+1,IFERROR(VLOOKUP(A57,'Repricing Maturity Adj.'!$A$3:$C$170,3,0),(IF(K57&lt;$M$10,"Check",K57))))</f>
        <v>46059</v>
      </c>
      <c r="O57" s="62" t="b">
        <f t="shared" si="7"/>
        <v>1</v>
      </c>
      <c r="P57" s="63" t="str">
        <f t="shared" si="8"/>
        <v>Asset</v>
      </c>
      <c r="Q57" s="25">
        <f t="shared" si="9"/>
        <v>207106.23</v>
      </c>
      <c r="R57" s="25">
        <f t="shared" si="10"/>
        <v>0</v>
      </c>
      <c r="S57" s="25">
        <f t="shared" si="11"/>
        <v>0</v>
      </c>
      <c r="T57" s="25">
        <f t="shared" si="12"/>
        <v>0</v>
      </c>
      <c r="U57" s="25">
        <f t="shared" si="13"/>
        <v>0</v>
      </c>
      <c r="V57" s="25">
        <f t="shared" si="14"/>
        <v>0</v>
      </c>
      <c r="W57" s="25">
        <f t="shared" si="15"/>
        <v>0</v>
      </c>
      <c r="X57" s="64">
        <f t="shared" si="16"/>
        <v>0</v>
      </c>
      <c r="Y57" s="64">
        <f t="shared" si="17"/>
        <v>0</v>
      </c>
      <c r="Z57" s="64">
        <f t="shared" si="18"/>
        <v>0</v>
      </c>
      <c r="AA57" s="64">
        <f t="shared" si="19"/>
        <v>0</v>
      </c>
      <c r="AB57" s="64">
        <f t="shared" si="20"/>
        <v>0</v>
      </c>
      <c r="AC57" s="64">
        <f t="shared" si="21"/>
        <v>0</v>
      </c>
      <c r="AD57" s="64">
        <f t="shared" si="22"/>
        <v>0</v>
      </c>
      <c r="AE57" s="64">
        <f t="shared" si="23"/>
        <v>0</v>
      </c>
      <c r="AF57" s="64">
        <f t="shared" si="24"/>
        <v>0</v>
      </c>
      <c r="AG57" s="29">
        <f t="shared" si="25"/>
        <v>0</v>
      </c>
    </row>
    <row r="58" spans="1:33" s="20" customFormat="1">
      <c r="A58" s="265">
        <v>10630001</v>
      </c>
      <c r="B58" s="265" t="s">
        <v>308</v>
      </c>
      <c r="C58" s="265" t="s">
        <v>539</v>
      </c>
      <c r="D58" s="265">
        <v>100000014</v>
      </c>
      <c r="E58" s="265" t="s">
        <v>278</v>
      </c>
      <c r="F58" s="265" t="s">
        <v>301</v>
      </c>
      <c r="G58" s="266">
        <v>731182.8</v>
      </c>
      <c r="H58" s="266">
        <v>1044845.38</v>
      </c>
      <c r="I58" s="268">
        <v>45379</v>
      </c>
      <c r="J58" s="268">
        <v>47579</v>
      </c>
      <c r="K58" s="268">
        <v>46140</v>
      </c>
      <c r="L58" s="224" t="str">
        <f t="shared" si="5"/>
        <v>10630001_USD_100000014_PERDAMAN CHEMICALS &amp; FERTILISERS (FINANCE)PTY LTD</v>
      </c>
      <c r="M58" s="221">
        <f t="shared" si="6"/>
        <v>1044845.38</v>
      </c>
      <c r="N58" s="24">
        <f>IF(OR(L58=$L$2,L58=$L$3),$M$10+1,IFERROR(VLOOKUP(A58,'Repricing Maturity Adj.'!$A$3:$C$170,3,0),(IF(K58&lt;$M$10,"Check",K58))))</f>
        <v>46059</v>
      </c>
      <c r="O58" s="62" t="b">
        <f t="shared" si="7"/>
        <v>1</v>
      </c>
      <c r="P58" s="63" t="str">
        <f t="shared" si="8"/>
        <v>Asset</v>
      </c>
      <c r="Q58" s="25">
        <f t="shared" si="9"/>
        <v>1044845.38</v>
      </c>
      <c r="R58" s="25">
        <f t="shared" si="10"/>
        <v>0</v>
      </c>
      <c r="S58" s="25">
        <f t="shared" si="11"/>
        <v>0</v>
      </c>
      <c r="T58" s="25">
        <f t="shared" si="12"/>
        <v>0</v>
      </c>
      <c r="U58" s="25">
        <f t="shared" si="13"/>
        <v>0</v>
      </c>
      <c r="V58" s="25">
        <f t="shared" si="14"/>
        <v>0</v>
      </c>
      <c r="W58" s="25">
        <f t="shared" si="15"/>
        <v>0</v>
      </c>
      <c r="X58" s="64">
        <f t="shared" si="16"/>
        <v>0</v>
      </c>
      <c r="Y58" s="64">
        <f t="shared" si="17"/>
        <v>0</v>
      </c>
      <c r="Z58" s="64">
        <f t="shared" si="18"/>
        <v>0</v>
      </c>
      <c r="AA58" s="64">
        <f t="shared" si="19"/>
        <v>0</v>
      </c>
      <c r="AB58" s="64">
        <f t="shared" si="20"/>
        <v>0</v>
      </c>
      <c r="AC58" s="64">
        <f t="shared" si="21"/>
        <v>0</v>
      </c>
      <c r="AD58" s="64">
        <f t="shared" si="22"/>
        <v>0</v>
      </c>
      <c r="AE58" s="64">
        <f t="shared" si="23"/>
        <v>0</v>
      </c>
      <c r="AF58" s="64">
        <f t="shared" si="24"/>
        <v>0</v>
      </c>
      <c r="AG58" s="29">
        <f t="shared" si="25"/>
        <v>0</v>
      </c>
    </row>
    <row r="59" spans="1:33" s="20" customFormat="1">
      <c r="A59" s="265">
        <v>10630001</v>
      </c>
      <c r="B59" s="265" t="s">
        <v>308</v>
      </c>
      <c r="C59" s="265" t="s">
        <v>554</v>
      </c>
      <c r="D59" s="265">
        <v>100000014</v>
      </c>
      <c r="E59" s="265" t="s">
        <v>278</v>
      </c>
      <c r="F59" s="265" t="s">
        <v>301</v>
      </c>
      <c r="G59" s="266">
        <v>164959.99</v>
      </c>
      <c r="H59" s="266">
        <v>235724.48</v>
      </c>
      <c r="I59" s="268">
        <v>45404</v>
      </c>
      <c r="J59" s="268">
        <v>47579</v>
      </c>
      <c r="K59" s="268">
        <v>46134</v>
      </c>
      <c r="L59" s="224" t="str">
        <f t="shared" si="5"/>
        <v>10630001_USD_100000014_PERDAMAN CHEMICALS &amp; FERTILISERS (FINANCE)PTY LTD</v>
      </c>
      <c r="M59" s="221">
        <f t="shared" si="6"/>
        <v>235724.48</v>
      </c>
      <c r="N59" s="24">
        <f>IF(OR(L59=$L$2,L59=$L$3),$M$10+1,IFERROR(VLOOKUP(A59,'Repricing Maturity Adj.'!$A$3:$C$170,3,0),(IF(K59&lt;$M$10,"Check",K59))))</f>
        <v>46059</v>
      </c>
      <c r="O59" s="62" t="b">
        <f t="shared" si="7"/>
        <v>1</v>
      </c>
      <c r="P59" s="63" t="str">
        <f t="shared" si="8"/>
        <v>Asset</v>
      </c>
      <c r="Q59" s="25">
        <f t="shared" si="9"/>
        <v>235724.48</v>
      </c>
      <c r="R59" s="25">
        <f t="shared" si="10"/>
        <v>0</v>
      </c>
      <c r="S59" s="25">
        <f t="shared" si="11"/>
        <v>0</v>
      </c>
      <c r="T59" s="25">
        <f t="shared" si="12"/>
        <v>0</v>
      </c>
      <c r="U59" s="25">
        <f t="shared" si="13"/>
        <v>0</v>
      </c>
      <c r="V59" s="25">
        <f t="shared" si="14"/>
        <v>0</v>
      </c>
      <c r="W59" s="25">
        <f t="shared" si="15"/>
        <v>0</v>
      </c>
      <c r="X59" s="64">
        <f t="shared" si="16"/>
        <v>0</v>
      </c>
      <c r="Y59" s="64">
        <f t="shared" si="17"/>
        <v>0</v>
      </c>
      <c r="Z59" s="64">
        <f t="shared" si="18"/>
        <v>0</v>
      </c>
      <c r="AA59" s="64">
        <f t="shared" si="19"/>
        <v>0</v>
      </c>
      <c r="AB59" s="64">
        <f t="shared" si="20"/>
        <v>0</v>
      </c>
      <c r="AC59" s="64">
        <f t="shared" si="21"/>
        <v>0</v>
      </c>
      <c r="AD59" s="64">
        <f t="shared" si="22"/>
        <v>0</v>
      </c>
      <c r="AE59" s="64">
        <f t="shared" si="23"/>
        <v>0</v>
      </c>
      <c r="AF59" s="64">
        <f t="shared" si="24"/>
        <v>0</v>
      </c>
      <c r="AG59" s="29">
        <f t="shared" si="25"/>
        <v>0</v>
      </c>
    </row>
    <row r="60" spans="1:33" s="20" customFormat="1">
      <c r="A60" s="265">
        <v>10630001</v>
      </c>
      <c r="B60" s="265" t="s">
        <v>308</v>
      </c>
      <c r="C60" s="265" t="s">
        <v>555</v>
      </c>
      <c r="D60" s="265">
        <v>100000014</v>
      </c>
      <c r="E60" s="265" t="s">
        <v>278</v>
      </c>
      <c r="F60" s="265" t="s">
        <v>301</v>
      </c>
      <c r="G60" s="266">
        <v>258064.52</v>
      </c>
      <c r="H60" s="266">
        <v>368768.96</v>
      </c>
      <c r="I60" s="268">
        <v>45412</v>
      </c>
      <c r="J60" s="268">
        <v>47579</v>
      </c>
      <c r="K60" s="268">
        <v>46142</v>
      </c>
      <c r="L60" s="224" t="str">
        <f t="shared" si="5"/>
        <v>10630001_USD_100000014_PERDAMAN CHEMICALS &amp; FERTILISERS (FINANCE)PTY LTD</v>
      </c>
      <c r="M60" s="221">
        <f t="shared" si="6"/>
        <v>368768.96</v>
      </c>
      <c r="N60" s="24">
        <f>IF(OR(L60=$L$2,L60=$L$3),$M$10+1,IFERROR(VLOOKUP(A60,'Repricing Maturity Adj.'!$A$3:$C$170,3,0),(IF(K60&lt;$M$10,"Check",K60))))</f>
        <v>46059</v>
      </c>
      <c r="O60" s="62" t="b">
        <f t="shared" si="7"/>
        <v>1</v>
      </c>
      <c r="P60" s="63" t="str">
        <f t="shared" si="8"/>
        <v>Asset</v>
      </c>
      <c r="Q60" s="25">
        <f t="shared" si="9"/>
        <v>368768.96</v>
      </c>
      <c r="R60" s="25">
        <f t="shared" si="10"/>
        <v>0</v>
      </c>
      <c r="S60" s="25">
        <f t="shared" si="11"/>
        <v>0</v>
      </c>
      <c r="T60" s="25">
        <f t="shared" si="12"/>
        <v>0</v>
      </c>
      <c r="U60" s="25">
        <f t="shared" si="13"/>
        <v>0</v>
      </c>
      <c r="V60" s="25">
        <f t="shared" si="14"/>
        <v>0</v>
      </c>
      <c r="W60" s="25">
        <f t="shared" si="15"/>
        <v>0</v>
      </c>
      <c r="X60" s="64">
        <f t="shared" si="16"/>
        <v>0</v>
      </c>
      <c r="Y60" s="64">
        <f t="shared" si="17"/>
        <v>0</v>
      </c>
      <c r="Z60" s="64">
        <f t="shared" si="18"/>
        <v>0</v>
      </c>
      <c r="AA60" s="64">
        <f t="shared" si="19"/>
        <v>0</v>
      </c>
      <c r="AB60" s="64">
        <f t="shared" si="20"/>
        <v>0</v>
      </c>
      <c r="AC60" s="64">
        <f t="shared" si="21"/>
        <v>0</v>
      </c>
      <c r="AD60" s="64">
        <f t="shared" si="22"/>
        <v>0</v>
      </c>
      <c r="AE60" s="64">
        <f t="shared" si="23"/>
        <v>0</v>
      </c>
      <c r="AF60" s="64">
        <f t="shared" si="24"/>
        <v>0</v>
      </c>
      <c r="AG60" s="29">
        <f t="shared" si="25"/>
        <v>0</v>
      </c>
    </row>
    <row r="61" spans="1:33" s="20" customFormat="1">
      <c r="A61" s="265">
        <v>10630001</v>
      </c>
      <c r="B61" s="265" t="s">
        <v>308</v>
      </c>
      <c r="C61" s="265" t="s">
        <v>556</v>
      </c>
      <c r="D61" s="265">
        <v>100000014</v>
      </c>
      <c r="E61" s="265" t="s">
        <v>278</v>
      </c>
      <c r="F61" s="265" t="s">
        <v>301</v>
      </c>
      <c r="G61" s="266">
        <v>612903.23</v>
      </c>
      <c r="H61" s="266">
        <v>875826.28</v>
      </c>
      <c r="I61" s="268">
        <v>45434</v>
      </c>
      <c r="J61" s="268">
        <v>47579</v>
      </c>
      <c r="K61" s="268">
        <v>46134</v>
      </c>
      <c r="L61" s="224" t="str">
        <f t="shared" si="5"/>
        <v>10630001_USD_100000014_PERDAMAN CHEMICALS &amp; FERTILISERS (FINANCE)PTY LTD</v>
      </c>
      <c r="M61" s="221">
        <f t="shared" si="6"/>
        <v>875826.28</v>
      </c>
      <c r="N61" s="24">
        <f>IF(OR(L61=$L$2,L61=$L$3),$M$10+1,IFERROR(VLOOKUP(A61,'Repricing Maturity Adj.'!$A$3:$C$170,3,0),(IF(K61&lt;$M$10,"Check",K61))))</f>
        <v>46059</v>
      </c>
      <c r="O61" s="62" t="b">
        <f t="shared" si="7"/>
        <v>1</v>
      </c>
      <c r="P61" s="63" t="str">
        <f t="shared" si="8"/>
        <v>Asset</v>
      </c>
      <c r="Q61" s="25">
        <f t="shared" si="9"/>
        <v>875826.28</v>
      </c>
      <c r="R61" s="25">
        <f t="shared" si="10"/>
        <v>0</v>
      </c>
      <c r="S61" s="25">
        <f t="shared" si="11"/>
        <v>0</v>
      </c>
      <c r="T61" s="25">
        <f t="shared" si="12"/>
        <v>0</v>
      </c>
      <c r="U61" s="25">
        <f t="shared" si="13"/>
        <v>0</v>
      </c>
      <c r="V61" s="25">
        <f t="shared" si="14"/>
        <v>0</v>
      </c>
      <c r="W61" s="25">
        <f t="shared" si="15"/>
        <v>0</v>
      </c>
      <c r="X61" s="64">
        <f t="shared" si="16"/>
        <v>0</v>
      </c>
      <c r="Y61" s="64">
        <f t="shared" si="17"/>
        <v>0</v>
      </c>
      <c r="Z61" s="64">
        <f t="shared" si="18"/>
        <v>0</v>
      </c>
      <c r="AA61" s="64">
        <f t="shared" si="19"/>
        <v>0</v>
      </c>
      <c r="AB61" s="64">
        <f t="shared" si="20"/>
        <v>0</v>
      </c>
      <c r="AC61" s="64">
        <f t="shared" si="21"/>
        <v>0</v>
      </c>
      <c r="AD61" s="64">
        <f t="shared" si="22"/>
        <v>0</v>
      </c>
      <c r="AE61" s="64">
        <f t="shared" si="23"/>
        <v>0</v>
      </c>
      <c r="AF61" s="64">
        <f t="shared" si="24"/>
        <v>0</v>
      </c>
      <c r="AG61" s="29">
        <f t="shared" si="25"/>
        <v>0</v>
      </c>
    </row>
    <row r="62" spans="1:33" s="20" customFormat="1">
      <c r="A62" s="265">
        <v>10630001</v>
      </c>
      <c r="B62" s="265" t="s">
        <v>308</v>
      </c>
      <c r="C62" s="265" t="s">
        <v>557</v>
      </c>
      <c r="D62" s="265">
        <v>100000014</v>
      </c>
      <c r="E62" s="265" t="s">
        <v>278</v>
      </c>
      <c r="F62" s="265" t="s">
        <v>301</v>
      </c>
      <c r="G62" s="266">
        <v>162547.93</v>
      </c>
      <c r="H62" s="266">
        <v>232277.69</v>
      </c>
      <c r="I62" s="268">
        <v>45434</v>
      </c>
      <c r="J62" s="268">
        <v>47579</v>
      </c>
      <c r="K62" s="268">
        <v>46134</v>
      </c>
      <c r="L62" s="224" t="str">
        <f t="shared" si="5"/>
        <v>10630001_USD_100000014_PERDAMAN CHEMICALS &amp; FERTILISERS (FINANCE)PTY LTD</v>
      </c>
      <c r="M62" s="221">
        <f t="shared" si="6"/>
        <v>232277.69</v>
      </c>
      <c r="N62" s="24">
        <f>IF(OR(L62=$L$2,L62=$L$3),$M$10+1,IFERROR(VLOOKUP(A62,'Repricing Maturity Adj.'!$A$3:$C$170,3,0),(IF(K62&lt;$M$10,"Check",K62))))</f>
        <v>46059</v>
      </c>
      <c r="O62" s="62" t="b">
        <f t="shared" si="7"/>
        <v>1</v>
      </c>
      <c r="P62" s="63" t="str">
        <f t="shared" si="8"/>
        <v>Asset</v>
      </c>
      <c r="Q62" s="25">
        <f t="shared" si="9"/>
        <v>232277.69</v>
      </c>
      <c r="R62" s="25">
        <f t="shared" si="10"/>
        <v>0</v>
      </c>
      <c r="S62" s="25">
        <f t="shared" si="11"/>
        <v>0</v>
      </c>
      <c r="T62" s="25">
        <f t="shared" si="12"/>
        <v>0</v>
      </c>
      <c r="U62" s="25">
        <f t="shared" si="13"/>
        <v>0</v>
      </c>
      <c r="V62" s="25">
        <f t="shared" si="14"/>
        <v>0</v>
      </c>
      <c r="W62" s="25">
        <f t="shared" si="15"/>
        <v>0</v>
      </c>
      <c r="X62" s="64">
        <f t="shared" si="16"/>
        <v>0</v>
      </c>
      <c r="Y62" s="64">
        <f t="shared" si="17"/>
        <v>0</v>
      </c>
      <c r="Z62" s="64">
        <f t="shared" si="18"/>
        <v>0</v>
      </c>
      <c r="AA62" s="64">
        <f t="shared" si="19"/>
        <v>0</v>
      </c>
      <c r="AB62" s="64">
        <f t="shared" si="20"/>
        <v>0</v>
      </c>
      <c r="AC62" s="64">
        <f t="shared" si="21"/>
        <v>0</v>
      </c>
      <c r="AD62" s="64">
        <f t="shared" si="22"/>
        <v>0</v>
      </c>
      <c r="AE62" s="64">
        <f t="shared" si="23"/>
        <v>0</v>
      </c>
      <c r="AF62" s="64">
        <f t="shared" si="24"/>
        <v>0</v>
      </c>
      <c r="AG62" s="29">
        <f t="shared" si="25"/>
        <v>0</v>
      </c>
    </row>
    <row r="63" spans="1:33" s="20" customFormat="1">
      <c r="A63" s="265">
        <v>10630001</v>
      </c>
      <c r="B63" s="265" t="s">
        <v>308</v>
      </c>
      <c r="C63" s="265" t="s">
        <v>558</v>
      </c>
      <c r="D63" s="265">
        <v>100000014</v>
      </c>
      <c r="E63" s="265" t="s">
        <v>278</v>
      </c>
      <c r="F63" s="265" t="s">
        <v>301</v>
      </c>
      <c r="G63" s="266">
        <v>623655.91</v>
      </c>
      <c r="H63" s="266">
        <v>891191.64</v>
      </c>
      <c r="I63" s="268">
        <v>45464</v>
      </c>
      <c r="J63" s="268">
        <v>47579</v>
      </c>
      <c r="K63" s="268">
        <v>46133</v>
      </c>
      <c r="L63" s="224" t="str">
        <f t="shared" si="5"/>
        <v>10630001_USD_100000014_PERDAMAN CHEMICALS &amp; FERTILISERS (FINANCE)PTY LTD</v>
      </c>
      <c r="M63" s="221">
        <f t="shared" ref="M63:M126" si="26">IF(COUNTIF($A$2:$A$8,A63)&gt;0,-H63,H63)</f>
        <v>891191.64</v>
      </c>
      <c r="N63" s="24">
        <f>IF(OR(L63=$L$2,L63=$L$3),$M$10+1,IFERROR(VLOOKUP(A63,'Repricing Maturity Adj.'!$A$3:$C$170,3,0),(IF(K63&lt;$M$10,"Check",K63))))</f>
        <v>46059</v>
      </c>
      <c r="O63" s="62" t="b">
        <f t="shared" ref="O63:O126" si="27">M63=SUM(Q63:AG63)</f>
        <v>1</v>
      </c>
      <c r="P63" s="63" t="str">
        <f t="shared" ref="P63:P126" si="28">IF(A63="","N/A",IF(COUNTIF($A$2:$A$7,A63)&gt;0,"Liability",IF(COUNTIF($A$8,A63)&gt;0,"Asset",IF(A63&lt;20000000,"Asset",IF(AND(A63&gt;20000000,A63&lt;28800000),"Liability",IF(A63&gt;28800000,"Equity",""))))))</f>
        <v>Asset</v>
      </c>
      <c r="Q63" s="25">
        <f t="shared" ref="Q63:Q126" si="29">IF(AND(N63&gt;$Q$9,N63&lt;$Q$10),M63,IF(N63=$Q$10,M63,0))</f>
        <v>891191.64</v>
      </c>
      <c r="R63" s="25">
        <f t="shared" ref="R63:R126" si="30">IF(AND(N63&gt;$R$9,N63&lt;$R$10),M63,IF(N63=$R$10,M63,0))</f>
        <v>0</v>
      </c>
      <c r="S63" s="25">
        <f t="shared" ref="S63:S126" si="31">IF(AND(N63&gt;$S$9,N63&lt;$S$10),M63,IF(N63=$S$10,M63,0))</f>
        <v>0</v>
      </c>
      <c r="T63" s="25">
        <f t="shared" ref="T63:T126" si="32">IF(AND(N63&gt;$T$9,N63&lt;$T$10),M63,IF(N63=$T$10,M63,0))</f>
        <v>0</v>
      </c>
      <c r="U63" s="25">
        <f t="shared" ref="U63:U126" si="33">IF(AND(N63&gt;$U$9,N63&lt;$U$10),M63,IF(N63=$U$10,M63,0))</f>
        <v>0</v>
      </c>
      <c r="V63" s="25">
        <f t="shared" ref="V63:V126" si="34">IF(AND(N63&gt;$V$9,N63&lt;$V$10),M63,IF(N63=$V$10,M63,0))</f>
        <v>0</v>
      </c>
      <c r="W63" s="25">
        <f t="shared" ref="W63:W126" si="35">IF(AND(N63&gt;$W$9,N63&lt;$W$10),M63,IF(N63=$W$10,M63,0))</f>
        <v>0</v>
      </c>
      <c r="X63" s="64">
        <f t="shared" ref="X63:X126" si="36">IF(AND(N63&gt;$X$9,N63&lt;$X$10),M63,IF(N63=$X$10,M63,0))</f>
        <v>0</v>
      </c>
      <c r="Y63" s="64">
        <f t="shared" ref="Y63:Y126" si="37">IF(AND(N63&gt;$Y$9,N63&lt;$Y$10),M63,IF(N63=$Y$10,M63,0))</f>
        <v>0</v>
      </c>
      <c r="Z63" s="64">
        <f t="shared" ref="Z63:Z126" si="38">IF(AND(N63&gt;$Z$9,N63&lt;$Z$10),M63,IF(N63=$Z$10,M63,0))</f>
        <v>0</v>
      </c>
      <c r="AA63" s="64">
        <f t="shared" ref="AA63:AA126" si="39">IF(AND(N63&gt;$AA$9,N63&lt;$AA$10),M63,IF(N63=$AA$10,M63,0))</f>
        <v>0</v>
      </c>
      <c r="AB63" s="64">
        <f t="shared" ref="AB63:AB126" si="40">IF(AND(N63&gt;$AB$9,N63&lt;$AB$10),M63,IF(N63=$AB$10,M63,0))</f>
        <v>0</v>
      </c>
      <c r="AC63" s="64">
        <f t="shared" ref="AC63:AC126" si="41">IF(AND(N63&gt;$AC$9,N63&lt;$AC$10),M63,IF(N63=$AC$10,M63,0))</f>
        <v>0</v>
      </c>
      <c r="AD63" s="64">
        <f t="shared" ref="AD63:AD126" si="42">IF(AND(N63&gt;$AD$9,N63&lt;$AD$10),M63,IF(N63=$AD$10,M63,0))</f>
        <v>0</v>
      </c>
      <c r="AE63" s="64">
        <f t="shared" ref="AE63:AE126" si="43">IF(AND(N63&gt;$AE$9,N63&lt;$AE$10),M63,IF(N63=$AE$10,M63,0))</f>
        <v>0</v>
      </c>
      <c r="AF63" s="64">
        <f t="shared" ref="AF63:AF126" si="44">IF(AND(N63&gt;$AF$9,N63&lt;$AF$10),M63,IF(N63=$AF$10,M63,0))</f>
        <v>0</v>
      </c>
      <c r="AG63" s="29">
        <f t="shared" ref="AG63:AG126" si="45">IF(N63=$AG$9,M63,0)</f>
        <v>0</v>
      </c>
    </row>
    <row r="64" spans="1:33" s="20" customFormat="1">
      <c r="A64" s="265">
        <v>10630001</v>
      </c>
      <c r="B64" s="265" t="s">
        <v>308</v>
      </c>
      <c r="C64" s="265" t="s">
        <v>559</v>
      </c>
      <c r="D64" s="265">
        <v>100000014</v>
      </c>
      <c r="E64" s="265" t="s">
        <v>278</v>
      </c>
      <c r="F64" s="265" t="s">
        <v>301</v>
      </c>
      <c r="G64" s="266">
        <v>167780.4</v>
      </c>
      <c r="H64" s="266">
        <v>239754.79</v>
      </c>
      <c r="I64" s="268">
        <v>45464</v>
      </c>
      <c r="J64" s="268">
        <v>47579</v>
      </c>
      <c r="K64" s="268">
        <v>46133</v>
      </c>
      <c r="L64" s="224" t="str">
        <f t="shared" ref="L64:L127" si="46">A64&amp;"_"&amp;F64&amp;"_"&amp;D64&amp;"_"&amp;E64</f>
        <v>10630001_USD_100000014_PERDAMAN CHEMICALS &amp; FERTILISERS (FINANCE)PTY LTD</v>
      </c>
      <c r="M64" s="221">
        <f t="shared" si="26"/>
        <v>239754.79</v>
      </c>
      <c r="N64" s="24">
        <f>IF(OR(L64=$L$2,L64=$L$3),$M$10+1,IFERROR(VLOOKUP(A64,'Repricing Maturity Adj.'!$A$3:$C$170,3,0),(IF(K64&lt;$M$10,"Check",K64))))</f>
        <v>46059</v>
      </c>
      <c r="O64" s="62" t="b">
        <f t="shared" si="27"/>
        <v>1</v>
      </c>
      <c r="P64" s="63" t="str">
        <f t="shared" si="28"/>
        <v>Asset</v>
      </c>
      <c r="Q64" s="25">
        <f t="shared" si="29"/>
        <v>239754.79</v>
      </c>
      <c r="R64" s="25">
        <f t="shared" si="30"/>
        <v>0</v>
      </c>
      <c r="S64" s="25">
        <f t="shared" si="31"/>
        <v>0</v>
      </c>
      <c r="T64" s="25">
        <f t="shared" si="32"/>
        <v>0</v>
      </c>
      <c r="U64" s="25">
        <f t="shared" si="33"/>
        <v>0</v>
      </c>
      <c r="V64" s="25">
        <f t="shared" si="34"/>
        <v>0</v>
      </c>
      <c r="W64" s="25">
        <f t="shared" si="35"/>
        <v>0</v>
      </c>
      <c r="X64" s="64">
        <f t="shared" si="36"/>
        <v>0</v>
      </c>
      <c r="Y64" s="64">
        <f t="shared" si="37"/>
        <v>0</v>
      </c>
      <c r="Z64" s="64">
        <f t="shared" si="38"/>
        <v>0</v>
      </c>
      <c r="AA64" s="64">
        <f t="shared" si="39"/>
        <v>0</v>
      </c>
      <c r="AB64" s="64">
        <f t="shared" si="40"/>
        <v>0</v>
      </c>
      <c r="AC64" s="64">
        <f t="shared" si="41"/>
        <v>0</v>
      </c>
      <c r="AD64" s="64">
        <f t="shared" si="42"/>
        <v>0</v>
      </c>
      <c r="AE64" s="64">
        <f t="shared" si="43"/>
        <v>0</v>
      </c>
      <c r="AF64" s="64">
        <f t="shared" si="44"/>
        <v>0</v>
      </c>
      <c r="AG64" s="29">
        <f t="shared" si="45"/>
        <v>0</v>
      </c>
    </row>
    <row r="65" spans="1:33" s="20" customFormat="1">
      <c r="A65" s="265">
        <v>10630001</v>
      </c>
      <c r="B65" s="265" t="s">
        <v>308</v>
      </c>
      <c r="C65" s="265" t="s">
        <v>574</v>
      </c>
      <c r="D65" s="265">
        <v>100000014</v>
      </c>
      <c r="E65" s="265" t="s">
        <v>278</v>
      </c>
      <c r="F65" s="265" t="s">
        <v>301</v>
      </c>
      <c r="G65" s="266">
        <v>161159.10999999999</v>
      </c>
      <c r="H65" s="266">
        <v>230293.1</v>
      </c>
      <c r="I65" s="268">
        <v>45492</v>
      </c>
      <c r="J65" s="268">
        <v>47579</v>
      </c>
      <c r="K65" s="268">
        <v>46132</v>
      </c>
      <c r="L65" s="224" t="str">
        <f t="shared" si="46"/>
        <v>10630001_USD_100000014_PERDAMAN CHEMICALS &amp; FERTILISERS (FINANCE)PTY LTD</v>
      </c>
      <c r="M65" s="221">
        <f t="shared" si="26"/>
        <v>230293.1</v>
      </c>
      <c r="N65" s="24">
        <f>IF(OR(L65=$L$2,L65=$L$3),$M$10+1,IFERROR(VLOOKUP(A65,'Repricing Maturity Adj.'!$A$3:$C$170,3,0),(IF(K65&lt;$M$10,"Check",K65))))</f>
        <v>46059</v>
      </c>
      <c r="O65" s="62" t="b">
        <f t="shared" si="27"/>
        <v>1</v>
      </c>
      <c r="P65" s="63" t="str">
        <f t="shared" si="28"/>
        <v>Asset</v>
      </c>
      <c r="Q65" s="25">
        <f t="shared" si="29"/>
        <v>230293.1</v>
      </c>
      <c r="R65" s="25">
        <f t="shared" si="30"/>
        <v>0</v>
      </c>
      <c r="S65" s="25">
        <f t="shared" si="31"/>
        <v>0</v>
      </c>
      <c r="T65" s="25">
        <f t="shared" si="32"/>
        <v>0</v>
      </c>
      <c r="U65" s="25">
        <f t="shared" si="33"/>
        <v>0</v>
      </c>
      <c r="V65" s="25">
        <f t="shared" si="34"/>
        <v>0</v>
      </c>
      <c r="W65" s="25">
        <f t="shared" si="35"/>
        <v>0</v>
      </c>
      <c r="X65" s="64">
        <f t="shared" si="36"/>
        <v>0</v>
      </c>
      <c r="Y65" s="64">
        <f t="shared" si="37"/>
        <v>0</v>
      </c>
      <c r="Z65" s="64">
        <f t="shared" si="38"/>
        <v>0</v>
      </c>
      <c r="AA65" s="64">
        <f t="shared" si="39"/>
        <v>0</v>
      </c>
      <c r="AB65" s="64">
        <f t="shared" si="40"/>
        <v>0</v>
      </c>
      <c r="AC65" s="64">
        <f t="shared" si="41"/>
        <v>0</v>
      </c>
      <c r="AD65" s="64">
        <f t="shared" si="42"/>
        <v>0</v>
      </c>
      <c r="AE65" s="64">
        <f t="shared" si="43"/>
        <v>0</v>
      </c>
      <c r="AF65" s="64">
        <f t="shared" si="44"/>
        <v>0</v>
      </c>
      <c r="AG65" s="29">
        <f t="shared" si="45"/>
        <v>0</v>
      </c>
    </row>
    <row r="66" spans="1:33" s="20" customFormat="1">
      <c r="A66" s="265">
        <v>10630001</v>
      </c>
      <c r="B66" s="265" t="s">
        <v>308</v>
      </c>
      <c r="C66" s="265" t="s">
        <v>575</v>
      </c>
      <c r="D66" s="265">
        <v>100000014</v>
      </c>
      <c r="E66" s="265" t="s">
        <v>278</v>
      </c>
      <c r="F66" s="265" t="s">
        <v>301</v>
      </c>
      <c r="G66" s="266">
        <v>655913.98</v>
      </c>
      <c r="H66" s="266">
        <v>937287.77</v>
      </c>
      <c r="I66" s="268">
        <v>45504</v>
      </c>
      <c r="J66" s="268">
        <v>47579</v>
      </c>
      <c r="K66" s="268">
        <v>46128</v>
      </c>
      <c r="L66" s="224" t="str">
        <f t="shared" si="46"/>
        <v>10630001_USD_100000014_PERDAMAN CHEMICALS &amp; FERTILISERS (FINANCE)PTY LTD</v>
      </c>
      <c r="M66" s="221">
        <f t="shared" si="26"/>
        <v>937287.77</v>
      </c>
      <c r="N66" s="24">
        <f>IF(OR(L66=$L$2,L66=$L$3),$M$10+1,IFERROR(VLOOKUP(A66,'Repricing Maturity Adj.'!$A$3:$C$170,3,0),(IF(K66&lt;$M$10,"Check",K66))))</f>
        <v>46059</v>
      </c>
      <c r="O66" s="62" t="b">
        <f t="shared" si="27"/>
        <v>1</v>
      </c>
      <c r="P66" s="63" t="str">
        <f t="shared" si="28"/>
        <v>Asset</v>
      </c>
      <c r="Q66" s="25">
        <f t="shared" si="29"/>
        <v>937287.77</v>
      </c>
      <c r="R66" s="25">
        <f t="shared" si="30"/>
        <v>0</v>
      </c>
      <c r="S66" s="25">
        <f t="shared" si="31"/>
        <v>0</v>
      </c>
      <c r="T66" s="25">
        <f t="shared" si="32"/>
        <v>0</v>
      </c>
      <c r="U66" s="25">
        <f t="shared" si="33"/>
        <v>0</v>
      </c>
      <c r="V66" s="25">
        <f t="shared" si="34"/>
        <v>0</v>
      </c>
      <c r="W66" s="25">
        <f t="shared" si="35"/>
        <v>0</v>
      </c>
      <c r="X66" s="64">
        <f t="shared" si="36"/>
        <v>0</v>
      </c>
      <c r="Y66" s="64">
        <f t="shared" si="37"/>
        <v>0</v>
      </c>
      <c r="Z66" s="64">
        <f t="shared" si="38"/>
        <v>0</v>
      </c>
      <c r="AA66" s="64">
        <f t="shared" si="39"/>
        <v>0</v>
      </c>
      <c r="AB66" s="64">
        <f t="shared" si="40"/>
        <v>0</v>
      </c>
      <c r="AC66" s="64">
        <f t="shared" si="41"/>
        <v>0</v>
      </c>
      <c r="AD66" s="64">
        <f t="shared" si="42"/>
        <v>0</v>
      </c>
      <c r="AE66" s="64">
        <f t="shared" si="43"/>
        <v>0</v>
      </c>
      <c r="AF66" s="64">
        <f t="shared" si="44"/>
        <v>0</v>
      </c>
      <c r="AG66" s="29">
        <f t="shared" si="45"/>
        <v>0</v>
      </c>
    </row>
    <row r="67" spans="1:33" s="20" customFormat="1">
      <c r="A67" s="265">
        <v>10630001</v>
      </c>
      <c r="B67" s="265" t="s">
        <v>308</v>
      </c>
      <c r="C67" s="265" t="s">
        <v>576</v>
      </c>
      <c r="D67" s="265">
        <v>100000014</v>
      </c>
      <c r="E67" s="265" t="s">
        <v>278</v>
      </c>
      <c r="F67" s="265" t="s">
        <v>301</v>
      </c>
      <c r="G67" s="266">
        <v>182210.15</v>
      </c>
      <c r="H67" s="266">
        <v>260374.61</v>
      </c>
      <c r="I67" s="268">
        <v>45523</v>
      </c>
      <c r="J67" s="268">
        <v>47579</v>
      </c>
      <c r="K67" s="268">
        <v>46132</v>
      </c>
      <c r="L67" s="224" t="str">
        <f t="shared" si="46"/>
        <v>10630001_USD_100000014_PERDAMAN CHEMICALS &amp; FERTILISERS (FINANCE)PTY LTD</v>
      </c>
      <c r="M67" s="221">
        <f t="shared" si="26"/>
        <v>260374.61</v>
      </c>
      <c r="N67" s="24">
        <f>IF(OR(L67=$L$2,L67=$L$3),$M$10+1,IFERROR(VLOOKUP(A67,'Repricing Maturity Adj.'!$A$3:$C$170,3,0),(IF(K67&lt;$M$10,"Check",K67))))</f>
        <v>46059</v>
      </c>
      <c r="O67" s="62" t="b">
        <f t="shared" si="27"/>
        <v>1</v>
      </c>
      <c r="P67" s="63" t="str">
        <f t="shared" si="28"/>
        <v>Asset</v>
      </c>
      <c r="Q67" s="25">
        <f t="shared" si="29"/>
        <v>260374.61</v>
      </c>
      <c r="R67" s="25">
        <f t="shared" si="30"/>
        <v>0</v>
      </c>
      <c r="S67" s="25">
        <f t="shared" si="31"/>
        <v>0</v>
      </c>
      <c r="T67" s="25">
        <f t="shared" si="32"/>
        <v>0</v>
      </c>
      <c r="U67" s="25">
        <f t="shared" si="33"/>
        <v>0</v>
      </c>
      <c r="V67" s="25">
        <f t="shared" si="34"/>
        <v>0</v>
      </c>
      <c r="W67" s="25">
        <f t="shared" si="35"/>
        <v>0</v>
      </c>
      <c r="X67" s="64">
        <f t="shared" si="36"/>
        <v>0</v>
      </c>
      <c r="Y67" s="64">
        <f t="shared" si="37"/>
        <v>0</v>
      </c>
      <c r="Z67" s="64">
        <f t="shared" si="38"/>
        <v>0</v>
      </c>
      <c r="AA67" s="64">
        <f t="shared" si="39"/>
        <v>0</v>
      </c>
      <c r="AB67" s="64">
        <f t="shared" si="40"/>
        <v>0</v>
      </c>
      <c r="AC67" s="64">
        <f t="shared" si="41"/>
        <v>0</v>
      </c>
      <c r="AD67" s="64">
        <f t="shared" si="42"/>
        <v>0</v>
      </c>
      <c r="AE67" s="64">
        <f t="shared" si="43"/>
        <v>0</v>
      </c>
      <c r="AF67" s="64">
        <f t="shared" si="44"/>
        <v>0</v>
      </c>
      <c r="AG67" s="29">
        <f t="shared" si="45"/>
        <v>0</v>
      </c>
    </row>
    <row r="68" spans="1:33" s="20" customFormat="1">
      <c r="A68" s="265">
        <v>10630001</v>
      </c>
      <c r="B68" s="265" t="s">
        <v>308</v>
      </c>
      <c r="C68" s="265" t="s">
        <v>577</v>
      </c>
      <c r="D68" s="265">
        <v>100000014</v>
      </c>
      <c r="E68" s="265" t="s">
        <v>278</v>
      </c>
      <c r="F68" s="265" t="s">
        <v>301</v>
      </c>
      <c r="G68" s="266">
        <v>1354838.71</v>
      </c>
      <c r="H68" s="266">
        <v>1936037.02</v>
      </c>
      <c r="I68" s="268">
        <v>45534</v>
      </c>
      <c r="J68" s="268">
        <v>47579</v>
      </c>
      <c r="K68" s="268">
        <v>46142</v>
      </c>
      <c r="L68" s="224" t="str">
        <f t="shared" si="46"/>
        <v>10630001_USD_100000014_PERDAMAN CHEMICALS &amp; FERTILISERS (FINANCE)PTY LTD</v>
      </c>
      <c r="M68" s="221">
        <f t="shared" si="26"/>
        <v>1936037.02</v>
      </c>
      <c r="N68" s="24">
        <f>IF(OR(L68=$L$2,L68=$L$3),$M$10+1,IFERROR(VLOOKUP(A68,'Repricing Maturity Adj.'!$A$3:$C$170,3,0),(IF(K68&lt;$M$10,"Check",K68))))</f>
        <v>46059</v>
      </c>
      <c r="O68" s="62" t="b">
        <f t="shared" si="27"/>
        <v>1</v>
      </c>
      <c r="P68" s="63" t="str">
        <f t="shared" si="28"/>
        <v>Asset</v>
      </c>
      <c r="Q68" s="25">
        <f t="shared" si="29"/>
        <v>1936037.02</v>
      </c>
      <c r="R68" s="25">
        <f t="shared" si="30"/>
        <v>0</v>
      </c>
      <c r="S68" s="25">
        <f t="shared" si="31"/>
        <v>0</v>
      </c>
      <c r="T68" s="25">
        <f t="shared" si="32"/>
        <v>0</v>
      </c>
      <c r="U68" s="25">
        <f t="shared" si="33"/>
        <v>0</v>
      </c>
      <c r="V68" s="25">
        <f t="shared" si="34"/>
        <v>0</v>
      </c>
      <c r="W68" s="25">
        <f t="shared" si="35"/>
        <v>0</v>
      </c>
      <c r="X68" s="64">
        <f t="shared" si="36"/>
        <v>0</v>
      </c>
      <c r="Y68" s="64">
        <f t="shared" si="37"/>
        <v>0</v>
      </c>
      <c r="Z68" s="64">
        <f t="shared" si="38"/>
        <v>0</v>
      </c>
      <c r="AA68" s="64">
        <f t="shared" si="39"/>
        <v>0</v>
      </c>
      <c r="AB68" s="64">
        <f t="shared" si="40"/>
        <v>0</v>
      </c>
      <c r="AC68" s="64">
        <f t="shared" si="41"/>
        <v>0</v>
      </c>
      <c r="AD68" s="64">
        <f t="shared" si="42"/>
        <v>0</v>
      </c>
      <c r="AE68" s="64">
        <f t="shared" si="43"/>
        <v>0</v>
      </c>
      <c r="AF68" s="64">
        <f t="shared" si="44"/>
        <v>0</v>
      </c>
      <c r="AG68" s="29">
        <f t="shared" si="45"/>
        <v>0</v>
      </c>
    </row>
    <row r="69" spans="1:33" s="20" customFormat="1">
      <c r="A69" s="265">
        <v>10630001</v>
      </c>
      <c r="B69" s="265" t="s">
        <v>308</v>
      </c>
      <c r="C69" s="265" t="s">
        <v>578</v>
      </c>
      <c r="D69" s="265">
        <v>100000014</v>
      </c>
      <c r="E69" s="265" t="s">
        <v>278</v>
      </c>
      <c r="F69" s="265" t="s">
        <v>301</v>
      </c>
      <c r="G69" s="266">
        <v>190219.59</v>
      </c>
      <c r="H69" s="266">
        <v>271819.93</v>
      </c>
      <c r="I69" s="268">
        <v>45554</v>
      </c>
      <c r="J69" s="268">
        <v>47579</v>
      </c>
      <c r="K69" s="268">
        <v>46132</v>
      </c>
      <c r="L69" s="224" t="str">
        <f t="shared" si="46"/>
        <v>10630001_USD_100000014_PERDAMAN CHEMICALS &amp; FERTILISERS (FINANCE)PTY LTD</v>
      </c>
      <c r="M69" s="221">
        <f t="shared" si="26"/>
        <v>271819.93</v>
      </c>
      <c r="N69" s="24">
        <f>IF(OR(L69=$L$2,L69=$L$3),$M$10+1,IFERROR(VLOOKUP(A69,'Repricing Maturity Adj.'!$A$3:$C$170,3,0),(IF(K69&lt;$M$10,"Check",K69))))</f>
        <v>46059</v>
      </c>
      <c r="O69" s="62" t="b">
        <f t="shared" si="27"/>
        <v>1</v>
      </c>
      <c r="P69" s="63" t="str">
        <f t="shared" si="28"/>
        <v>Asset</v>
      </c>
      <c r="Q69" s="25">
        <f t="shared" si="29"/>
        <v>271819.93</v>
      </c>
      <c r="R69" s="25">
        <f t="shared" si="30"/>
        <v>0</v>
      </c>
      <c r="S69" s="25">
        <f t="shared" si="31"/>
        <v>0</v>
      </c>
      <c r="T69" s="25">
        <f t="shared" si="32"/>
        <v>0</v>
      </c>
      <c r="U69" s="25">
        <f t="shared" si="33"/>
        <v>0</v>
      </c>
      <c r="V69" s="25">
        <f t="shared" si="34"/>
        <v>0</v>
      </c>
      <c r="W69" s="25">
        <f t="shared" si="35"/>
        <v>0</v>
      </c>
      <c r="X69" s="64">
        <f t="shared" si="36"/>
        <v>0</v>
      </c>
      <c r="Y69" s="64">
        <f t="shared" si="37"/>
        <v>0</v>
      </c>
      <c r="Z69" s="64">
        <f t="shared" si="38"/>
        <v>0</v>
      </c>
      <c r="AA69" s="64">
        <f t="shared" si="39"/>
        <v>0</v>
      </c>
      <c r="AB69" s="64">
        <f t="shared" si="40"/>
        <v>0</v>
      </c>
      <c r="AC69" s="64">
        <f t="shared" si="41"/>
        <v>0</v>
      </c>
      <c r="AD69" s="64">
        <f t="shared" si="42"/>
        <v>0</v>
      </c>
      <c r="AE69" s="64">
        <f t="shared" si="43"/>
        <v>0</v>
      </c>
      <c r="AF69" s="64">
        <f t="shared" si="44"/>
        <v>0</v>
      </c>
      <c r="AG69" s="29">
        <f t="shared" si="45"/>
        <v>0</v>
      </c>
    </row>
    <row r="70" spans="1:33" s="20" customFormat="1">
      <c r="A70" s="265">
        <v>10630001</v>
      </c>
      <c r="B70" s="265" t="s">
        <v>308</v>
      </c>
      <c r="C70" s="265" t="s">
        <v>579</v>
      </c>
      <c r="D70" s="265">
        <v>100000014</v>
      </c>
      <c r="E70" s="265" t="s">
        <v>278</v>
      </c>
      <c r="F70" s="265" t="s">
        <v>301</v>
      </c>
      <c r="G70" s="266">
        <v>1053763.44</v>
      </c>
      <c r="H70" s="266">
        <v>1505806.57</v>
      </c>
      <c r="I70" s="268">
        <v>45565</v>
      </c>
      <c r="J70" s="268">
        <v>47579</v>
      </c>
      <c r="K70" s="268">
        <v>46142</v>
      </c>
      <c r="L70" s="224" t="str">
        <f t="shared" si="46"/>
        <v>10630001_USD_100000014_PERDAMAN CHEMICALS &amp; FERTILISERS (FINANCE)PTY LTD</v>
      </c>
      <c r="M70" s="221">
        <f t="shared" si="26"/>
        <v>1505806.57</v>
      </c>
      <c r="N70" s="24">
        <f>IF(OR(L70=$L$2,L70=$L$3),$M$10+1,IFERROR(VLOOKUP(A70,'Repricing Maturity Adj.'!$A$3:$C$170,3,0),(IF(K70&lt;$M$10,"Check",K70))))</f>
        <v>46059</v>
      </c>
      <c r="O70" s="62" t="b">
        <f t="shared" si="27"/>
        <v>1</v>
      </c>
      <c r="P70" s="63" t="str">
        <f t="shared" si="28"/>
        <v>Asset</v>
      </c>
      <c r="Q70" s="25">
        <f t="shared" si="29"/>
        <v>1505806.57</v>
      </c>
      <c r="R70" s="25">
        <f t="shared" si="30"/>
        <v>0</v>
      </c>
      <c r="S70" s="25">
        <f t="shared" si="31"/>
        <v>0</v>
      </c>
      <c r="T70" s="25">
        <f t="shared" si="32"/>
        <v>0</v>
      </c>
      <c r="U70" s="25">
        <f t="shared" si="33"/>
        <v>0</v>
      </c>
      <c r="V70" s="25">
        <f t="shared" si="34"/>
        <v>0</v>
      </c>
      <c r="W70" s="25">
        <f t="shared" si="35"/>
        <v>0</v>
      </c>
      <c r="X70" s="64">
        <f t="shared" si="36"/>
        <v>0</v>
      </c>
      <c r="Y70" s="64">
        <f t="shared" si="37"/>
        <v>0</v>
      </c>
      <c r="Z70" s="64">
        <f t="shared" si="38"/>
        <v>0</v>
      </c>
      <c r="AA70" s="64">
        <f t="shared" si="39"/>
        <v>0</v>
      </c>
      <c r="AB70" s="64">
        <f t="shared" si="40"/>
        <v>0</v>
      </c>
      <c r="AC70" s="64">
        <f t="shared" si="41"/>
        <v>0</v>
      </c>
      <c r="AD70" s="64">
        <f t="shared" si="42"/>
        <v>0</v>
      </c>
      <c r="AE70" s="64">
        <f t="shared" si="43"/>
        <v>0</v>
      </c>
      <c r="AF70" s="64">
        <f t="shared" si="44"/>
        <v>0</v>
      </c>
      <c r="AG70" s="29">
        <f t="shared" si="45"/>
        <v>0</v>
      </c>
    </row>
    <row r="71" spans="1:33" s="20" customFormat="1">
      <c r="A71" s="265">
        <v>10630001</v>
      </c>
      <c r="B71" s="265" t="s">
        <v>308</v>
      </c>
      <c r="C71" s="265" t="s">
        <v>595</v>
      </c>
      <c r="D71" s="265">
        <v>100000014</v>
      </c>
      <c r="E71" s="265" t="s">
        <v>278</v>
      </c>
      <c r="F71" s="265" t="s">
        <v>301</v>
      </c>
      <c r="G71" s="266">
        <v>178768.75</v>
      </c>
      <c r="H71" s="266">
        <v>255456.92</v>
      </c>
      <c r="I71" s="268">
        <v>45583</v>
      </c>
      <c r="J71" s="268">
        <v>47579</v>
      </c>
      <c r="K71" s="268">
        <v>46132</v>
      </c>
      <c r="L71" s="224" t="str">
        <f t="shared" si="46"/>
        <v>10630001_USD_100000014_PERDAMAN CHEMICALS &amp; FERTILISERS (FINANCE)PTY LTD</v>
      </c>
      <c r="M71" s="221">
        <f t="shared" si="26"/>
        <v>255456.92</v>
      </c>
      <c r="N71" s="24">
        <f>IF(OR(L71=$L$2,L71=$L$3),$M$10+1,IFERROR(VLOOKUP(A71,'Repricing Maturity Adj.'!$A$3:$C$170,3,0),(IF(K71&lt;$M$10,"Check",K71))))</f>
        <v>46059</v>
      </c>
      <c r="O71" s="62" t="b">
        <f t="shared" si="27"/>
        <v>1</v>
      </c>
      <c r="P71" s="63" t="str">
        <f t="shared" si="28"/>
        <v>Asset</v>
      </c>
      <c r="Q71" s="25">
        <f t="shared" si="29"/>
        <v>255456.92</v>
      </c>
      <c r="R71" s="25">
        <f t="shared" si="30"/>
        <v>0</v>
      </c>
      <c r="S71" s="25">
        <f t="shared" si="31"/>
        <v>0</v>
      </c>
      <c r="T71" s="25">
        <f t="shared" si="32"/>
        <v>0</v>
      </c>
      <c r="U71" s="25">
        <f t="shared" si="33"/>
        <v>0</v>
      </c>
      <c r="V71" s="25">
        <f t="shared" si="34"/>
        <v>0</v>
      </c>
      <c r="W71" s="25">
        <f t="shared" si="35"/>
        <v>0</v>
      </c>
      <c r="X71" s="64">
        <f t="shared" si="36"/>
        <v>0</v>
      </c>
      <c r="Y71" s="64">
        <f t="shared" si="37"/>
        <v>0</v>
      </c>
      <c r="Z71" s="64">
        <f t="shared" si="38"/>
        <v>0</v>
      </c>
      <c r="AA71" s="64">
        <f t="shared" si="39"/>
        <v>0</v>
      </c>
      <c r="AB71" s="64">
        <f t="shared" si="40"/>
        <v>0</v>
      </c>
      <c r="AC71" s="64">
        <f t="shared" si="41"/>
        <v>0</v>
      </c>
      <c r="AD71" s="64">
        <f t="shared" si="42"/>
        <v>0</v>
      </c>
      <c r="AE71" s="64">
        <f t="shared" si="43"/>
        <v>0</v>
      </c>
      <c r="AF71" s="64">
        <f t="shared" si="44"/>
        <v>0</v>
      </c>
      <c r="AG71" s="29">
        <f t="shared" si="45"/>
        <v>0</v>
      </c>
    </row>
    <row r="72" spans="1:33" s="20" customFormat="1">
      <c r="A72" s="265">
        <v>10630001</v>
      </c>
      <c r="B72" s="265" t="s">
        <v>308</v>
      </c>
      <c r="C72" s="265" t="s">
        <v>596</v>
      </c>
      <c r="D72" s="265">
        <v>100000014</v>
      </c>
      <c r="E72" s="265" t="s">
        <v>278</v>
      </c>
      <c r="F72" s="265" t="s">
        <v>301</v>
      </c>
      <c r="G72" s="266">
        <v>173203.83</v>
      </c>
      <c r="H72" s="266">
        <v>247504.76</v>
      </c>
      <c r="I72" s="268">
        <v>45611</v>
      </c>
      <c r="J72" s="268">
        <v>47579</v>
      </c>
      <c r="K72" s="268">
        <v>46086</v>
      </c>
      <c r="L72" s="224" t="str">
        <f t="shared" si="46"/>
        <v>10630001_USD_100000014_PERDAMAN CHEMICALS &amp; FERTILISERS (FINANCE)PTY LTD</v>
      </c>
      <c r="M72" s="221">
        <f t="shared" si="26"/>
        <v>247504.76</v>
      </c>
      <c r="N72" s="24">
        <f>IF(OR(L72=$L$2,L72=$L$3),$M$10+1,IFERROR(VLOOKUP(A72,'Repricing Maturity Adj.'!$A$3:$C$170,3,0),(IF(K72&lt;$M$10,"Check",K72))))</f>
        <v>46059</v>
      </c>
      <c r="O72" s="62" t="b">
        <f t="shared" si="27"/>
        <v>1</v>
      </c>
      <c r="P72" s="63" t="str">
        <f t="shared" si="28"/>
        <v>Asset</v>
      </c>
      <c r="Q72" s="25">
        <f t="shared" si="29"/>
        <v>247504.76</v>
      </c>
      <c r="R72" s="25">
        <f t="shared" si="30"/>
        <v>0</v>
      </c>
      <c r="S72" s="25">
        <f t="shared" si="31"/>
        <v>0</v>
      </c>
      <c r="T72" s="25">
        <f t="shared" si="32"/>
        <v>0</v>
      </c>
      <c r="U72" s="25">
        <f t="shared" si="33"/>
        <v>0</v>
      </c>
      <c r="V72" s="25">
        <f t="shared" si="34"/>
        <v>0</v>
      </c>
      <c r="W72" s="25">
        <f t="shared" si="35"/>
        <v>0</v>
      </c>
      <c r="X72" s="64">
        <f t="shared" si="36"/>
        <v>0</v>
      </c>
      <c r="Y72" s="64">
        <f t="shared" si="37"/>
        <v>0</v>
      </c>
      <c r="Z72" s="64">
        <f t="shared" si="38"/>
        <v>0</v>
      </c>
      <c r="AA72" s="64">
        <f t="shared" si="39"/>
        <v>0</v>
      </c>
      <c r="AB72" s="64">
        <f t="shared" si="40"/>
        <v>0</v>
      </c>
      <c r="AC72" s="64">
        <f t="shared" si="41"/>
        <v>0</v>
      </c>
      <c r="AD72" s="64">
        <f t="shared" si="42"/>
        <v>0</v>
      </c>
      <c r="AE72" s="64">
        <f t="shared" si="43"/>
        <v>0</v>
      </c>
      <c r="AF72" s="64">
        <f t="shared" si="44"/>
        <v>0</v>
      </c>
      <c r="AG72" s="29">
        <f t="shared" si="45"/>
        <v>0</v>
      </c>
    </row>
    <row r="73" spans="1:33" s="20" customFormat="1">
      <c r="A73" s="265">
        <v>10630001</v>
      </c>
      <c r="B73" s="265" t="s">
        <v>308</v>
      </c>
      <c r="C73" s="265" t="s">
        <v>597</v>
      </c>
      <c r="D73" s="265">
        <v>100000014</v>
      </c>
      <c r="E73" s="265" t="s">
        <v>278</v>
      </c>
      <c r="F73" s="265" t="s">
        <v>301</v>
      </c>
      <c r="G73" s="266">
        <v>301075.27</v>
      </c>
      <c r="H73" s="266">
        <v>430230.45</v>
      </c>
      <c r="I73" s="268">
        <v>45625</v>
      </c>
      <c r="J73" s="268">
        <v>47579</v>
      </c>
      <c r="K73" s="268">
        <v>46086</v>
      </c>
      <c r="L73" s="224" t="str">
        <f t="shared" si="46"/>
        <v>10630001_USD_100000014_PERDAMAN CHEMICALS &amp; FERTILISERS (FINANCE)PTY LTD</v>
      </c>
      <c r="M73" s="221">
        <f t="shared" si="26"/>
        <v>430230.45</v>
      </c>
      <c r="N73" s="24">
        <f>IF(OR(L73=$L$2,L73=$L$3),$M$10+1,IFERROR(VLOOKUP(A73,'Repricing Maturity Adj.'!$A$3:$C$170,3,0),(IF(K73&lt;$M$10,"Check",K73))))</f>
        <v>46059</v>
      </c>
      <c r="O73" s="62" t="b">
        <f t="shared" si="27"/>
        <v>1</v>
      </c>
      <c r="P73" s="63" t="str">
        <f t="shared" si="28"/>
        <v>Asset</v>
      </c>
      <c r="Q73" s="25">
        <f t="shared" si="29"/>
        <v>430230.45</v>
      </c>
      <c r="R73" s="25">
        <f t="shared" si="30"/>
        <v>0</v>
      </c>
      <c r="S73" s="25">
        <f t="shared" si="31"/>
        <v>0</v>
      </c>
      <c r="T73" s="25">
        <f t="shared" si="32"/>
        <v>0</v>
      </c>
      <c r="U73" s="25">
        <f t="shared" si="33"/>
        <v>0</v>
      </c>
      <c r="V73" s="25">
        <f t="shared" si="34"/>
        <v>0</v>
      </c>
      <c r="W73" s="25">
        <f t="shared" si="35"/>
        <v>0</v>
      </c>
      <c r="X73" s="64">
        <f t="shared" si="36"/>
        <v>0</v>
      </c>
      <c r="Y73" s="64">
        <f t="shared" si="37"/>
        <v>0</v>
      </c>
      <c r="Z73" s="64">
        <f t="shared" si="38"/>
        <v>0</v>
      </c>
      <c r="AA73" s="64">
        <f t="shared" si="39"/>
        <v>0</v>
      </c>
      <c r="AB73" s="64">
        <f t="shared" si="40"/>
        <v>0</v>
      </c>
      <c r="AC73" s="64">
        <f t="shared" si="41"/>
        <v>0</v>
      </c>
      <c r="AD73" s="64">
        <f t="shared" si="42"/>
        <v>0</v>
      </c>
      <c r="AE73" s="64">
        <f t="shared" si="43"/>
        <v>0</v>
      </c>
      <c r="AF73" s="64">
        <f t="shared" si="44"/>
        <v>0</v>
      </c>
      <c r="AG73" s="29">
        <f t="shared" si="45"/>
        <v>0</v>
      </c>
    </row>
    <row r="74" spans="1:33" s="20" customFormat="1">
      <c r="A74" s="265">
        <v>10630001</v>
      </c>
      <c r="B74" s="265" t="s">
        <v>308</v>
      </c>
      <c r="C74" s="265" t="s">
        <v>598</v>
      </c>
      <c r="D74" s="265">
        <v>100000014</v>
      </c>
      <c r="E74" s="265" t="s">
        <v>278</v>
      </c>
      <c r="F74" s="265" t="s">
        <v>301</v>
      </c>
      <c r="G74" s="266">
        <v>170579.18</v>
      </c>
      <c r="H74" s="266">
        <v>243754.19</v>
      </c>
      <c r="I74" s="268">
        <v>45639</v>
      </c>
      <c r="J74" s="268">
        <v>47579</v>
      </c>
      <c r="K74" s="268">
        <v>46086</v>
      </c>
      <c r="L74" s="224" t="str">
        <f t="shared" si="46"/>
        <v>10630001_USD_100000014_PERDAMAN CHEMICALS &amp; FERTILISERS (FINANCE)PTY LTD</v>
      </c>
      <c r="M74" s="221">
        <f t="shared" si="26"/>
        <v>243754.19</v>
      </c>
      <c r="N74" s="24">
        <f>IF(OR(L74=$L$2,L74=$L$3),$M$10+1,IFERROR(VLOOKUP(A74,'Repricing Maturity Adj.'!$A$3:$C$170,3,0),(IF(K74&lt;$M$10,"Check",K74))))</f>
        <v>46059</v>
      </c>
      <c r="O74" s="62" t="b">
        <f t="shared" si="27"/>
        <v>1</v>
      </c>
      <c r="P74" s="63" t="str">
        <f t="shared" si="28"/>
        <v>Asset</v>
      </c>
      <c r="Q74" s="25">
        <f t="shared" si="29"/>
        <v>243754.19</v>
      </c>
      <c r="R74" s="25">
        <f t="shared" si="30"/>
        <v>0</v>
      </c>
      <c r="S74" s="25">
        <f t="shared" si="31"/>
        <v>0</v>
      </c>
      <c r="T74" s="25">
        <f t="shared" si="32"/>
        <v>0</v>
      </c>
      <c r="U74" s="25">
        <f t="shared" si="33"/>
        <v>0</v>
      </c>
      <c r="V74" s="25">
        <f t="shared" si="34"/>
        <v>0</v>
      </c>
      <c r="W74" s="25">
        <f t="shared" si="35"/>
        <v>0</v>
      </c>
      <c r="X74" s="64">
        <f t="shared" si="36"/>
        <v>0</v>
      </c>
      <c r="Y74" s="64">
        <f t="shared" si="37"/>
        <v>0</v>
      </c>
      <c r="Z74" s="64">
        <f t="shared" si="38"/>
        <v>0</v>
      </c>
      <c r="AA74" s="64">
        <f t="shared" si="39"/>
        <v>0</v>
      </c>
      <c r="AB74" s="64">
        <f t="shared" si="40"/>
        <v>0</v>
      </c>
      <c r="AC74" s="64">
        <f t="shared" si="41"/>
        <v>0</v>
      </c>
      <c r="AD74" s="64">
        <f t="shared" si="42"/>
        <v>0</v>
      </c>
      <c r="AE74" s="64">
        <f t="shared" si="43"/>
        <v>0</v>
      </c>
      <c r="AF74" s="64">
        <f t="shared" si="44"/>
        <v>0</v>
      </c>
      <c r="AG74" s="29">
        <f t="shared" si="45"/>
        <v>0</v>
      </c>
    </row>
    <row r="75" spans="1:33" s="20" customFormat="1">
      <c r="A75" s="265">
        <v>10630001</v>
      </c>
      <c r="B75" s="265" t="s">
        <v>308</v>
      </c>
      <c r="C75" s="265" t="s">
        <v>599</v>
      </c>
      <c r="D75" s="265">
        <v>100000014</v>
      </c>
      <c r="E75" s="265" t="s">
        <v>278</v>
      </c>
      <c r="F75" s="265" t="s">
        <v>301</v>
      </c>
      <c r="G75" s="266">
        <v>967741.94</v>
      </c>
      <c r="H75" s="266">
        <v>1382883.6</v>
      </c>
      <c r="I75" s="268">
        <v>45656</v>
      </c>
      <c r="J75" s="268">
        <v>47579</v>
      </c>
      <c r="K75" s="268">
        <v>46086</v>
      </c>
      <c r="L75" s="224" t="str">
        <f t="shared" si="46"/>
        <v>10630001_USD_100000014_PERDAMAN CHEMICALS &amp; FERTILISERS (FINANCE)PTY LTD</v>
      </c>
      <c r="M75" s="221">
        <f t="shared" si="26"/>
        <v>1382883.6</v>
      </c>
      <c r="N75" s="24">
        <f>IF(OR(L75=$L$2,L75=$L$3),$M$10+1,IFERROR(VLOOKUP(A75,'Repricing Maturity Adj.'!$A$3:$C$170,3,0),(IF(K75&lt;$M$10,"Check",K75))))</f>
        <v>46059</v>
      </c>
      <c r="O75" s="62" t="b">
        <f t="shared" si="27"/>
        <v>1</v>
      </c>
      <c r="P75" s="63" t="str">
        <f t="shared" si="28"/>
        <v>Asset</v>
      </c>
      <c r="Q75" s="25">
        <f t="shared" si="29"/>
        <v>1382883.6</v>
      </c>
      <c r="R75" s="25">
        <f t="shared" si="30"/>
        <v>0</v>
      </c>
      <c r="S75" s="25">
        <f t="shared" si="31"/>
        <v>0</v>
      </c>
      <c r="T75" s="25">
        <f t="shared" si="32"/>
        <v>0</v>
      </c>
      <c r="U75" s="25">
        <f t="shared" si="33"/>
        <v>0</v>
      </c>
      <c r="V75" s="25">
        <f t="shared" si="34"/>
        <v>0</v>
      </c>
      <c r="W75" s="25">
        <f t="shared" si="35"/>
        <v>0</v>
      </c>
      <c r="X75" s="64">
        <f t="shared" si="36"/>
        <v>0</v>
      </c>
      <c r="Y75" s="64">
        <f t="shared" si="37"/>
        <v>0</v>
      </c>
      <c r="Z75" s="64">
        <f t="shared" si="38"/>
        <v>0</v>
      </c>
      <c r="AA75" s="64">
        <f t="shared" si="39"/>
        <v>0</v>
      </c>
      <c r="AB75" s="64">
        <f t="shared" si="40"/>
        <v>0</v>
      </c>
      <c r="AC75" s="64">
        <f t="shared" si="41"/>
        <v>0</v>
      </c>
      <c r="AD75" s="64">
        <f t="shared" si="42"/>
        <v>0</v>
      </c>
      <c r="AE75" s="64">
        <f t="shared" si="43"/>
        <v>0</v>
      </c>
      <c r="AF75" s="64">
        <f t="shared" si="44"/>
        <v>0</v>
      </c>
      <c r="AG75" s="29">
        <f t="shared" si="45"/>
        <v>0</v>
      </c>
    </row>
    <row r="76" spans="1:33" s="20" customFormat="1">
      <c r="A76" s="265">
        <v>10630001</v>
      </c>
      <c r="B76" s="265" t="s">
        <v>308</v>
      </c>
      <c r="C76" s="265" t="s">
        <v>611</v>
      </c>
      <c r="D76" s="265">
        <v>100000014</v>
      </c>
      <c r="E76" s="265" t="s">
        <v>278</v>
      </c>
      <c r="F76" s="265" t="s">
        <v>301</v>
      </c>
      <c r="G76" s="266">
        <v>190415.75</v>
      </c>
      <c r="H76" s="266">
        <v>272100.24</v>
      </c>
      <c r="I76" s="268">
        <v>45670</v>
      </c>
      <c r="J76" s="268">
        <v>47579</v>
      </c>
      <c r="K76" s="268">
        <v>46086</v>
      </c>
      <c r="L76" s="224" t="str">
        <f t="shared" si="46"/>
        <v>10630001_USD_100000014_PERDAMAN CHEMICALS &amp; FERTILISERS (FINANCE)PTY LTD</v>
      </c>
      <c r="M76" s="221">
        <f t="shared" si="26"/>
        <v>272100.24</v>
      </c>
      <c r="N76" s="24">
        <f>IF(OR(L76=$L$2,L76=$L$3),$M$10+1,IFERROR(VLOOKUP(A76,'Repricing Maturity Adj.'!$A$3:$C$170,3,0),(IF(K76&lt;$M$10,"Check",K76))))</f>
        <v>46059</v>
      </c>
      <c r="O76" s="62" t="b">
        <f t="shared" si="27"/>
        <v>1</v>
      </c>
      <c r="P76" s="63" t="str">
        <f t="shared" si="28"/>
        <v>Asset</v>
      </c>
      <c r="Q76" s="25">
        <f t="shared" si="29"/>
        <v>272100.24</v>
      </c>
      <c r="R76" s="25">
        <f t="shared" si="30"/>
        <v>0</v>
      </c>
      <c r="S76" s="25">
        <f t="shared" si="31"/>
        <v>0</v>
      </c>
      <c r="T76" s="25">
        <f t="shared" si="32"/>
        <v>0</v>
      </c>
      <c r="U76" s="25">
        <f t="shared" si="33"/>
        <v>0</v>
      </c>
      <c r="V76" s="25">
        <f t="shared" si="34"/>
        <v>0</v>
      </c>
      <c r="W76" s="25">
        <f t="shared" si="35"/>
        <v>0</v>
      </c>
      <c r="X76" s="64">
        <f t="shared" si="36"/>
        <v>0</v>
      </c>
      <c r="Y76" s="64">
        <f t="shared" si="37"/>
        <v>0</v>
      </c>
      <c r="Z76" s="64">
        <f t="shared" si="38"/>
        <v>0</v>
      </c>
      <c r="AA76" s="64">
        <f t="shared" si="39"/>
        <v>0</v>
      </c>
      <c r="AB76" s="64">
        <f t="shared" si="40"/>
        <v>0</v>
      </c>
      <c r="AC76" s="64">
        <f t="shared" si="41"/>
        <v>0</v>
      </c>
      <c r="AD76" s="64">
        <f t="shared" si="42"/>
        <v>0</v>
      </c>
      <c r="AE76" s="64">
        <f t="shared" si="43"/>
        <v>0</v>
      </c>
      <c r="AF76" s="64">
        <f t="shared" si="44"/>
        <v>0</v>
      </c>
      <c r="AG76" s="29">
        <f t="shared" si="45"/>
        <v>0</v>
      </c>
    </row>
    <row r="77" spans="1:33" s="20" customFormat="1">
      <c r="A77" s="265">
        <v>10630001</v>
      </c>
      <c r="B77" s="265" t="s">
        <v>308</v>
      </c>
      <c r="C77" s="265" t="s">
        <v>612</v>
      </c>
      <c r="D77" s="265">
        <v>100000014</v>
      </c>
      <c r="E77" s="265" t="s">
        <v>278</v>
      </c>
      <c r="F77" s="265" t="s">
        <v>301</v>
      </c>
      <c r="G77" s="266">
        <v>838709.68</v>
      </c>
      <c r="H77" s="266">
        <v>1198499.1100000001</v>
      </c>
      <c r="I77" s="268">
        <v>45679</v>
      </c>
      <c r="J77" s="268">
        <v>47579</v>
      </c>
      <c r="K77" s="268">
        <v>46086</v>
      </c>
      <c r="L77" s="224" t="str">
        <f t="shared" si="46"/>
        <v>10630001_USD_100000014_PERDAMAN CHEMICALS &amp; FERTILISERS (FINANCE)PTY LTD</v>
      </c>
      <c r="M77" s="221">
        <f t="shared" si="26"/>
        <v>1198499.1100000001</v>
      </c>
      <c r="N77" s="24">
        <f>IF(OR(L77=$L$2,L77=$L$3),$M$10+1,IFERROR(VLOOKUP(A77,'Repricing Maturity Adj.'!$A$3:$C$170,3,0),(IF(K77&lt;$M$10,"Check",K77))))</f>
        <v>46059</v>
      </c>
      <c r="O77" s="62" t="b">
        <f t="shared" si="27"/>
        <v>1</v>
      </c>
      <c r="P77" s="63" t="str">
        <f t="shared" si="28"/>
        <v>Asset</v>
      </c>
      <c r="Q77" s="25">
        <f t="shared" si="29"/>
        <v>1198499.1100000001</v>
      </c>
      <c r="R77" s="25">
        <f t="shared" si="30"/>
        <v>0</v>
      </c>
      <c r="S77" s="25">
        <f t="shared" si="31"/>
        <v>0</v>
      </c>
      <c r="T77" s="25">
        <f t="shared" si="32"/>
        <v>0</v>
      </c>
      <c r="U77" s="25">
        <f t="shared" si="33"/>
        <v>0</v>
      </c>
      <c r="V77" s="25">
        <f t="shared" si="34"/>
        <v>0</v>
      </c>
      <c r="W77" s="25">
        <f t="shared" si="35"/>
        <v>0</v>
      </c>
      <c r="X77" s="64">
        <f t="shared" si="36"/>
        <v>0</v>
      </c>
      <c r="Y77" s="64">
        <f t="shared" si="37"/>
        <v>0</v>
      </c>
      <c r="Z77" s="64">
        <f t="shared" si="38"/>
        <v>0</v>
      </c>
      <c r="AA77" s="64">
        <f t="shared" si="39"/>
        <v>0</v>
      </c>
      <c r="AB77" s="64">
        <f t="shared" si="40"/>
        <v>0</v>
      </c>
      <c r="AC77" s="64">
        <f t="shared" si="41"/>
        <v>0</v>
      </c>
      <c r="AD77" s="64">
        <f t="shared" si="42"/>
        <v>0</v>
      </c>
      <c r="AE77" s="64">
        <f t="shared" si="43"/>
        <v>0</v>
      </c>
      <c r="AF77" s="64">
        <f t="shared" si="44"/>
        <v>0</v>
      </c>
      <c r="AG77" s="29">
        <f t="shared" si="45"/>
        <v>0</v>
      </c>
    </row>
    <row r="78" spans="1:33" s="20" customFormat="1">
      <c r="A78" s="265">
        <v>10630001</v>
      </c>
      <c r="B78" s="265" t="s">
        <v>308</v>
      </c>
      <c r="C78" s="265" t="s">
        <v>613</v>
      </c>
      <c r="D78" s="265">
        <v>100000014</v>
      </c>
      <c r="E78" s="265" t="s">
        <v>278</v>
      </c>
      <c r="F78" s="265" t="s">
        <v>301</v>
      </c>
      <c r="G78" s="266">
        <v>193896.47</v>
      </c>
      <c r="H78" s="266">
        <v>277074.12</v>
      </c>
      <c r="I78" s="268">
        <v>45701</v>
      </c>
      <c r="J78" s="268">
        <v>47579</v>
      </c>
      <c r="K78" s="268">
        <v>46086</v>
      </c>
      <c r="L78" s="224" t="str">
        <f t="shared" si="46"/>
        <v>10630001_USD_100000014_PERDAMAN CHEMICALS &amp; FERTILISERS (FINANCE)PTY LTD</v>
      </c>
      <c r="M78" s="221">
        <f t="shared" si="26"/>
        <v>277074.12</v>
      </c>
      <c r="N78" s="24">
        <f>IF(OR(L78=$L$2,L78=$L$3),$M$10+1,IFERROR(VLOOKUP(A78,'Repricing Maturity Adj.'!$A$3:$C$170,3,0),(IF(K78&lt;$M$10,"Check",K78))))</f>
        <v>46059</v>
      </c>
      <c r="O78" s="62" t="b">
        <f t="shared" si="27"/>
        <v>1</v>
      </c>
      <c r="P78" s="63" t="str">
        <f t="shared" si="28"/>
        <v>Asset</v>
      </c>
      <c r="Q78" s="25">
        <f t="shared" si="29"/>
        <v>277074.12</v>
      </c>
      <c r="R78" s="25">
        <f t="shared" si="30"/>
        <v>0</v>
      </c>
      <c r="S78" s="25">
        <f t="shared" si="31"/>
        <v>0</v>
      </c>
      <c r="T78" s="25">
        <f t="shared" si="32"/>
        <v>0</v>
      </c>
      <c r="U78" s="25">
        <f t="shared" si="33"/>
        <v>0</v>
      </c>
      <c r="V78" s="25">
        <f t="shared" si="34"/>
        <v>0</v>
      </c>
      <c r="W78" s="25">
        <f t="shared" si="35"/>
        <v>0</v>
      </c>
      <c r="X78" s="64">
        <f t="shared" si="36"/>
        <v>0</v>
      </c>
      <c r="Y78" s="64">
        <f t="shared" si="37"/>
        <v>0</v>
      </c>
      <c r="Z78" s="64">
        <f t="shared" si="38"/>
        <v>0</v>
      </c>
      <c r="AA78" s="64">
        <f t="shared" si="39"/>
        <v>0</v>
      </c>
      <c r="AB78" s="64">
        <f t="shared" si="40"/>
        <v>0</v>
      </c>
      <c r="AC78" s="64">
        <f t="shared" si="41"/>
        <v>0</v>
      </c>
      <c r="AD78" s="64">
        <f t="shared" si="42"/>
        <v>0</v>
      </c>
      <c r="AE78" s="64">
        <f t="shared" si="43"/>
        <v>0</v>
      </c>
      <c r="AF78" s="64">
        <f t="shared" si="44"/>
        <v>0</v>
      </c>
      <c r="AG78" s="29">
        <f t="shared" si="45"/>
        <v>0</v>
      </c>
    </row>
    <row r="79" spans="1:33" s="20" customFormat="1">
      <c r="A79" s="265">
        <v>10630001</v>
      </c>
      <c r="B79" s="265" t="s">
        <v>308</v>
      </c>
      <c r="C79" s="265" t="s">
        <v>614</v>
      </c>
      <c r="D79" s="265">
        <v>100000014</v>
      </c>
      <c r="E79" s="265" t="s">
        <v>278</v>
      </c>
      <c r="F79" s="265" t="s">
        <v>301</v>
      </c>
      <c r="G79" s="266">
        <v>1612903.23</v>
      </c>
      <c r="H79" s="266">
        <v>2304805.9900000002</v>
      </c>
      <c r="I79" s="268">
        <v>45715</v>
      </c>
      <c r="J79" s="268">
        <v>47579</v>
      </c>
      <c r="K79" s="268">
        <v>46086</v>
      </c>
      <c r="L79" s="224" t="str">
        <f t="shared" si="46"/>
        <v>10630001_USD_100000014_PERDAMAN CHEMICALS &amp; FERTILISERS (FINANCE)PTY LTD</v>
      </c>
      <c r="M79" s="221">
        <f t="shared" si="26"/>
        <v>2304805.9900000002</v>
      </c>
      <c r="N79" s="24">
        <f>IF(OR(L79=$L$2,L79=$L$3),$M$10+1,IFERROR(VLOOKUP(A79,'Repricing Maturity Adj.'!$A$3:$C$170,3,0),(IF(K79&lt;$M$10,"Check",K79))))</f>
        <v>46059</v>
      </c>
      <c r="O79" s="62" t="b">
        <f t="shared" si="27"/>
        <v>1</v>
      </c>
      <c r="P79" s="63" t="str">
        <f t="shared" si="28"/>
        <v>Asset</v>
      </c>
      <c r="Q79" s="25">
        <f t="shared" si="29"/>
        <v>2304805.9900000002</v>
      </c>
      <c r="R79" s="25">
        <f t="shared" si="30"/>
        <v>0</v>
      </c>
      <c r="S79" s="25">
        <f t="shared" si="31"/>
        <v>0</v>
      </c>
      <c r="T79" s="25">
        <f t="shared" si="32"/>
        <v>0</v>
      </c>
      <c r="U79" s="25">
        <f t="shared" si="33"/>
        <v>0</v>
      </c>
      <c r="V79" s="25">
        <f t="shared" si="34"/>
        <v>0</v>
      </c>
      <c r="W79" s="25">
        <f t="shared" si="35"/>
        <v>0</v>
      </c>
      <c r="X79" s="64">
        <f t="shared" si="36"/>
        <v>0</v>
      </c>
      <c r="Y79" s="64">
        <f t="shared" si="37"/>
        <v>0</v>
      </c>
      <c r="Z79" s="64">
        <f t="shared" si="38"/>
        <v>0</v>
      </c>
      <c r="AA79" s="64">
        <f t="shared" si="39"/>
        <v>0</v>
      </c>
      <c r="AB79" s="64">
        <f t="shared" si="40"/>
        <v>0</v>
      </c>
      <c r="AC79" s="64">
        <f t="shared" si="41"/>
        <v>0</v>
      </c>
      <c r="AD79" s="64">
        <f t="shared" si="42"/>
        <v>0</v>
      </c>
      <c r="AE79" s="64">
        <f t="shared" si="43"/>
        <v>0</v>
      </c>
      <c r="AF79" s="64">
        <f t="shared" si="44"/>
        <v>0</v>
      </c>
      <c r="AG79" s="29">
        <f t="shared" si="45"/>
        <v>0</v>
      </c>
    </row>
    <row r="80" spans="1:33" s="20" customFormat="1">
      <c r="A80" s="265">
        <v>10630001</v>
      </c>
      <c r="B80" s="265" t="s">
        <v>308</v>
      </c>
      <c r="C80" s="265" t="s">
        <v>615</v>
      </c>
      <c r="D80" s="265">
        <v>100000014</v>
      </c>
      <c r="E80" s="265" t="s">
        <v>278</v>
      </c>
      <c r="F80" s="265" t="s">
        <v>301</v>
      </c>
      <c r="G80" s="266">
        <v>181759.33</v>
      </c>
      <c r="H80" s="266">
        <v>259730.39</v>
      </c>
      <c r="I80" s="268">
        <v>45729</v>
      </c>
      <c r="J80" s="268">
        <v>47579</v>
      </c>
      <c r="K80" s="268">
        <v>46086</v>
      </c>
      <c r="L80" s="224" t="str">
        <f t="shared" si="46"/>
        <v>10630001_USD_100000014_PERDAMAN CHEMICALS &amp; FERTILISERS (FINANCE)PTY LTD</v>
      </c>
      <c r="M80" s="221">
        <f t="shared" si="26"/>
        <v>259730.39</v>
      </c>
      <c r="N80" s="24">
        <f>IF(OR(L80=$L$2,L80=$L$3),$M$10+1,IFERROR(VLOOKUP(A80,'Repricing Maturity Adj.'!$A$3:$C$170,3,0),(IF(K80&lt;$M$10,"Check",K80))))</f>
        <v>46059</v>
      </c>
      <c r="O80" s="62" t="b">
        <f t="shared" si="27"/>
        <v>1</v>
      </c>
      <c r="P80" s="63" t="str">
        <f t="shared" si="28"/>
        <v>Asset</v>
      </c>
      <c r="Q80" s="25">
        <f t="shared" si="29"/>
        <v>259730.39</v>
      </c>
      <c r="R80" s="25">
        <f t="shared" si="30"/>
        <v>0</v>
      </c>
      <c r="S80" s="25">
        <f t="shared" si="31"/>
        <v>0</v>
      </c>
      <c r="T80" s="25">
        <f t="shared" si="32"/>
        <v>0</v>
      </c>
      <c r="U80" s="25">
        <f t="shared" si="33"/>
        <v>0</v>
      </c>
      <c r="V80" s="25">
        <f t="shared" si="34"/>
        <v>0</v>
      </c>
      <c r="W80" s="25">
        <f t="shared" si="35"/>
        <v>0</v>
      </c>
      <c r="X80" s="64">
        <f t="shared" si="36"/>
        <v>0</v>
      </c>
      <c r="Y80" s="64">
        <f t="shared" si="37"/>
        <v>0</v>
      </c>
      <c r="Z80" s="64">
        <f t="shared" si="38"/>
        <v>0</v>
      </c>
      <c r="AA80" s="64">
        <f t="shared" si="39"/>
        <v>0</v>
      </c>
      <c r="AB80" s="64">
        <f t="shared" si="40"/>
        <v>0</v>
      </c>
      <c r="AC80" s="64">
        <f t="shared" si="41"/>
        <v>0</v>
      </c>
      <c r="AD80" s="64">
        <f t="shared" si="42"/>
        <v>0</v>
      </c>
      <c r="AE80" s="64">
        <f t="shared" si="43"/>
        <v>0</v>
      </c>
      <c r="AF80" s="64">
        <f t="shared" si="44"/>
        <v>0</v>
      </c>
      <c r="AG80" s="29">
        <f t="shared" si="45"/>
        <v>0</v>
      </c>
    </row>
    <row r="81" spans="1:33" s="20" customFormat="1">
      <c r="A81" s="265">
        <v>10630001</v>
      </c>
      <c r="B81" s="265" t="s">
        <v>308</v>
      </c>
      <c r="C81" s="265" t="s">
        <v>616</v>
      </c>
      <c r="D81" s="265">
        <v>100000014</v>
      </c>
      <c r="E81" s="265" t="s">
        <v>278</v>
      </c>
      <c r="F81" s="265" t="s">
        <v>301</v>
      </c>
      <c r="G81" s="266">
        <v>881720.43</v>
      </c>
      <c r="H81" s="266">
        <v>1259960.6000000001</v>
      </c>
      <c r="I81" s="268">
        <v>45747</v>
      </c>
      <c r="J81" s="268">
        <v>47579</v>
      </c>
      <c r="K81" s="268">
        <v>46086</v>
      </c>
      <c r="L81" s="224" t="str">
        <f t="shared" si="46"/>
        <v>10630001_USD_100000014_PERDAMAN CHEMICALS &amp; FERTILISERS (FINANCE)PTY LTD</v>
      </c>
      <c r="M81" s="221">
        <f t="shared" si="26"/>
        <v>1259960.6000000001</v>
      </c>
      <c r="N81" s="24">
        <f>IF(OR(L81=$L$2,L81=$L$3),$M$10+1,IFERROR(VLOOKUP(A81,'Repricing Maturity Adj.'!$A$3:$C$170,3,0),(IF(K81&lt;$M$10,"Check",K81))))</f>
        <v>46059</v>
      </c>
      <c r="O81" s="62" t="b">
        <f t="shared" si="27"/>
        <v>1</v>
      </c>
      <c r="P81" s="63" t="str">
        <f t="shared" si="28"/>
        <v>Asset</v>
      </c>
      <c r="Q81" s="25">
        <f t="shared" si="29"/>
        <v>1259960.6000000001</v>
      </c>
      <c r="R81" s="25">
        <f t="shared" si="30"/>
        <v>0</v>
      </c>
      <c r="S81" s="25">
        <f t="shared" si="31"/>
        <v>0</v>
      </c>
      <c r="T81" s="25">
        <f t="shared" si="32"/>
        <v>0</v>
      </c>
      <c r="U81" s="25">
        <f t="shared" si="33"/>
        <v>0</v>
      </c>
      <c r="V81" s="25">
        <f t="shared" si="34"/>
        <v>0</v>
      </c>
      <c r="W81" s="25">
        <f t="shared" si="35"/>
        <v>0</v>
      </c>
      <c r="X81" s="64">
        <f t="shared" si="36"/>
        <v>0</v>
      </c>
      <c r="Y81" s="64">
        <f t="shared" si="37"/>
        <v>0</v>
      </c>
      <c r="Z81" s="64">
        <f t="shared" si="38"/>
        <v>0</v>
      </c>
      <c r="AA81" s="64">
        <f t="shared" si="39"/>
        <v>0</v>
      </c>
      <c r="AB81" s="64">
        <f t="shared" si="40"/>
        <v>0</v>
      </c>
      <c r="AC81" s="64">
        <f t="shared" si="41"/>
        <v>0</v>
      </c>
      <c r="AD81" s="64">
        <f t="shared" si="42"/>
        <v>0</v>
      </c>
      <c r="AE81" s="64">
        <f t="shared" si="43"/>
        <v>0</v>
      </c>
      <c r="AF81" s="64">
        <f t="shared" si="44"/>
        <v>0</v>
      </c>
      <c r="AG81" s="29">
        <f t="shared" si="45"/>
        <v>0</v>
      </c>
    </row>
    <row r="82" spans="1:33" s="20" customFormat="1">
      <c r="A82" s="265">
        <v>10630001</v>
      </c>
      <c r="B82" s="265" t="s">
        <v>308</v>
      </c>
      <c r="C82" s="265" t="s">
        <v>638</v>
      </c>
      <c r="D82" s="265">
        <v>100000014</v>
      </c>
      <c r="E82" s="265" t="s">
        <v>278</v>
      </c>
      <c r="F82" s="265" t="s">
        <v>301</v>
      </c>
      <c r="G82" s="266">
        <v>194565.68</v>
      </c>
      <c r="H82" s="266">
        <v>278030.40999999997</v>
      </c>
      <c r="I82" s="268">
        <v>45758</v>
      </c>
      <c r="J82" s="268">
        <v>47579</v>
      </c>
      <c r="K82" s="268">
        <v>46086</v>
      </c>
      <c r="L82" s="224" t="str">
        <f t="shared" si="46"/>
        <v>10630001_USD_100000014_PERDAMAN CHEMICALS &amp; FERTILISERS (FINANCE)PTY LTD</v>
      </c>
      <c r="M82" s="221">
        <f t="shared" si="26"/>
        <v>278030.40999999997</v>
      </c>
      <c r="N82" s="24">
        <f>IF(OR(L82=$L$2,L82=$L$3),$M$10+1,IFERROR(VLOOKUP(A82,'Repricing Maturity Adj.'!$A$3:$C$170,3,0),(IF(K82&lt;$M$10,"Check",K82))))</f>
        <v>46059</v>
      </c>
      <c r="O82" s="62" t="b">
        <f t="shared" si="27"/>
        <v>1</v>
      </c>
      <c r="P82" s="63" t="str">
        <f t="shared" si="28"/>
        <v>Asset</v>
      </c>
      <c r="Q82" s="25">
        <f t="shared" si="29"/>
        <v>278030.40999999997</v>
      </c>
      <c r="R82" s="25">
        <f t="shared" si="30"/>
        <v>0</v>
      </c>
      <c r="S82" s="25">
        <f t="shared" si="31"/>
        <v>0</v>
      </c>
      <c r="T82" s="25">
        <f t="shared" si="32"/>
        <v>0</v>
      </c>
      <c r="U82" s="25">
        <f t="shared" si="33"/>
        <v>0</v>
      </c>
      <c r="V82" s="25">
        <f t="shared" si="34"/>
        <v>0</v>
      </c>
      <c r="W82" s="25">
        <f t="shared" si="35"/>
        <v>0</v>
      </c>
      <c r="X82" s="64">
        <f t="shared" si="36"/>
        <v>0</v>
      </c>
      <c r="Y82" s="64">
        <f t="shared" si="37"/>
        <v>0</v>
      </c>
      <c r="Z82" s="64">
        <f t="shared" si="38"/>
        <v>0</v>
      </c>
      <c r="AA82" s="64">
        <f t="shared" si="39"/>
        <v>0</v>
      </c>
      <c r="AB82" s="64">
        <f t="shared" si="40"/>
        <v>0</v>
      </c>
      <c r="AC82" s="64">
        <f t="shared" si="41"/>
        <v>0</v>
      </c>
      <c r="AD82" s="64">
        <f t="shared" si="42"/>
        <v>0</v>
      </c>
      <c r="AE82" s="64">
        <f t="shared" si="43"/>
        <v>0</v>
      </c>
      <c r="AF82" s="64">
        <f t="shared" si="44"/>
        <v>0</v>
      </c>
      <c r="AG82" s="29">
        <f t="shared" si="45"/>
        <v>0</v>
      </c>
    </row>
    <row r="83" spans="1:33" s="20" customFormat="1">
      <c r="A83" s="265">
        <v>10630001</v>
      </c>
      <c r="B83" s="265" t="s">
        <v>308</v>
      </c>
      <c r="C83" s="265" t="s">
        <v>639</v>
      </c>
      <c r="D83" s="265">
        <v>100000014</v>
      </c>
      <c r="E83" s="265" t="s">
        <v>278</v>
      </c>
      <c r="F83" s="265" t="s">
        <v>301</v>
      </c>
      <c r="G83" s="266">
        <v>3096774.19</v>
      </c>
      <c r="H83" s="266">
        <v>4425227.4800000004</v>
      </c>
      <c r="I83" s="268">
        <v>45769</v>
      </c>
      <c r="J83" s="268">
        <v>47579</v>
      </c>
      <c r="K83" s="268">
        <v>46086</v>
      </c>
      <c r="L83" s="224" t="str">
        <f t="shared" si="46"/>
        <v>10630001_USD_100000014_PERDAMAN CHEMICALS &amp; FERTILISERS (FINANCE)PTY LTD</v>
      </c>
      <c r="M83" s="221">
        <f t="shared" si="26"/>
        <v>4425227.4800000004</v>
      </c>
      <c r="N83" s="24">
        <f>IF(OR(L83=$L$2,L83=$L$3),$M$10+1,IFERROR(VLOOKUP(A83,'Repricing Maturity Adj.'!$A$3:$C$170,3,0),(IF(K83&lt;$M$10,"Check",K83))))</f>
        <v>46059</v>
      </c>
      <c r="O83" s="62" t="b">
        <f t="shared" si="27"/>
        <v>1</v>
      </c>
      <c r="P83" s="63" t="str">
        <f t="shared" si="28"/>
        <v>Asset</v>
      </c>
      <c r="Q83" s="25">
        <f t="shared" si="29"/>
        <v>4425227.4800000004</v>
      </c>
      <c r="R83" s="25">
        <f t="shared" si="30"/>
        <v>0</v>
      </c>
      <c r="S83" s="25">
        <f t="shared" si="31"/>
        <v>0</v>
      </c>
      <c r="T83" s="25">
        <f t="shared" si="32"/>
        <v>0</v>
      </c>
      <c r="U83" s="25">
        <f t="shared" si="33"/>
        <v>0</v>
      </c>
      <c r="V83" s="25">
        <f t="shared" si="34"/>
        <v>0</v>
      </c>
      <c r="W83" s="25">
        <f t="shared" si="35"/>
        <v>0</v>
      </c>
      <c r="X83" s="64">
        <f t="shared" si="36"/>
        <v>0</v>
      </c>
      <c r="Y83" s="64">
        <f t="shared" si="37"/>
        <v>0</v>
      </c>
      <c r="Z83" s="64">
        <f t="shared" si="38"/>
        <v>0</v>
      </c>
      <c r="AA83" s="64">
        <f t="shared" si="39"/>
        <v>0</v>
      </c>
      <c r="AB83" s="64">
        <f t="shared" si="40"/>
        <v>0</v>
      </c>
      <c r="AC83" s="64">
        <f t="shared" si="41"/>
        <v>0</v>
      </c>
      <c r="AD83" s="64">
        <f t="shared" si="42"/>
        <v>0</v>
      </c>
      <c r="AE83" s="64">
        <f t="shared" si="43"/>
        <v>0</v>
      </c>
      <c r="AF83" s="64">
        <f t="shared" si="44"/>
        <v>0</v>
      </c>
      <c r="AG83" s="29">
        <f t="shared" si="45"/>
        <v>0</v>
      </c>
    </row>
    <row r="84" spans="1:33" s="20" customFormat="1">
      <c r="A84" s="265">
        <v>10630001</v>
      </c>
      <c r="B84" s="265" t="s">
        <v>308</v>
      </c>
      <c r="C84" s="265" t="s">
        <v>640</v>
      </c>
      <c r="D84" s="265">
        <v>100000014</v>
      </c>
      <c r="E84" s="265" t="s">
        <v>278</v>
      </c>
      <c r="F84" s="265" t="s">
        <v>301</v>
      </c>
      <c r="G84" s="266">
        <v>200948.8</v>
      </c>
      <c r="H84" s="266">
        <v>287151.76</v>
      </c>
      <c r="I84" s="268">
        <v>45786</v>
      </c>
      <c r="J84" s="268">
        <v>47579</v>
      </c>
      <c r="K84" s="268">
        <v>46086</v>
      </c>
      <c r="L84" s="224" t="str">
        <f t="shared" si="46"/>
        <v>10630001_USD_100000014_PERDAMAN CHEMICALS &amp; FERTILISERS (FINANCE)PTY LTD</v>
      </c>
      <c r="M84" s="221">
        <f t="shared" si="26"/>
        <v>287151.76</v>
      </c>
      <c r="N84" s="24">
        <f>IF(OR(L84=$L$2,L84=$L$3),$M$10+1,IFERROR(VLOOKUP(A84,'Repricing Maturity Adj.'!$A$3:$C$170,3,0),(IF(K84&lt;$M$10,"Check",K84))))</f>
        <v>46059</v>
      </c>
      <c r="O84" s="62" t="b">
        <f t="shared" si="27"/>
        <v>1</v>
      </c>
      <c r="P84" s="63" t="str">
        <f t="shared" si="28"/>
        <v>Asset</v>
      </c>
      <c r="Q84" s="25">
        <f t="shared" si="29"/>
        <v>287151.76</v>
      </c>
      <c r="R84" s="25">
        <f t="shared" si="30"/>
        <v>0</v>
      </c>
      <c r="S84" s="25">
        <f t="shared" si="31"/>
        <v>0</v>
      </c>
      <c r="T84" s="25">
        <f t="shared" si="32"/>
        <v>0</v>
      </c>
      <c r="U84" s="25">
        <f t="shared" si="33"/>
        <v>0</v>
      </c>
      <c r="V84" s="25">
        <f t="shared" si="34"/>
        <v>0</v>
      </c>
      <c r="W84" s="25">
        <f t="shared" si="35"/>
        <v>0</v>
      </c>
      <c r="X84" s="64">
        <f t="shared" si="36"/>
        <v>0</v>
      </c>
      <c r="Y84" s="64">
        <f t="shared" si="37"/>
        <v>0</v>
      </c>
      <c r="Z84" s="64">
        <f t="shared" si="38"/>
        <v>0</v>
      </c>
      <c r="AA84" s="64">
        <f t="shared" si="39"/>
        <v>0</v>
      </c>
      <c r="AB84" s="64">
        <f t="shared" si="40"/>
        <v>0</v>
      </c>
      <c r="AC84" s="64">
        <f t="shared" si="41"/>
        <v>0</v>
      </c>
      <c r="AD84" s="64">
        <f t="shared" si="42"/>
        <v>0</v>
      </c>
      <c r="AE84" s="64">
        <f t="shared" si="43"/>
        <v>0</v>
      </c>
      <c r="AF84" s="64">
        <f t="shared" si="44"/>
        <v>0</v>
      </c>
      <c r="AG84" s="29">
        <f t="shared" si="45"/>
        <v>0</v>
      </c>
    </row>
    <row r="85" spans="1:33" s="20" customFormat="1">
      <c r="A85" s="265">
        <v>10630001</v>
      </c>
      <c r="B85" s="265" t="s">
        <v>308</v>
      </c>
      <c r="C85" s="265" t="s">
        <v>641</v>
      </c>
      <c r="D85" s="265">
        <v>100000014</v>
      </c>
      <c r="E85" s="265" t="s">
        <v>278</v>
      </c>
      <c r="F85" s="265" t="s">
        <v>301</v>
      </c>
      <c r="G85" s="266">
        <v>2043010.75</v>
      </c>
      <c r="H85" s="266">
        <v>2919420.91</v>
      </c>
      <c r="I85" s="268">
        <v>45799</v>
      </c>
      <c r="J85" s="268">
        <v>47579</v>
      </c>
      <c r="K85" s="268">
        <v>46086</v>
      </c>
      <c r="L85" s="224" t="str">
        <f t="shared" si="46"/>
        <v>10630001_USD_100000014_PERDAMAN CHEMICALS &amp; FERTILISERS (FINANCE)PTY LTD</v>
      </c>
      <c r="M85" s="221">
        <f t="shared" si="26"/>
        <v>2919420.91</v>
      </c>
      <c r="N85" s="24">
        <f>IF(OR(L85=$L$2,L85=$L$3),$M$10+1,IFERROR(VLOOKUP(A85,'Repricing Maturity Adj.'!$A$3:$C$170,3,0),(IF(K85&lt;$M$10,"Check",K85))))</f>
        <v>46059</v>
      </c>
      <c r="O85" s="62" t="b">
        <f t="shared" si="27"/>
        <v>1</v>
      </c>
      <c r="P85" s="63" t="str">
        <f t="shared" si="28"/>
        <v>Asset</v>
      </c>
      <c r="Q85" s="25">
        <f t="shared" si="29"/>
        <v>2919420.91</v>
      </c>
      <c r="R85" s="25">
        <f t="shared" si="30"/>
        <v>0</v>
      </c>
      <c r="S85" s="25">
        <f t="shared" si="31"/>
        <v>0</v>
      </c>
      <c r="T85" s="25">
        <f t="shared" si="32"/>
        <v>0</v>
      </c>
      <c r="U85" s="25">
        <f t="shared" si="33"/>
        <v>0</v>
      </c>
      <c r="V85" s="25">
        <f t="shared" si="34"/>
        <v>0</v>
      </c>
      <c r="W85" s="25">
        <f t="shared" si="35"/>
        <v>0</v>
      </c>
      <c r="X85" s="64">
        <f t="shared" si="36"/>
        <v>0</v>
      </c>
      <c r="Y85" s="64">
        <f t="shared" si="37"/>
        <v>0</v>
      </c>
      <c r="Z85" s="64">
        <f t="shared" si="38"/>
        <v>0</v>
      </c>
      <c r="AA85" s="64">
        <f t="shared" si="39"/>
        <v>0</v>
      </c>
      <c r="AB85" s="64">
        <f t="shared" si="40"/>
        <v>0</v>
      </c>
      <c r="AC85" s="64">
        <f t="shared" si="41"/>
        <v>0</v>
      </c>
      <c r="AD85" s="64">
        <f t="shared" si="42"/>
        <v>0</v>
      </c>
      <c r="AE85" s="64">
        <f t="shared" si="43"/>
        <v>0</v>
      </c>
      <c r="AF85" s="64">
        <f t="shared" si="44"/>
        <v>0</v>
      </c>
      <c r="AG85" s="29">
        <f t="shared" si="45"/>
        <v>0</v>
      </c>
    </row>
    <row r="86" spans="1:33" s="20" customFormat="1">
      <c r="A86" s="265">
        <v>10630001</v>
      </c>
      <c r="B86" s="265" t="s">
        <v>308</v>
      </c>
      <c r="C86" s="265" t="s">
        <v>642</v>
      </c>
      <c r="D86" s="265">
        <v>100000014</v>
      </c>
      <c r="E86" s="265" t="s">
        <v>278</v>
      </c>
      <c r="F86" s="265" t="s">
        <v>301</v>
      </c>
      <c r="G86" s="266">
        <v>243134.07999999999</v>
      </c>
      <c r="H86" s="266">
        <v>347433.67</v>
      </c>
      <c r="I86" s="268">
        <v>45818</v>
      </c>
      <c r="J86" s="268">
        <v>47579</v>
      </c>
      <c r="K86" s="268">
        <v>46086</v>
      </c>
      <c r="L86" s="224" t="str">
        <f t="shared" si="46"/>
        <v>10630001_USD_100000014_PERDAMAN CHEMICALS &amp; FERTILISERS (FINANCE)PTY LTD</v>
      </c>
      <c r="M86" s="221">
        <f t="shared" si="26"/>
        <v>347433.67</v>
      </c>
      <c r="N86" s="24">
        <f>IF(OR(L86=$L$2,L86=$L$3),$M$10+1,IFERROR(VLOOKUP(A86,'Repricing Maturity Adj.'!$A$3:$C$170,3,0),(IF(K86&lt;$M$10,"Check",K86))))</f>
        <v>46059</v>
      </c>
      <c r="O86" s="62" t="b">
        <f t="shared" si="27"/>
        <v>1</v>
      </c>
      <c r="P86" s="63" t="str">
        <f t="shared" si="28"/>
        <v>Asset</v>
      </c>
      <c r="Q86" s="25">
        <f t="shared" si="29"/>
        <v>347433.67</v>
      </c>
      <c r="R86" s="25">
        <f t="shared" si="30"/>
        <v>0</v>
      </c>
      <c r="S86" s="25">
        <f t="shared" si="31"/>
        <v>0</v>
      </c>
      <c r="T86" s="25">
        <f t="shared" si="32"/>
        <v>0</v>
      </c>
      <c r="U86" s="25">
        <f t="shared" si="33"/>
        <v>0</v>
      </c>
      <c r="V86" s="25">
        <f t="shared" si="34"/>
        <v>0</v>
      </c>
      <c r="W86" s="25">
        <f t="shared" si="35"/>
        <v>0</v>
      </c>
      <c r="X86" s="64">
        <f t="shared" si="36"/>
        <v>0</v>
      </c>
      <c r="Y86" s="64">
        <f t="shared" si="37"/>
        <v>0</v>
      </c>
      <c r="Z86" s="64">
        <f t="shared" si="38"/>
        <v>0</v>
      </c>
      <c r="AA86" s="64">
        <f t="shared" si="39"/>
        <v>0</v>
      </c>
      <c r="AB86" s="64">
        <f t="shared" si="40"/>
        <v>0</v>
      </c>
      <c r="AC86" s="64">
        <f t="shared" si="41"/>
        <v>0</v>
      </c>
      <c r="AD86" s="64">
        <f t="shared" si="42"/>
        <v>0</v>
      </c>
      <c r="AE86" s="64">
        <f t="shared" si="43"/>
        <v>0</v>
      </c>
      <c r="AF86" s="64">
        <f t="shared" si="44"/>
        <v>0</v>
      </c>
      <c r="AG86" s="29">
        <f t="shared" si="45"/>
        <v>0</v>
      </c>
    </row>
    <row r="87" spans="1:33" s="20" customFormat="1">
      <c r="A87" s="265">
        <v>10630001</v>
      </c>
      <c r="B87" s="265" t="s">
        <v>308</v>
      </c>
      <c r="C87" s="265" t="s">
        <v>643</v>
      </c>
      <c r="D87" s="265">
        <v>100000014</v>
      </c>
      <c r="E87" s="265" t="s">
        <v>278</v>
      </c>
      <c r="F87" s="265" t="s">
        <v>301</v>
      </c>
      <c r="G87" s="266">
        <v>1526881.72</v>
      </c>
      <c r="H87" s="266">
        <v>2181883</v>
      </c>
      <c r="I87" s="268">
        <v>45831</v>
      </c>
      <c r="J87" s="268">
        <v>47579</v>
      </c>
      <c r="K87" s="268">
        <v>46086</v>
      </c>
      <c r="L87" s="224" t="str">
        <f t="shared" si="46"/>
        <v>10630001_USD_100000014_PERDAMAN CHEMICALS &amp; FERTILISERS (FINANCE)PTY LTD</v>
      </c>
      <c r="M87" s="221">
        <f t="shared" si="26"/>
        <v>2181883</v>
      </c>
      <c r="N87" s="24">
        <f>IF(OR(L87=$L$2,L87=$L$3),$M$10+1,IFERROR(VLOOKUP(A87,'Repricing Maturity Adj.'!$A$3:$C$170,3,0),(IF(K87&lt;$M$10,"Check",K87))))</f>
        <v>46059</v>
      </c>
      <c r="O87" s="62" t="b">
        <f t="shared" si="27"/>
        <v>1</v>
      </c>
      <c r="P87" s="63" t="str">
        <f t="shared" si="28"/>
        <v>Asset</v>
      </c>
      <c r="Q87" s="25">
        <f t="shared" si="29"/>
        <v>2181883</v>
      </c>
      <c r="R87" s="25">
        <f t="shared" si="30"/>
        <v>0</v>
      </c>
      <c r="S87" s="25">
        <f t="shared" si="31"/>
        <v>0</v>
      </c>
      <c r="T87" s="25">
        <f t="shared" si="32"/>
        <v>0</v>
      </c>
      <c r="U87" s="25">
        <f t="shared" si="33"/>
        <v>0</v>
      </c>
      <c r="V87" s="25">
        <f t="shared" si="34"/>
        <v>0</v>
      </c>
      <c r="W87" s="25">
        <f t="shared" si="35"/>
        <v>0</v>
      </c>
      <c r="X87" s="64">
        <f t="shared" si="36"/>
        <v>0</v>
      </c>
      <c r="Y87" s="64">
        <f t="shared" si="37"/>
        <v>0</v>
      </c>
      <c r="Z87" s="64">
        <f t="shared" si="38"/>
        <v>0</v>
      </c>
      <c r="AA87" s="64">
        <f t="shared" si="39"/>
        <v>0</v>
      </c>
      <c r="AB87" s="64">
        <f t="shared" si="40"/>
        <v>0</v>
      </c>
      <c r="AC87" s="64">
        <f t="shared" si="41"/>
        <v>0</v>
      </c>
      <c r="AD87" s="64">
        <f t="shared" si="42"/>
        <v>0</v>
      </c>
      <c r="AE87" s="64">
        <f t="shared" si="43"/>
        <v>0</v>
      </c>
      <c r="AF87" s="64">
        <f t="shared" si="44"/>
        <v>0</v>
      </c>
      <c r="AG87" s="29">
        <f t="shared" si="45"/>
        <v>0</v>
      </c>
    </row>
    <row r="88" spans="1:33" s="20" customFormat="1">
      <c r="A88" s="265">
        <v>10630001</v>
      </c>
      <c r="B88" s="265" t="s">
        <v>308</v>
      </c>
      <c r="C88" s="265" t="s">
        <v>822</v>
      </c>
      <c r="D88" s="265">
        <v>100000014</v>
      </c>
      <c r="E88" s="265" t="s">
        <v>278</v>
      </c>
      <c r="F88" s="265" t="s">
        <v>301</v>
      </c>
      <c r="G88" s="266">
        <v>230276.69</v>
      </c>
      <c r="H88" s="266">
        <v>329060.71999999997</v>
      </c>
      <c r="I88" s="268">
        <v>45847</v>
      </c>
      <c r="J88" s="268">
        <v>47579</v>
      </c>
      <c r="K88" s="268">
        <v>46086</v>
      </c>
      <c r="L88" s="224" t="str">
        <f t="shared" si="46"/>
        <v>10630001_USD_100000014_PERDAMAN CHEMICALS &amp; FERTILISERS (FINANCE)PTY LTD</v>
      </c>
      <c r="M88" s="221">
        <f t="shared" si="26"/>
        <v>329060.71999999997</v>
      </c>
      <c r="N88" s="24">
        <f>IF(OR(L88=$L$2,L88=$L$3),$M$10+1,IFERROR(VLOOKUP(A88,'Repricing Maturity Adj.'!$A$3:$C$170,3,0),(IF(K88&lt;$M$10,"Check",K88))))</f>
        <v>46059</v>
      </c>
      <c r="O88" s="62" t="b">
        <f t="shared" si="27"/>
        <v>1</v>
      </c>
      <c r="P88" s="63" t="str">
        <f t="shared" si="28"/>
        <v>Asset</v>
      </c>
      <c r="Q88" s="25">
        <f t="shared" si="29"/>
        <v>329060.71999999997</v>
      </c>
      <c r="R88" s="25">
        <f t="shared" si="30"/>
        <v>0</v>
      </c>
      <c r="S88" s="25">
        <f t="shared" si="31"/>
        <v>0</v>
      </c>
      <c r="T88" s="25">
        <f t="shared" si="32"/>
        <v>0</v>
      </c>
      <c r="U88" s="25">
        <f t="shared" si="33"/>
        <v>0</v>
      </c>
      <c r="V88" s="25">
        <f t="shared" si="34"/>
        <v>0</v>
      </c>
      <c r="W88" s="25">
        <f t="shared" si="35"/>
        <v>0</v>
      </c>
      <c r="X88" s="64">
        <f t="shared" si="36"/>
        <v>0</v>
      </c>
      <c r="Y88" s="64">
        <f t="shared" si="37"/>
        <v>0</v>
      </c>
      <c r="Z88" s="64">
        <f t="shared" si="38"/>
        <v>0</v>
      </c>
      <c r="AA88" s="64">
        <f t="shared" si="39"/>
        <v>0</v>
      </c>
      <c r="AB88" s="64">
        <f t="shared" si="40"/>
        <v>0</v>
      </c>
      <c r="AC88" s="64">
        <f t="shared" si="41"/>
        <v>0</v>
      </c>
      <c r="AD88" s="64">
        <f t="shared" si="42"/>
        <v>0</v>
      </c>
      <c r="AE88" s="64">
        <f t="shared" si="43"/>
        <v>0</v>
      </c>
      <c r="AF88" s="64">
        <f t="shared" si="44"/>
        <v>0</v>
      </c>
      <c r="AG88" s="29">
        <f t="shared" si="45"/>
        <v>0</v>
      </c>
    </row>
    <row r="89" spans="1:33" s="20" customFormat="1">
      <c r="A89" s="265">
        <v>10630001</v>
      </c>
      <c r="B89" s="265" t="s">
        <v>308</v>
      </c>
      <c r="C89" s="265" t="s">
        <v>823</v>
      </c>
      <c r="D89" s="265">
        <v>100000014</v>
      </c>
      <c r="E89" s="265" t="s">
        <v>278</v>
      </c>
      <c r="F89" s="265" t="s">
        <v>301</v>
      </c>
      <c r="G89" s="266">
        <v>2236559.14</v>
      </c>
      <c r="H89" s="266">
        <v>3195997.63</v>
      </c>
      <c r="I89" s="268">
        <v>45862</v>
      </c>
      <c r="J89" s="268">
        <v>47579</v>
      </c>
      <c r="K89" s="268">
        <v>46086</v>
      </c>
      <c r="L89" s="224" t="str">
        <f t="shared" si="46"/>
        <v>10630001_USD_100000014_PERDAMAN CHEMICALS &amp; FERTILISERS (FINANCE)PTY LTD</v>
      </c>
      <c r="M89" s="221">
        <f t="shared" si="26"/>
        <v>3195997.63</v>
      </c>
      <c r="N89" s="24">
        <f>IF(OR(L89=$L$2,L89=$L$3),$M$10+1,IFERROR(VLOOKUP(A89,'Repricing Maturity Adj.'!$A$3:$C$170,3,0),(IF(K89&lt;$M$10,"Check",K89))))</f>
        <v>46059</v>
      </c>
      <c r="O89" s="62" t="b">
        <f t="shared" si="27"/>
        <v>1</v>
      </c>
      <c r="P89" s="63" t="str">
        <f t="shared" si="28"/>
        <v>Asset</v>
      </c>
      <c r="Q89" s="25">
        <f t="shared" si="29"/>
        <v>3195997.63</v>
      </c>
      <c r="R89" s="25">
        <f t="shared" si="30"/>
        <v>0</v>
      </c>
      <c r="S89" s="25">
        <f t="shared" si="31"/>
        <v>0</v>
      </c>
      <c r="T89" s="25">
        <f t="shared" si="32"/>
        <v>0</v>
      </c>
      <c r="U89" s="25">
        <f t="shared" si="33"/>
        <v>0</v>
      </c>
      <c r="V89" s="25">
        <f t="shared" si="34"/>
        <v>0</v>
      </c>
      <c r="W89" s="25">
        <f t="shared" si="35"/>
        <v>0</v>
      </c>
      <c r="X89" s="64">
        <f t="shared" si="36"/>
        <v>0</v>
      </c>
      <c r="Y89" s="64">
        <f t="shared" si="37"/>
        <v>0</v>
      </c>
      <c r="Z89" s="64">
        <f t="shared" si="38"/>
        <v>0</v>
      </c>
      <c r="AA89" s="64">
        <f t="shared" si="39"/>
        <v>0</v>
      </c>
      <c r="AB89" s="64">
        <f t="shared" si="40"/>
        <v>0</v>
      </c>
      <c r="AC89" s="64">
        <f t="shared" si="41"/>
        <v>0</v>
      </c>
      <c r="AD89" s="64">
        <f t="shared" si="42"/>
        <v>0</v>
      </c>
      <c r="AE89" s="64">
        <f t="shared" si="43"/>
        <v>0</v>
      </c>
      <c r="AF89" s="64">
        <f t="shared" si="44"/>
        <v>0</v>
      </c>
      <c r="AG89" s="29">
        <f t="shared" si="45"/>
        <v>0</v>
      </c>
    </row>
    <row r="90" spans="1:33" s="20" customFormat="1">
      <c r="A90" s="265">
        <v>10630001</v>
      </c>
      <c r="B90" s="265" t="s">
        <v>308</v>
      </c>
      <c r="C90" s="265" t="s">
        <v>824</v>
      </c>
      <c r="D90" s="265">
        <v>100000014</v>
      </c>
      <c r="E90" s="265" t="s">
        <v>278</v>
      </c>
      <c r="F90" s="265" t="s">
        <v>301</v>
      </c>
      <c r="G90" s="266">
        <v>249359.62</v>
      </c>
      <c r="H90" s="266">
        <v>356329.84</v>
      </c>
      <c r="I90" s="268">
        <v>45877</v>
      </c>
      <c r="J90" s="268">
        <v>47579</v>
      </c>
      <c r="K90" s="268">
        <v>46086</v>
      </c>
      <c r="L90" s="224" t="str">
        <f t="shared" si="46"/>
        <v>10630001_USD_100000014_PERDAMAN CHEMICALS &amp; FERTILISERS (FINANCE)PTY LTD</v>
      </c>
      <c r="M90" s="221">
        <f t="shared" si="26"/>
        <v>356329.84</v>
      </c>
      <c r="N90" s="24">
        <f>IF(OR(L90=$L$2,L90=$L$3),$M$10+1,IFERROR(VLOOKUP(A90,'Repricing Maturity Adj.'!$A$3:$C$170,3,0),(IF(K90&lt;$M$10,"Check",K90))))</f>
        <v>46059</v>
      </c>
      <c r="O90" s="62" t="b">
        <f t="shared" si="27"/>
        <v>1</v>
      </c>
      <c r="P90" s="63" t="str">
        <f t="shared" si="28"/>
        <v>Asset</v>
      </c>
      <c r="Q90" s="25">
        <f t="shared" si="29"/>
        <v>356329.84</v>
      </c>
      <c r="R90" s="25">
        <f t="shared" si="30"/>
        <v>0</v>
      </c>
      <c r="S90" s="25">
        <f t="shared" si="31"/>
        <v>0</v>
      </c>
      <c r="T90" s="25">
        <f t="shared" si="32"/>
        <v>0</v>
      </c>
      <c r="U90" s="25">
        <f t="shared" si="33"/>
        <v>0</v>
      </c>
      <c r="V90" s="25">
        <f t="shared" si="34"/>
        <v>0</v>
      </c>
      <c r="W90" s="25">
        <f t="shared" si="35"/>
        <v>0</v>
      </c>
      <c r="X90" s="64">
        <f t="shared" si="36"/>
        <v>0</v>
      </c>
      <c r="Y90" s="64">
        <f t="shared" si="37"/>
        <v>0</v>
      </c>
      <c r="Z90" s="64">
        <f t="shared" si="38"/>
        <v>0</v>
      </c>
      <c r="AA90" s="64">
        <f t="shared" si="39"/>
        <v>0</v>
      </c>
      <c r="AB90" s="64">
        <f t="shared" si="40"/>
        <v>0</v>
      </c>
      <c r="AC90" s="64">
        <f t="shared" si="41"/>
        <v>0</v>
      </c>
      <c r="AD90" s="64">
        <f t="shared" si="42"/>
        <v>0</v>
      </c>
      <c r="AE90" s="64">
        <f t="shared" si="43"/>
        <v>0</v>
      </c>
      <c r="AF90" s="64">
        <f t="shared" si="44"/>
        <v>0</v>
      </c>
      <c r="AG90" s="29">
        <f t="shared" si="45"/>
        <v>0</v>
      </c>
    </row>
    <row r="91" spans="1:33" s="20" customFormat="1">
      <c r="A91" s="265">
        <v>10630001</v>
      </c>
      <c r="B91" s="265" t="s">
        <v>308</v>
      </c>
      <c r="C91" s="265" t="s">
        <v>825</v>
      </c>
      <c r="D91" s="265">
        <v>100000014</v>
      </c>
      <c r="E91" s="265" t="s">
        <v>278</v>
      </c>
      <c r="F91" s="265" t="s">
        <v>301</v>
      </c>
      <c r="G91" s="266">
        <v>2537634.41</v>
      </c>
      <c r="H91" s="266">
        <v>3626228.08</v>
      </c>
      <c r="I91" s="268">
        <v>45891</v>
      </c>
      <c r="J91" s="268">
        <v>47579</v>
      </c>
      <c r="K91" s="268">
        <v>46086</v>
      </c>
      <c r="L91" s="224" t="str">
        <f t="shared" si="46"/>
        <v>10630001_USD_100000014_PERDAMAN CHEMICALS &amp; FERTILISERS (FINANCE)PTY LTD</v>
      </c>
      <c r="M91" s="221">
        <f t="shared" si="26"/>
        <v>3626228.08</v>
      </c>
      <c r="N91" s="24">
        <f>IF(OR(L91=$L$2,L91=$L$3),$M$10+1,IFERROR(VLOOKUP(A91,'Repricing Maturity Adj.'!$A$3:$C$170,3,0),(IF(K91&lt;$M$10,"Check",K91))))</f>
        <v>46059</v>
      </c>
      <c r="O91" s="62" t="b">
        <f t="shared" si="27"/>
        <v>1</v>
      </c>
      <c r="P91" s="63" t="str">
        <f t="shared" si="28"/>
        <v>Asset</v>
      </c>
      <c r="Q91" s="25">
        <f t="shared" si="29"/>
        <v>3626228.08</v>
      </c>
      <c r="R91" s="25">
        <f t="shared" si="30"/>
        <v>0</v>
      </c>
      <c r="S91" s="25">
        <f t="shared" si="31"/>
        <v>0</v>
      </c>
      <c r="T91" s="25">
        <f t="shared" si="32"/>
        <v>0</v>
      </c>
      <c r="U91" s="25">
        <f t="shared" si="33"/>
        <v>0</v>
      </c>
      <c r="V91" s="25">
        <f t="shared" si="34"/>
        <v>0</v>
      </c>
      <c r="W91" s="25">
        <f t="shared" si="35"/>
        <v>0</v>
      </c>
      <c r="X91" s="64">
        <f t="shared" si="36"/>
        <v>0</v>
      </c>
      <c r="Y91" s="64">
        <f t="shared" si="37"/>
        <v>0</v>
      </c>
      <c r="Z91" s="64">
        <f t="shared" si="38"/>
        <v>0</v>
      </c>
      <c r="AA91" s="64">
        <f t="shared" si="39"/>
        <v>0</v>
      </c>
      <c r="AB91" s="64">
        <f t="shared" si="40"/>
        <v>0</v>
      </c>
      <c r="AC91" s="64">
        <f t="shared" si="41"/>
        <v>0</v>
      </c>
      <c r="AD91" s="64">
        <f t="shared" si="42"/>
        <v>0</v>
      </c>
      <c r="AE91" s="64">
        <f t="shared" si="43"/>
        <v>0</v>
      </c>
      <c r="AF91" s="64">
        <f t="shared" si="44"/>
        <v>0</v>
      </c>
      <c r="AG91" s="29">
        <f t="shared" si="45"/>
        <v>0</v>
      </c>
    </row>
    <row r="92" spans="1:33" s="20" customFormat="1">
      <c r="A92" s="265">
        <v>10630001</v>
      </c>
      <c r="B92" s="265" t="s">
        <v>308</v>
      </c>
      <c r="C92" s="265" t="s">
        <v>826</v>
      </c>
      <c r="D92" s="265">
        <v>100000014</v>
      </c>
      <c r="E92" s="265" t="s">
        <v>278</v>
      </c>
      <c r="F92" s="265" t="s">
        <v>301</v>
      </c>
      <c r="G92" s="266">
        <v>272972.78000000003</v>
      </c>
      <c r="H92" s="266">
        <v>390072.56</v>
      </c>
      <c r="I92" s="268">
        <v>45908</v>
      </c>
      <c r="J92" s="268">
        <v>47579</v>
      </c>
      <c r="K92" s="268">
        <v>46086</v>
      </c>
      <c r="L92" s="224" t="str">
        <f t="shared" si="46"/>
        <v>10630001_USD_100000014_PERDAMAN CHEMICALS &amp; FERTILISERS (FINANCE)PTY LTD</v>
      </c>
      <c r="M92" s="221">
        <f t="shared" si="26"/>
        <v>390072.56</v>
      </c>
      <c r="N92" s="24">
        <f>IF(OR(L92=$L$2,L92=$L$3),$M$10+1,IFERROR(VLOOKUP(A92,'Repricing Maturity Adj.'!$A$3:$C$170,3,0),(IF(K92&lt;$M$10,"Check",K92))))</f>
        <v>46059</v>
      </c>
      <c r="O92" s="62" t="b">
        <f t="shared" si="27"/>
        <v>1</v>
      </c>
      <c r="P92" s="63" t="str">
        <f t="shared" si="28"/>
        <v>Asset</v>
      </c>
      <c r="Q92" s="25">
        <f t="shared" si="29"/>
        <v>390072.56</v>
      </c>
      <c r="R92" s="25">
        <f t="shared" si="30"/>
        <v>0</v>
      </c>
      <c r="S92" s="25">
        <f t="shared" si="31"/>
        <v>0</v>
      </c>
      <c r="T92" s="25">
        <f t="shared" si="32"/>
        <v>0</v>
      </c>
      <c r="U92" s="25">
        <f t="shared" si="33"/>
        <v>0</v>
      </c>
      <c r="V92" s="25">
        <f t="shared" si="34"/>
        <v>0</v>
      </c>
      <c r="W92" s="25">
        <f t="shared" si="35"/>
        <v>0</v>
      </c>
      <c r="X92" s="64">
        <f t="shared" si="36"/>
        <v>0</v>
      </c>
      <c r="Y92" s="64">
        <f t="shared" si="37"/>
        <v>0</v>
      </c>
      <c r="Z92" s="64">
        <f t="shared" si="38"/>
        <v>0</v>
      </c>
      <c r="AA92" s="64">
        <f t="shared" si="39"/>
        <v>0</v>
      </c>
      <c r="AB92" s="64">
        <f t="shared" si="40"/>
        <v>0</v>
      </c>
      <c r="AC92" s="64">
        <f t="shared" si="41"/>
        <v>0</v>
      </c>
      <c r="AD92" s="64">
        <f t="shared" si="42"/>
        <v>0</v>
      </c>
      <c r="AE92" s="64">
        <f t="shared" si="43"/>
        <v>0</v>
      </c>
      <c r="AF92" s="64">
        <f t="shared" si="44"/>
        <v>0</v>
      </c>
      <c r="AG92" s="29">
        <f t="shared" si="45"/>
        <v>0</v>
      </c>
    </row>
    <row r="93" spans="1:33" s="20" customFormat="1">
      <c r="A93" s="265">
        <v>10630001</v>
      </c>
      <c r="B93" s="265" t="s">
        <v>308</v>
      </c>
      <c r="C93" s="265" t="s">
        <v>827</v>
      </c>
      <c r="D93" s="265">
        <v>100000014</v>
      </c>
      <c r="E93" s="265" t="s">
        <v>278</v>
      </c>
      <c r="F93" s="265" t="s">
        <v>301</v>
      </c>
      <c r="G93" s="266">
        <v>795698.92</v>
      </c>
      <c r="H93" s="266">
        <v>1137037.6100000001</v>
      </c>
      <c r="I93" s="268">
        <v>45924</v>
      </c>
      <c r="J93" s="268">
        <v>47579</v>
      </c>
      <c r="K93" s="268">
        <v>46086</v>
      </c>
      <c r="L93" s="224" t="str">
        <f t="shared" si="46"/>
        <v>10630001_USD_100000014_PERDAMAN CHEMICALS &amp; FERTILISERS (FINANCE)PTY LTD</v>
      </c>
      <c r="M93" s="221">
        <f t="shared" si="26"/>
        <v>1137037.6100000001</v>
      </c>
      <c r="N93" s="24">
        <f>IF(OR(L93=$L$2,L93=$L$3),$M$10+1,IFERROR(VLOOKUP(A93,'Repricing Maturity Adj.'!$A$3:$C$170,3,0),(IF(K93&lt;$M$10,"Check",K93))))</f>
        <v>46059</v>
      </c>
      <c r="O93" s="62" t="b">
        <f t="shared" si="27"/>
        <v>1</v>
      </c>
      <c r="P93" s="63" t="str">
        <f t="shared" si="28"/>
        <v>Asset</v>
      </c>
      <c r="Q93" s="25">
        <f t="shared" si="29"/>
        <v>1137037.6100000001</v>
      </c>
      <c r="R93" s="25">
        <f t="shared" si="30"/>
        <v>0</v>
      </c>
      <c r="S93" s="25">
        <f t="shared" si="31"/>
        <v>0</v>
      </c>
      <c r="T93" s="25">
        <f t="shared" si="32"/>
        <v>0</v>
      </c>
      <c r="U93" s="25">
        <f t="shared" si="33"/>
        <v>0</v>
      </c>
      <c r="V93" s="25">
        <f t="shared" si="34"/>
        <v>0</v>
      </c>
      <c r="W93" s="25">
        <f t="shared" si="35"/>
        <v>0</v>
      </c>
      <c r="X93" s="64">
        <f t="shared" si="36"/>
        <v>0</v>
      </c>
      <c r="Y93" s="64">
        <f t="shared" si="37"/>
        <v>0</v>
      </c>
      <c r="Z93" s="64">
        <f t="shared" si="38"/>
        <v>0</v>
      </c>
      <c r="AA93" s="64">
        <f t="shared" si="39"/>
        <v>0</v>
      </c>
      <c r="AB93" s="64">
        <f t="shared" si="40"/>
        <v>0</v>
      </c>
      <c r="AC93" s="64">
        <f t="shared" si="41"/>
        <v>0</v>
      </c>
      <c r="AD93" s="64">
        <f t="shared" si="42"/>
        <v>0</v>
      </c>
      <c r="AE93" s="64">
        <f t="shared" si="43"/>
        <v>0</v>
      </c>
      <c r="AF93" s="64">
        <f t="shared" si="44"/>
        <v>0</v>
      </c>
      <c r="AG93" s="29">
        <f t="shared" si="45"/>
        <v>0</v>
      </c>
    </row>
    <row r="94" spans="1:33" s="20" customFormat="1">
      <c r="A94" s="265">
        <v>10630001</v>
      </c>
      <c r="B94" s="265" t="s">
        <v>308</v>
      </c>
      <c r="C94" s="265" t="s">
        <v>851</v>
      </c>
      <c r="D94" s="265">
        <v>100000014</v>
      </c>
      <c r="E94" s="265" t="s">
        <v>278</v>
      </c>
      <c r="F94" s="265" t="s">
        <v>301</v>
      </c>
      <c r="G94" s="266">
        <v>271692.7</v>
      </c>
      <c r="H94" s="266">
        <v>388243.36</v>
      </c>
      <c r="I94" s="268">
        <v>45938</v>
      </c>
      <c r="J94" s="268">
        <v>47579</v>
      </c>
      <c r="K94" s="268">
        <v>46086</v>
      </c>
      <c r="L94" s="224" t="str">
        <f t="shared" si="46"/>
        <v>10630001_USD_100000014_PERDAMAN CHEMICALS &amp; FERTILISERS (FINANCE)PTY LTD</v>
      </c>
      <c r="M94" s="221">
        <f t="shared" si="26"/>
        <v>388243.36</v>
      </c>
      <c r="N94" s="24">
        <f>IF(OR(L94=$L$2,L94=$L$3),$M$10+1,IFERROR(VLOOKUP(A94,'Repricing Maturity Adj.'!$A$3:$C$170,3,0),(IF(K94&lt;$M$10,"Check",K94))))</f>
        <v>46059</v>
      </c>
      <c r="O94" s="62" t="b">
        <f t="shared" si="27"/>
        <v>1</v>
      </c>
      <c r="P94" s="63" t="str">
        <f t="shared" si="28"/>
        <v>Asset</v>
      </c>
      <c r="Q94" s="25">
        <f t="shared" si="29"/>
        <v>388243.36</v>
      </c>
      <c r="R94" s="25">
        <f t="shared" si="30"/>
        <v>0</v>
      </c>
      <c r="S94" s="25">
        <f t="shared" si="31"/>
        <v>0</v>
      </c>
      <c r="T94" s="25">
        <f t="shared" si="32"/>
        <v>0</v>
      </c>
      <c r="U94" s="25">
        <f t="shared" si="33"/>
        <v>0</v>
      </c>
      <c r="V94" s="25">
        <f t="shared" si="34"/>
        <v>0</v>
      </c>
      <c r="W94" s="25">
        <f t="shared" si="35"/>
        <v>0</v>
      </c>
      <c r="X94" s="64">
        <f t="shared" si="36"/>
        <v>0</v>
      </c>
      <c r="Y94" s="64">
        <f t="shared" si="37"/>
        <v>0</v>
      </c>
      <c r="Z94" s="64">
        <f t="shared" si="38"/>
        <v>0</v>
      </c>
      <c r="AA94" s="64">
        <f t="shared" si="39"/>
        <v>0</v>
      </c>
      <c r="AB94" s="64">
        <f t="shared" si="40"/>
        <v>0</v>
      </c>
      <c r="AC94" s="64">
        <f t="shared" si="41"/>
        <v>0</v>
      </c>
      <c r="AD94" s="64">
        <f t="shared" si="42"/>
        <v>0</v>
      </c>
      <c r="AE94" s="64">
        <f t="shared" si="43"/>
        <v>0</v>
      </c>
      <c r="AF94" s="64">
        <f t="shared" si="44"/>
        <v>0</v>
      </c>
      <c r="AG94" s="29">
        <f t="shared" si="45"/>
        <v>0</v>
      </c>
    </row>
    <row r="95" spans="1:33" s="20" customFormat="1">
      <c r="A95" s="265">
        <v>10630001</v>
      </c>
      <c r="B95" s="265" t="s">
        <v>308</v>
      </c>
      <c r="C95" s="265" t="s">
        <v>852</v>
      </c>
      <c r="D95" s="265">
        <v>100000014</v>
      </c>
      <c r="E95" s="265" t="s">
        <v>278</v>
      </c>
      <c r="F95" s="265" t="s">
        <v>301</v>
      </c>
      <c r="G95" s="266">
        <v>731182.8</v>
      </c>
      <c r="H95" s="266">
        <v>1044845.38</v>
      </c>
      <c r="I95" s="268">
        <v>45961</v>
      </c>
      <c r="J95" s="268">
        <v>47579</v>
      </c>
      <c r="K95" s="268">
        <v>46086</v>
      </c>
      <c r="L95" s="224" t="str">
        <f t="shared" si="46"/>
        <v>10630001_USD_100000014_PERDAMAN CHEMICALS &amp; FERTILISERS (FINANCE)PTY LTD</v>
      </c>
      <c r="M95" s="221">
        <f t="shared" si="26"/>
        <v>1044845.38</v>
      </c>
      <c r="N95" s="24">
        <f>IF(OR(L95=$L$2,L95=$L$3),$M$10+1,IFERROR(VLOOKUP(A95,'Repricing Maturity Adj.'!$A$3:$C$170,3,0),(IF(K95&lt;$M$10,"Check",K95))))</f>
        <v>46059</v>
      </c>
      <c r="O95" s="62" t="b">
        <f t="shared" si="27"/>
        <v>1</v>
      </c>
      <c r="P95" s="63" t="str">
        <f t="shared" si="28"/>
        <v>Asset</v>
      </c>
      <c r="Q95" s="25">
        <f t="shared" si="29"/>
        <v>1044845.38</v>
      </c>
      <c r="R95" s="25">
        <f t="shared" si="30"/>
        <v>0</v>
      </c>
      <c r="S95" s="25">
        <f t="shared" si="31"/>
        <v>0</v>
      </c>
      <c r="T95" s="25">
        <f t="shared" si="32"/>
        <v>0</v>
      </c>
      <c r="U95" s="25">
        <f t="shared" si="33"/>
        <v>0</v>
      </c>
      <c r="V95" s="25">
        <f t="shared" si="34"/>
        <v>0</v>
      </c>
      <c r="W95" s="25">
        <f t="shared" si="35"/>
        <v>0</v>
      </c>
      <c r="X95" s="64">
        <f t="shared" si="36"/>
        <v>0</v>
      </c>
      <c r="Y95" s="64">
        <f t="shared" si="37"/>
        <v>0</v>
      </c>
      <c r="Z95" s="64">
        <f t="shared" si="38"/>
        <v>0</v>
      </c>
      <c r="AA95" s="64">
        <f t="shared" si="39"/>
        <v>0</v>
      </c>
      <c r="AB95" s="64">
        <f t="shared" si="40"/>
        <v>0</v>
      </c>
      <c r="AC95" s="64">
        <f t="shared" si="41"/>
        <v>0</v>
      </c>
      <c r="AD95" s="64">
        <f t="shared" si="42"/>
        <v>0</v>
      </c>
      <c r="AE95" s="64">
        <f t="shared" si="43"/>
        <v>0</v>
      </c>
      <c r="AF95" s="64">
        <f t="shared" si="44"/>
        <v>0</v>
      </c>
      <c r="AG95" s="29">
        <f t="shared" si="45"/>
        <v>0</v>
      </c>
    </row>
    <row r="96" spans="1:33" s="20" customFormat="1">
      <c r="A96" s="265">
        <v>10630001</v>
      </c>
      <c r="B96" s="265" t="s">
        <v>308</v>
      </c>
      <c r="C96" s="265" t="s">
        <v>862</v>
      </c>
      <c r="D96" s="265">
        <v>100000014</v>
      </c>
      <c r="E96" s="265" t="s">
        <v>278</v>
      </c>
      <c r="F96" s="265" t="s">
        <v>301</v>
      </c>
      <c r="G96" s="266">
        <v>272492.62</v>
      </c>
      <c r="H96" s="266">
        <v>389386.42</v>
      </c>
      <c r="I96" s="268">
        <v>45968</v>
      </c>
      <c r="J96" s="268">
        <v>47579</v>
      </c>
      <c r="K96" s="268">
        <v>46086</v>
      </c>
      <c r="L96" s="224" t="str">
        <f t="shared" si="46"/>
        <v>10630001_USD_100000014_PERDAMAN CHEMICALS &amp; FERTILISERS (FINANCE)PTY LTD</v>
      </c>
      <c r="M96" s="221">
        <f t="shared" si="26"/>
        <v>389386.42</v>
      </c>
      <c r="N96" s="24">
        <f>IF(OR(L96=$L$2,L96=$L$3),$M$10+1,IFERROR(VLOOKUP(A96,'Repricing Maturity Adj.'!$A$3:$C$170,3,0),(IF(K96&lt;$M$10,"Check",K96))))</f>
        <v>46059</v>
      </c>
      <c r="O96" s="62" t="b">
        <f t="shared" si="27"/>
        <v>1</v>
      </c>
      <c r="P96" s="63" t="str">
        <f t="shared" si="28"/>
        <v>Asset</v>
      </c>
      <c r="Q96" s="25">
        <f t="shared" si="29"/>
        <v>389386.42</v>
      </c>
      <c r="R96" s="25">
        <f t="shared" si="30"/>
        <v>0</v>
      </c>
      <c r="S96" s="25">
        <f t="shared" si="31"/>
        <v>0</v>
      </c>
      <c r="T96" s="25">
        <f t="shared" si="32"/>
        <v>0</v>
      </c>
      <c r="U96" s="25">
        <f t="shared" si="33"/>
        <v>0</v>
      </c>
      <c r="V96" s="25">
        <f t="shared" si="34"/>
        <v>0</v>
      </c>
      <c r="W96" s="25">
        <f t="shared" si="35"/>
        <v>0</v>
      </c>
      <c r="X96" s="64">
        <f t="shared" si="36"/>
        <v>0</v>
      </c>
      <c r="Y96" s="64">
        <f t="shared" si="37"/>
        <v>0</v>
      </c>
      <c r="Z96" s="64">
        <f t="shared" si="38"/>
        <v>0</v>
      </c>
      <c r="AA96" s="64">
        <f t="shared" si="39"/>
        <v>0</v>
      </c>
      <c r="AB96" s="64">
        <f t="shared" si="40"/>
        <v>0</v>
      </c>
      <c r="AC96" s="64">
        <f t="shared" si="41"/>
        <v>0</v>
      </c>
      <c r="AD96" s="64">
        <f t="shared" si="42"/>
        <v>0</v>
      </c>
      <c r="AE96" s="64">
        <f t="shared" si="43"/>
        <v>0</v>
      </c>
      <c r="AF96" s="64">
        <f t="shared" si="44"/>
        <v>0</v>
      </c>
      <c r="AG96" s="29">
        <f t="shared" si="45"/>
        <v>0</v>
      </c>
    </row>
    <row r="97" spans="1:33" s="20" customFormat="1">
      <c r="A97" s="265">
        <v>10630001</v>
      </c>
      <c r="B97" s="265" t="s">
        <v>308</v>
      </c>
      <c r="C97" s="265" t="s">
        <v>863</v>
      </c>
      <c r="D97" s="265">
        <v>100000014</v>
      </c>
      <c r="E97" s="265" t="s">
        <v>278</v>
      </c>
      <c r="F97" s="265" t="s">
        <v>301</v>
      </c>
      <c r="G97" s="266">
        <v>602150.54</v>
      </c>
      <c r="H97" s="266">
        <v>860460.9</v>
      </c>
      <c r="I97" s="268">
        <v>45989</v>
      </c>
      <c r="J97" s="268">
        <v>47579</v>
      </c>
      <c r="K97" s="268">
        <v>46086</v>
      </c>
      <c r="L97" s="224" t="str">
        <f t="shared" si="46"/>
        <v>10630001_USD_100000014_PERDAMAN CHEMICALS &amp; FERTILISERS (FINANCE)PTY LTD</v>
      </c>
      <c r="M97" s="221">
        <f t="shared" si="26"/>
        <v>860460.9</v>
      </c>
      <c r="N97" s="24">
        <f>IF(OR(L97=$L$2,L97=$L$3),$M$10+1,IFERROR(VLOOKUP(A97,'Repricing Maturity Adj.'!$A$3:$C$170,3,0),(IF(K97&lt;$M$10,"Check",K97))))</f>
        <v>46059</v>
      </c>
      <c r="O97" s="62" t="b">
        <f t="shared" si="27"/>
        <v>1</v>
      </c>
      <c r="P97" s="63" t="str">
        <f t="shared" si="28"/>
        <v>Asset</v>
      </c>
      <c r="Q97" s="25">
        <f t="shared" si="29"/>
        <v>860460.9</v>
      </c>
      <c r="R97" s="25">
        <f t="shared" si="30"/>
        <v>0</v>
      </c>
      <c r="S97" s="25">
        <f t="shared" si="31"/>
        <v>0</v>
      </c>
      <c r="T97" s="25">
        <f t="shared" si="32"/>
        <v>0</v>
      </c>
      <c r="U97" s="25">
        <f t="shared" si="33"/>
        <v>0</v>
      </c>
      <c r="V97" s="25">
        <f t="shared" si="34"/>
        <v>0</v>
      </c>
      <c r="W97" s="25">
        <f t="shared" si="35"/>
        <v>0</v>
      </c>
      <c r="X97" s="64">
        <f t="shared" si="36"/>
        <v>0</v>
      </c>
      <c r="Y97" s="64">
        <f t="shared" si="37"/>
        <v>0</v>
      </c>
      <c r="Z97" s="64">
        <f t="shared" si="38"/>
        <v>0</v>
      </c>
      <c r="AA97" s="64">
        <f t="shared" si="39"/>
        <v>0</v>
      </c>
      <c r="AB97" s="64">
        <f t="shared" si="40"/>
        <v>0</v>
      </c>
      <c r="AC97" s="64">
        <f t="shared" si="41"/>
        <v>0</v>
      </c>
      <c r="AD97" s="64">
        <f t="shared" si="42"/>
        <v>0</v>
      </c>
      <c r="AE97" s="64">
        <f t="shared" si="43"/>
        <v>0</v>
      </c>
      <c r="AF97" s="64">
        <f t="shared" si="44"/>
        <v>0</v>
      </c>
      <c r="AG97" s="29">
        <f t="shared" si="45"/>
        <v>0</v>
      </c>
    </row>
    <row r="98" spans="1:33" s="20" customFormat="1">
      <c r="A98" s="265">
        <v>10630001</v>
      </c>
      <c r="B98" s="265" t="s">
        <v>308</v>
      </c>
      <c r="C98" s="265" t="s">
        <v>872</v>
      </c>
      <c r="D98" s="265">
        <v>100000014</v>
      </c>
      <c r="E98" s="265" t="s">
        <v>278</v>
      </c>
      <c r="F98" s="265" t="s">
        <v>301</v>
      </c>
      <c r="G98" s="266">
        <v>251877.67</v>
      </c>
      <c r="H98" s="266">
        <v>359928.08</v>
      </c>
      <c r="I98" s="268">
        <v>45996</v>
      </c>
      <c r="J98" s="268">
        <v>47579</v>
      </c>
      <c r="K98" s="268">
        <v>46086</v>
      </c>
      <c r="L98" s="224" t="str">
        <f t="shared" si="46"/>
        <v>10630001_USD_100000014_PERDAMAN CHEMICALS &amp; FERTILISERS (FINANCE)PTY LTD</v>
      </c>
      <c r="M98" s="221">
        <f t="shared" si="26"/>
        <v>359928.08</v>
      </c>
      <c r="N98" s="24">
        <f>IF(OR(L98=$L$2,L98=$L$3),$M$10+1,IFERROR(VLOOKUP(A98,'Repricing Maturity Adj.'!$A$3:$C$170,3,0),(IF(K98&lt;$M$10,"Check",K98))))</f>
        <v>46059</v>
      </c>
      <c r="O98" s="62" t="b">
        <f t="shared" si="27"/>
        <v>1</v>
      </c>
      <c r="P98" s="63" t="str">
        <f t="shared" si="28"/>
        <v>Asset</v>
      </c>
      <c r="Q98" s="25">
        <f t="shared" si="29"/>
        <v>359928.08</v>
      </c>
      <c r="R98" s="25">
        <f t="shared" si="30"/>
        <v>0</v>
      </c>
      <c r="S98" s="25">
        <f t="shared" si="31"/>
        <v>0</v>
      </c>
      <c r="T98" s="25">
        <f t="shared" si="32"/>
        <v>0</v>
      </c>
      <c r="U98" s="25">
        <f t="shared" si="33"/>
        <v>0</v>
      </c>
      <c r="V98" s="25">
        <f t="shared" si="34"/>
        <v>0</v>
      </c>
      <c r="W98" s="25">
        <f t="shared" si="35"/>
        <v>0</v>
      </c>
      <c r="X98" s="64">
        <f t="shared" si="36"/>
        <v>0</v>
      </c>
      <c r="Y98" s="64">
        <f t="shared" si="37"/>
        <v>0</v>
      </c>
      <c r="Z98" s="64">
        <f t="shared" si="38"/>
        <v>0</v>
      </c>
      <c r="AA98" s="64">
        <f t="shared" si="39"/>
        <v>0</v>
      </c>
      <c r="AB98" s="64">
        <f t="shared" si="40"/>
        <v>0</v>
      </c>
      <c r="AC98" s="64">
        <f t="shared" si="41"/>
        <v>0</v>
      </c>
      <c r="AD98" s="64">
        <f t="shared" si="42"/>
        <v>0</v>
      </c>
      <c r="AE98" s="64">
        <f t="shared" si="43"/>
        <v>0</v>
      </c>
      <c r="AF98" s="64">
        <f t="shared" si="44"/>
        <v>0</v>
      </c>
      <c r="AG98" s="29">
        <f t="shared" si="45"/>
        <v>0</v>
      </c>
    </row>
    <row r="99" spans="1:33" s="20" customFormat="1">
      <c r="A99" s="265">
        <v>10630001</v>
      </c>
      <c r="B99" s="265" t="s">
        <v>308</v>
      </c>
      <c r="C99" s="265" t="s">
        <v>873</v>
      </c>
      <c r="D99" s="265">
        <v>100000014</v>
      </c>
      <c r="E99" s="265" t="s">
        <v>278</v>
      </c>
      <c r="F99" s="265" t="s">
        <v>301</v>
      </c>
      <c r="G99" s="266">
        <v>623655.91</v>
      </c>
      <c r="H99" s="266">
        <v>891191.64</v>
      </c>
      <c r="I99" s="268">
        <v>46021</v>
      </c>
      <c r="J99" s="268">
        <v>47579</v>
      </c>
      <c r="K99" s="268">
        <v>46086</v>
      </c>
      <c r="L99" s="224" t="str">
        <f t="shared" si="46"/>
        <v>10630001_USD_100000014_PERDAMAN CHEMICALS &amp; FERTILISERS (FINANCE)PTY LTD</v>
      </c>
      <c r="M99" s="221">
        <f t="shared" si="26"/>
        <v>891191.64</v>
      </c>
      <c r="N99" s="24">
        <f>IF(OR(L99=$L$2,L99=$L$3),$M$10+1,IFERROR(VLOOKUP(A99,'Repricing Maturity Adj.'!$A$3:$C$170,3,0),(IF(K99&lt;$M$10,"Check",K99))))</f>
        <v>46059</v>
      </c>
      <c r="O99" s="62" t="b">
        <f t="shared" si="27"/>
        <v>1</v>
      </c>
      <c r="P99" s="63" t="str">
        <f t="shared" si="28"/>
        <v>Asset</v>
      </c>
      <c r="Q99" s="25">
        <f t="shared" si="29"/>
        <v>891191.64</v>
      </c>
      <c r="R99" s="25">
        <f t="shared" si="30"/>
        <v>0</v>
      </c>
      <c r="S99" s="25">
        <f t="shared" si="31"/>
        <v>0</v>
      </c>
      <c r="T99" s="25">
        <f t="shared" si="32"/>
        <v>0</v>
      </c>
      <c r="U99" s="25">
        <f t="shared" si="33"/>
        <v>0</v>
      </c>
      <c r="V99" s="25">
        <f t="shared" si="34"/>
        <v>0</v>
      </c>
      <c r="W99" s="25">
        <f t="shared" si="35"/>
        <v>0</v>
      </c>
      <c r="X99" s="64">
        <f t="shared" si="36"/>
        <v>0</v>
      </c>
      <c r="Y99" s="64">
        <f t="shared" si="37"/>
        <v>0</v>
      </c>
      <c r="Z99" s="64">
        <f t="shared" si="38"/>
        <v>0</v>
      </c>
      <c r="AA99" s="64">
        <f t="shared" si="39"/>
        <v>0</v>
      </c>
      <c r="AB99" s="64">
        <f t="shared" si="40"/>
        <v>0</v>
      </c>
      <c r="AC99" s="64">
        <f t="shared" si="41"/>
        <v>0</v>
      </c>
      <c r="AD99" s="64">
        <f t="shared" si="42"/>
        <v>0</v>
      </c>
      <c r="AE99" s="64">
        <f t="shared" si="43"/>
        <v>0</v>
      </c>
      <c r="AF99" s="64">
        <f t="shared" si="44"/>
        <v>0</v>
      </c>
      <c r="AG99" s="29">
        <f t="shared" si="45"/>
        <v>0</v>
      </c>
    </row>
    <row r="100" spans="1:33" s="20" customFormat="1" ht="18.7" customHeight="1">
      <c r="A100" s="265">
        <v>10630001</v>
      </c>
      <c r="B100" s="265" t="s">
        <v>308</v>
      </c>
      <c r="C100" s="265" t="s">
        <v>885</v>
      </c>
      <c r="D100" s="265">
        <v>100000014</v>
      </c>
      <c r="E100" s="265" t="s">
        <v>278</v>
      </c>
      <c r="F100" s="265" t="s">
        <v>301</v>
      </c>
      <c r="G100" s="266">
        <v>275889.40999999997</v>
      </c>
      <c r="H100" s="266">
        <v>394240.37</v>
      </c>
      <c r="I100" s="268">
        <v>46027</v>
      </c>
      <c r="J100" s="268">
        <v>47579</v>
      </c>
      <c r="K100" s="268">
        <v>46086</v>
      </c>
      <c r="L100" s="224" t="str">
        <f t="shared" si="46"/>
        <v>10630001_USD_100000014_PERDAMAN CHEMICALS &amp; FERTILISERS (FINANCE)PTY LTD</v>
      </c>
      <c r="M100" s="221">
        <f t="shared" si="26"/>
        <v>394240.37</v>
      </c>
      <c r="N100" s="24">
        <f>IF(OR(L100=$L$2,L100=$L$3),$M$10+1,IFERROR(VLOOKUP(A100,'Repricing Maturity Adj.'!$A$3:$C$170,3,0),(IF(K100&lt;$M$10,"Check",K100))))</f>
        <v>46059</v>
      </c>
      <c r="O100" s="62" t="b">
        <f t="shared" si="27"/>
        <v>1</v>
      </c>
      <c r="P100" s="63" t="str">
        <f t="shared" si="28"/>
        <v>Asset</v>
      </c>
      <c r="Q100" s="25">
        <f t="shared" si="29"/>
        <v>394240.37</v>
      </c>
      <c r="R100" s="25">
        <f t="shared" si="30"/>
        <v>0</v>
      </c>
      <c r="S100" s="25">
        <f t="shared" si="31"/>
        <v>0</v>
      </c>
      <c r="T100" s="25">
        <f t="shared" si="32"/>
        <v>0</v>
      </c>
      <c r="U100" s="25">
        <f t="shared" si="33"/>
        <v>0</v>
      </c>
      <c r="V100" s="25">
        <f t="shared" si="34"/>
        <v>0</v>
      </c>
      <c r="W100" s="25">
        <f t="shared" si="35"/>
        <v>0</v>
      </c>
      <c r="X100" s="64">
        <f t="shared" si="36"/>
        <v>0</v>
      </c>
      <c r="Y100" s="64">
        <f t="shared" si="37"/>
        <v>0</v>
      </c>
      <c r="Z100" s="64">
        <f t="shared" si="38"/>
        <v>0</v>
      </c>
      <c r="AA100" s="64">
        <f t="shared" si="39"/>
        <v>0</v>
      </c>
      <c r="AB100" s="64">
        <f t="shared" si="40"/>
        <v>0</v>
      </c>
      <c r="AC100" s="64">
        <f t="shared" si="41"/>
        <v>0</v>
      </c>
      <c r="AD100" s="64">
        <f t="shared" si="42"/>
        <v>0</v>
      </c>
      <c r="AE100" s="64">
        <f t="shared" si="43"/>
        <v>0</v>
      </c>
      <c r="AF100" s="64">
        <f t="shared" si="44"/>
        <v>0</v>
      </c>
      <c r="AG100" s="29">
        <f t="shared" si="45"/>
        <v>0</v>
      </c>
    </row>
    <row r="101" spans="1:33" s="20" customFormat="1">
      <c r="A101" s="265">
        <v>10630001</v>
      </c>
      <c r="B101" s="265" t="s">
        <v>308</v>
      </c>
      <c r="C101" s="265" t="s">
        <v>933</v>
      </c>
      <c r="D101" s="265">
        <v>100000014</v>
      </c>
      <c r="E101" s="265" t="s">
        <v>278</v>
      </c>
      <c r="F101" s="265" t="s">
        <v>301</v>
      </c>
      <c r="G101" s="266">
        <v>274478.25</v>
      </c>
      <c r="H101" s="266">
        <v>392223.85</v>
      </c>
      <c r="I101" s="268">
        <v>46058</v>
      </c>
      <c r="J101" s="268">
        <v>47579</v>
      </c>
      <c r="K101" s="268">
        <v>46086</v>
      </c>
      <c r="L101" s="224" t="str">
        <f t="shared" si="46"/>
        <v>10630001_USD_100000014_PERDAMAN CHEMICALS &amp; FERTILISERS (FINANCE)PTY LTD</v>
      </c>
      <c r="M101" s="221">
        <f t="shared" si="26"/>
        <v>392223.85</v>
      </c>
      <c r="N101" s="24">
        <f>IF(OR(L101=$L$2,L101=$L$3),$M$10+1,IFERROR(VLOOKUP(A101,'Repricing Maturity Adj.'!$A$3:$C$170,3,0),(IF(K101&lt;$M$10,"Check",K101))))</f>
        <v>46059</v>
      </c>
      <c r="O101" s="62" t="b">
        <f t="shared" si="27"/>
        <v>1</v>
      </c>
      <c r="P101" s="63" t="str">
        <f t="shared" si="28"/>
        <v>Asset</v>
      </c>
      <c r="Q101" s="25">
        <f t="shared" si="29"/>
        <v>392223.85</v>
      </c>
      <c r="R101" s="25">
        <f t="shared" si="30"/>
        <v>0</v>
      </c>
      <c r="S101" s="25">
        <f t="shared" si="31"/>
        <v>0</v>
      </c>
      <c r="T101" s="25">
        <f t="shared" si="32"/>
        <v>0</v>
      </c>
      <c r="U101" s="25">
        <f t="shared" si="33"/>
        <v>0</v>
      </c>
      <c r="V101" s="25">
        <f t="shared" si="34"/>
        <v>0</v>
      </c>
      <c r="W101" s="25">
        <f t="shared" si="35"/>
        <v>0</v>
      </c>
      <c r="X101" s="64">
        <f t="shared" si="36"/>
        <v>0</v>
      </c>
      <c r="Y101" s="64">
        <f t="shared" si="37"/>
        <v>0</v>
      </c>
      <c r="Z101" s="64">
        <f t="shared" si="38"/>
        <v>0</v>
      </c>
      <c r="AA101" s="64">
        <f t="shared" si="39"/>
        <v>0</v>
      </c>
      <c r="AB101" s="64">
        <f t="shared" si="40"/>
        <v>0</v>
      </c>
      <c r="AC101" s="64">
        <f t="shared" si="41"/>
        <v>0</v>
      </c>
      <c r="AD101" s="64">
        <f t="shared" si="42"/>
        <v>0</v>
      </c>
      <c r="AE101" s="64">
        <f t="shared" si="43"/>
        <v>0</v>
      </c>
      <c r="AF101" s="64">
        <f t="shared" si="44"/>
        <v>0</v>
      </c>
      <c r="AG101" s="29">
        <f t="shared" si="45"/>
        <v>0</v>
      </c>
    </row>
    <row r="102" spans="1:33" s="20" customFormat="1">
      <c r="A102" s="265">
        <v>10690001</v>
      </c>
      <c r="B102" s="265" t="s">
        <v>315</v>
      </c>
      <c r="C102" s="265" t="s">
        <v>280</v>
      </c>
      <c r="D102" s="265">
        <v>100000003</v>
      </c>
      <c r="E102" s="265" t="s">
        <v>49</v>
      </c>
      <c r="F102" s="265" t="s">
        <v>0</v>
      </c>
      <c r="G102" s="266">
        <v>-66801.600000000006</v>
      </c>
      <c r="H102" s="266">
        <v>-66801.600000000006</v>
      </c>
      <c r="I102" s="267"/>
      <c r="J102" s="267"/>
      <c r="K102" s="267"/>
      <c r="L102" s="224" t="str">
        <f t="shared" si="46"/>
        <v>10690001_AUD_100000003_COSMAX NBT AUSTRALIA PTY LTD</v>
      </c>
      <c r="M102" s="221">
        <f t="shared" si="26"/>
        <v>66801.600000000006</v>
      </c>
      <c r="N102" s="24" t="str">
        <f>IF(OR(L102=$L$2,L102=$L$3),$M$10+1,IFERROR(VLOOKUP(A102,'Repricing Maturity Adj.'!$A$3:$C$170,3,0),(IF(K102&lt;$M$10,"Check",K102))))</f>
        <v>Non_sensitive</v>
      </c>
      <c r="O102" s="62" t="b">
        <f t="shared" si="27"/>
        <v>1</v>
      </c>
      <c r="P102" s="63" t="str">
        <f t="shared" si="28"/>
        <v>Liability</v>
      </c>
      <c r="Q102" s="25">
        <f t="shared" si="29"/>
        <v>0</v>
      </c>
      <c r="R102" s="25">
        <f t="shared" si="30"/>
        <v>0</v>
      </c>
      <c r="S102" s="25">
        <f t="shared" si="31"/>
        <v>0</v>
      </c>
      <c r="T102" s="25">
        <f t="shared" si="32"/>
        <v>0</v>
      </c>
      <c r="U102" s="25">
        <f t="shared" si="33"/>
        <v>0</v>
      </c>
      <c r="V102" s="25">
        <f t="shared" si="34"/>
        <v>0</v>
      </c>
      <c r="W102" s="25">
        <f t="shared" si="35"/>
        <v>0</v>
      </c>
      <c r="X102" s="64">
        <f t="shared" si="36"/>
        <v>0</v>
      </c>
      <c r="Y102" s="64">
        <f t="shared" si="37"/>
        <v>0</v>
      </c>
      <c r="Z102" s="64">
        <f t="shared" si="38"/>
        <v>0</v>
      </c>
      <c r="AA102" s="64">
        <f t="shared" si="39"/>
        <v>0</v>
      </c>
      <c r="AB102" s="64">
        <f t="shared" si="40"/>
        <v>0</v>
      </c>
      <c r="AC102" s="64">
        <f t="shared" si="41"/>
        <v>0</v>
      </c>
      <c r="AD102" s="64">
        <f t="shared" si="42"/>
        <v>0</v>
      </c>
      <c r="AE102" s="64">
        <f t="shared" si="43"/>
        <v>0</v>
      </c>
      <c r="AF102" s="64">
        <f t="shared" si="44"/>
        <v>0</v>
      </c>
      <c r="AG102" s="29">
        <f t="shared" si="45"/>
        <v>66801.600000000006</v>
      </c>
    </row>
    <row r="103" spans="1:33" s="20" customFormat="1">
      <c r="A103" s="265">
        <v>10690001</v>
      </c>
      <c r="B103" s="265" t="s">
        <v>315</v>
      </c>
      <c r="C103" s="265" t="s">
        <v>281</v>
      </c>
      <c r="D103" s="265">
        <v>100000014</v>
      </c>
      <c r="E103" s="265" t="s">
        <v>278</v>
      </c>
      <c r="F103" s="265" t="s">
        <v>301</v>
      </c>
      <c r="G103" s="266">
        <v>-833.7</v>
      </c>
      <c r="H103" s="266">
        <v>-1191.3399999999999</v>
      </c>
      <c r="I103" s="267"/>
      <c r="J103" s="267"/>
      <c r="K103" s="267"/>
      <c r="L103" s="224" t="str">
        <f t="shared" si="46"/>
        <v>10690001_USD_100000014_PERDAMAN CHEMICALS &amp; FERTILISERS (FINANCE)PTY LTD</v>
      </c>
      <c r="M103" s="221">
        <f t="shared" si="26"/>
        <v>1191.3399999999999</v>
      </c>
      <c r="N103" s="24" t="str">
        <f>IF(OR(L103=$L$2,L103=$L$3),$M$10+1,IFERROR(VLOOKUP(A103,'Repricing Maturity Adj.'!$A$3:$C$170,3,0),(IF(K103&lt;$M$10,"Check",K103))))</f>
        <v>Non_sensitive</v>
      </c>
      <c r="O103" s="62" t="b">
        <f t="shared" si="27"/>
        <v>1</v>
      </c>
      <c r="P103" s="63" t="str">
        <f t="shared" si="28"/>
        <v>Liability</v>
      </c>
      <c r="Q103" s="25">
        <f t="shared" si="29"/>
        <v>0</v>
      </c>
      <c r="R103" s="25">
        <f t="shared" si="30"/>
        <v>0</v>
      </c>
      <c r="S103" s="25">
        <f t="shared" si="31"/>
        <v>0</v>
      </c>
      <c r="T103" s="25">
        <f t="shared" si="32"/>
        <v>0</v>
      </c>
      <c r="U103" s="25">
        <f t="shared" si="33"/>
        <v>0</v>
      </c>
      <c r="V103" s="25">
        <f t="shared" si="34"/>
        <v>0</v>
      </c>
      <c r="W103" s="25">
        <f t="shared" si="35"/>
        <v>0</v>
      </c>
      <c r="X103" s="64">
        <f t="shared" si="36"/>
        <v>0</v>
      </c>
      <c r="Y103" s="64">
        <f t="shared" si="37"/>
        <v>0</v>
      </c>
      <c r="Z103" s="64">
        <f t="shared" si="38"/>
        <v>0</v>
      </c>
      <c r="AA103" s="64">
        <f t="shared" si="39"/>
        <v>0</v>
      </c>
      <c r="AB103" s="64">
        <f t="shared" si="40"/>
        <v>0</v>
      </c>
      <c r="AC103" s="64">
        <f t="shared" si="41"/>
        <v>0</v>
      </c>
      <c r="AD103" s="64">
        <f t="shared" si="42"/>
        <v>0</v>
      </c>
      <c r="AE103" s="64">
        <f t="shared" si="43"/>
        <v>0</v>
      </c>
      <c r="AF103" s="64">
        <f t="shared" si="44"/>
        <v>0</v>
      </c>
      <c r="AG103" s="29">
        <f t="shared" si="45"/>
        <v>1191.3399999999999</v>
      </c>
    </row>
    <row r="104" spans="1:33" s="20" customFormat="1">
      <c r="A104" s="265">
        <v>10690001</v>
      </c>
      <c r="B104" s="265" t="s">
        <v>315</v>
      </c>
      <c r="C104" s="265" t="s">
        <v>282</v>
      </c>
      <c r="D104" s="265">
        <v>100000014</v>
      </c>
      <c r="E104" s="265" t="s">
        <v>278</v>
      </c>
      <c r="F104" s="265" t="s">
        <v>301</v>
      </c>
      <c r="G104" s="266">
        <v>-48803.72</v>
      </c>
      <c r="H104" s="266">
        <v>-69739.53</v>
      </c>
      <c r="I104" s="267"/>
      <c r="J104" s="267"/>
      <c r="K104" s="267"/>
      <c r="L104" s="224" t="str">
        <f t="shared" si="46"/>
        <v>10690001_USD_100000014_PERDAMAN CHEMICALS &amp; FERTILISERS (FINANCE)PTY LTD</v>
      </c>
      <c r="M104" s="221">
        <f t="shared" si="26"/>
        <v>69739.53</v>
      </c>
      <c r="N104" s="24" t="str">
        <f>IF(OR(L104=$L$2,L104=$L$3),$M$10+1,IFERROR(VLOOKUP(A104,'Repricing Maturity Adj.'!$A$3:$C$170,3,0),(IF(K104&lt;$M$10,"Check",K104))))</f>
        <v>Non_sensitive</v>
      </c>
      <c r="O104" s="62" t="b">
        <f t="shared" si="27"/>
        <v>1</v>
      </c>
      <c r="P104" s="63" t="str">
        <f t="shared" si="28"/>
        <v>Liability</v>
      </c>
      <c r="Q104" s="25">
        <f t="shared" si="29"/>
        <v>0</v>
      </c>
      <c r="R104" s="25">
        <f t="shared" si="30"/>
        <v>0</v>
      </c>
      <c r="S104" s="25">
        <f t="shared" si="31"/>
        <v>0</v>
      </c>
      <c r="T104" s="25">
        <f t="shared" si="32"/>
        <v>0</v>
      </c>
      <c r="U104" s="25">
        <f t="shared" si="33"/>
        <v>0</v>
      </c>
      <c r="V104" s="25">
        <f t="shared" si="34"/>
        <v>0</v>
      </c>
      <c r="W104" s="25">
        <f t="shared" si="35"/>
        <v>0</v>
      </c>
      <c r="X104" s="64">
        <f t="shared" si="36"/>
        <v>0</v>
      </c>
      <c r="Y104" s="64">
        <f t="shared" si="37"/>
        <v>0</v>
      </c>
      <c r="Z104" s="64">
        <f t="shared" si="38"/>
        <v>0</v>
      </c>
      <c r="AA104" s="64">
        <f t="shared" si="39"/>
        <v>0</v>
      </c>
      <c r="AB104" s="64">
        <f t="shared" si="40"/>
        <v>0</v>
      </c>
      <c r="AC104" s="64">
        <f t="shared" si="41"/>
        <v>0</v>
      </c>
      <c r="AD104" s="64">
        <f t="shared" si="42"/>
        <v>0</v>
      </c>
      <c r="AE104" s="64">
        <f t="shared" si="43"/>
        <v>0</v>
      </c>
      <c r="AF104" s="64">
        <f t="shared" si="44"/>
        <v>0</v>
      </c>
      <c r="AG104" s="29">
        <f t="shared" si="45"/>
        <v>69739.53</v>
      </c>
    </row>
    <row r="105" spans="1:33" s="20" customFormat="1">
      <c r="A105" s="265">
        <v>10690001</v>
      </c>
      <c r="B105" s="265" t="s">
        <v>315</v>
      </c>
      <c r="C105" s="265" t="s">
        <v>316</v>
      </c>
      <c r="D105" s="265">
        <v>100000014</v>
      </c>
      <c r="E105" s="265" t="s">
        <v>278</v>
      </c>
      <c r="F105" s="265" t="s">
        <v>301</v>
      </c>
      <c r="G105" s="266">
        <v>-633.30999999999995</v>
      </c>
      <c r="H105" s="266">
        <v>-904.99</v>
      </c>
      <c r="I105" s="267"/>
      <c r="J105" s="267"/>
      <c r="K105" s="267"/>
      <c r="L105" s="224" t="str">
        <f t="shared" si="46"/>
        <v>10690001_USD_100000014_PERDAMAN CHEMICALS &amp; FERTILISERS (FINANCE)PTY LTD</v>
      </c>
      <c r="M105" s="221">
        <f t="shared" si="26"/>
        <v>904.99</v>
      </c>
      <c r="N105" s="24" t="str">
        <f>IF(OR(L105=$L$2,L105=$L$3),$M$10+1,IFERROR(VLOOKUP(A105,'Repricing Maturity Adj.'!$A$3:$C$170,3,0),(IF(K105&lt;$M$10,"Check",K105))))</f>
        <v>Non_sensitive</v>
      </c>
      <c r="O105" s="62" t="b">
        <f t="shared" si="27"/>
        <v>1</v>
      </c>
      <c r="P105" s="63" t="str">
        <f t="shared" si="28"/>
        <v>Liability</v>
      </c>
      <c r="Q105" s="25">
        <f t="shared" si="29"/>
        <v>0</v>
      </c>
      <c r="R105" s="25">
        <f t="shared" si="30"/>
        <v>0</v>
      </c>
      <c r="S105" s="25">
        <f t="shared" si="31"/>
        <v>0</v>
      </c>
      <c r="T105" s="25">
        <f t="shared" si="32"/>
        <v>0</v>
      </c>
      <c r="U105" s="25">
        <f t="shared" si="33"/>
        <v>0</v>
      </c>
      <c r="V105" s="25">
        <f t="shared" si="34"/>
        <v>0</v>
      </c>
      <c r="W105" s="25">
        <f t="shared" si="35"/>
        <v>0</v>
      </c>
      <c r="X105" s="64">
        <f t="shared" si="36"/>
        <v>0</v>
      </c>
      <c r="Y105" s="64">
        <f t="shared" si="37"/>
        <v>0</v>
      </c>
      <c r="Z105" s="64">
        <f t="shared" si="38"/>
        <v>0</v>
      </c>
      <c r="AA105" s="64">
        <f t="shared" si="39"/>
        <v>0</v>
      </c>
      <c r="AB105" s="64">
        <f t="shared" si="40"/>
        <v>0</v>
      </c>
      <c r="AC105" s="64">
        <f t="shared" si="41"/>
        <v>0</v>
      </c>
      <c r="AD105" s="64">
        <f t="shared" si="42"/>
        <v>0</v>
      </c>
      <c r="AE105" s="64">
        <f t="shared" si="43"/>
        <v>0</v>
      </c>
      <c r="AF105" s="64">
        <f t="shared" si="44"/>
        <v>0</v>
      </c>
      <c r="AG105" s="29">
        <f t="shared" si="45"/>
        <v>904.99</v>
      </c>
    </row>
    <row r="106" spans="1:33" s="20" customFormat="1">
      <c r="A106" s="265">
        <v>10690001</v>
      </c>
      <c r="B106" s="265" t="s">
        <v>315</v>
      </c>
      <c r="C106" s="265" t="s">
        <v>317</v>
      </c>
      <c r="D106" s="265">
        <v>100000014</v>
      </c>
      <c r="E106" s="265" t="s">
        <v>278</v>
      </c>
      <c r="F106" s="265" t="s">
        <v>301</v>
      </c>
      <c r="G106" s="266">
        <v>-11491.72</v>
      </c>
      <c r="H106" s="266">
        <v>-16421.43</v>
      </c>
      <c r="I106" s="267"/>
      <c r="J106" s="267"/>
      <c r="K106" s="267"/>
      <c r="L106" s="224" t="str">
        <f t="shared" si="46"/>
        <v>10690001_USD_100000014_PERDAMAN CHEMICALS &amp; FERTILISERS (FINANCE)PTY LTD</v>
      </c>
      <c r="M106" s="221">
        <f t="shared" si="26"/>
        <v>16421.43</v>
      </c>
      <c r="N106" s="24" t="str">
        <f>IF(OR(L106=$L$2,L106=$L$3),$M$10+1,IFERROR(VLOOKUP(A106,'Repricing Maturity Adj.'!$A$3:$C$170,3,0),(IF(K106&lt;$M$10,"Check",K106))))</f>
        <v>Non_sensitive</v>
      </c>
      <c r="O106" s="62" t="b">
        <f t="shared" si="27"/>
        <v>1</v>
      </c>
      <c r="P106" s="63" t="str">
        <f t="shared" si="28"/>
        <v>Liability</v>
      </c>
      <c r="Q106" s="25">
        <f t="shared" si="29"/>
        <v>0</v>
      </c>
      <c r="R106" s="25">
        <f t="shared" si="30"/>
        <v>0</v>
      </c>
      <c r="S106" s="25">
        <f t="shared" si="31"/>
        <v>0</v>
      </c>
      <c r="T106" s="25">
        <f t="shared" si="32"/>
        <v>0</v>
      </c>
      <c r="U106" s="25">
        <f t="shared" si="33"/>
        <v>0</v>
      </c>
      <c r="V106" s="25">
        <f t="shared" si="34"/>
        <v>0</v>
      </c>
      <c r="W106" s="25">
        <f t="shared" si="35"/>
        <v>0</v>
      </c>
      <c r="X106" s="64">
        <f t="shared" si="36"/>
        <v>0</v>
      </c>
      <c r="Y106" s="64">
        <f t="shared" si="37"/>
        <v>0</v>
      </c>
      <c r="Z106" s="64">
        <f t="shared" si="38"/>
        <v>0</v>
      </c>
      <c r="AA106" s="64">
        <f t="shared" si="39"/>
        <v>0</v>
      </c>
      <c r="AB106" s="64">
        <f t="shared" si="40"/>
        <v>0</v>
      </c>
      <c r="AC106" s="64">
        <f t="shared" si="41"/>
        <v>0</v>
      </c>
      <c r="AD106" s="64">
        <f t="shared" si="42"/>
        <v>0</v>
      </c>
      <c r="AE106" s="64">
        <f t="shared" si="43"/>
        <v>0</v>
      </c>
      <c r="AF106" s="64">
        <f t="shared" si="44"/>
        <v>0</v>
      </c>
      <c r="AG106" s="29">
        <f t="shared" si="45"/>
        <v>16421.43</v>
      </c>
    </row>
    <row r="107" spans="1:33" s="20" customFormat="1">
      <c r="A107" s="265">
        <v>10690001</v>
      </c>
      <c r="B107" s="265" t="s">
        <v>315</v>
      </c>
      <c r="C107" s="265" t="s">
        <v>318</v>
      </c>
      <c r="D107" s="265">
        <v>100000014</v>
      </c>
      <c r="E107" s="265" t="s">
        <v>278</v>
      </c>
      <c r="F107" s="265" t="s">
        <v>301</v>
      </c>
      <c r="G107" s="266">
        <v>-715.23</v>
      </c>
      <c r="H107" s="266">
        <v>-1022.05</v>
      </c>
      <c r="I107" s="267"/>
      <c r="J107" s="267"/>
      <c r="K107" s="267"/>
      <c r="L107" s="224" t="str">
        <f t="shared" si="46"/>
        <v>10690001_USD_100000014_PERDAMAN CHEMICALS &amp; FERTILISERS (FINANCE)PTY LTD</v>
      </c>
      <c r="M107" s="221">
        <f t="shared" si="26"/>
        <v>1022.05</v>
      </c>
      <c r="N107" s="24" t="str">
        <f>IF(OR(L107=$L$2,L107=$L$3),$M$10+1,IFERROR(VLOOKUP(A107,'Repricing Maturity Adj.'!$A$3:$C$170,3,0),(IF(K107&lt;$M$10,"Check",K107))))</f>
        <v>Non_sensitive</v>
      </c>
      <c r="O107" s="62" t="b">
        <f t="shared" si="27"/>
        <v>1</v>
      </c>
      <c r="P107" s="63" t="str">
        <f t="shared" si="28"/>
        <v>Liability</v>
      </c>
      <c r="Q107" s="25">
        <f t="shared" si="29"/>
        <v>0</v>
      </c>
      <c r="R107" s="25">
        <f t="shared" si="30"/>
        <v>0</v>
      </c>
      <c r="S107" s="25">
        <f t="shared" si="31"/>
        <v>0</v>
      </c>
      <c r="T107" s="25">
        <f t="shared" si="32"/>
        <v>0</v>
      </c>
      <c r="U107" s="25">
        <f t="shared" si="33"/>
        <v>0</v>
      </c>
      <c r="V107" s="25">
        <f t="shared" si="34"/>
        <v>0</v>
      </c>
      <c r="W107" s="25">
        <f t="shared" si="35"/>
        <v>0</v>
      </c>
      <c r="X107" s="64">
        <f t="shared" si="36"/>
        <v>0</v>
      </c>
      <c r="Y107" s="64">
        <f t="shared" si="37"/>
        <v>0</v>
      </c>
      <c r="Z107" s="64">
        <f t="shared" si="38"/>
        <v>0</v>
      </c>
      <c r="AA107" s="64">
        <f t="shared" si="39"/>
        <v>0</v>
      </c>
      <c r="AB107" s="64">
        <f t="shared" si="40"/>
        <v>0</v>
      </c>
      <c r="AC107" s="64">
        <f t="shared" si="41"/>
        <v>0</v>
      </c>
      <c r="AD107" s="64">
        <f t="shared" si="42"/>
        <v>0</v>
      </c>
      <c r="AE107" s="64">
        <f t="shared" si="43"/>
        <v>0</v>
      </c>
      <c r="AF107" s="64">
        <f t="shared" si="44"/>
        <v>0</v>
      </c>
      <c r="AG107" s="29">
        <f t="shared" si="45"/>
        <v>1022.05</v>
      </c>
    </row>
    <row r="108" spans="1:33" s="20" customFormat="1">
      <c r="A108" s="265">
        <v>10690001</v>
      </c>
      <c r="B108" s="265" t="s">
        <v>315</v>
      </c>
      <c r="C108" s="265" t="s">
        <v>319</v>
      </c>
      <c r="D108" s="265">
        <v>100000014</v>
      </c>
      <c r="E108" s="265" t="s">
        <v>278</v>
      </c>
      <c r="F108" s="265" t="s">
        <v>301</v>
      </c>
      <c r="G108" s="266">
        <v>-3012.73</v>
      </c>
      <c r="H108" s="266">
        <v>-4305.13</v>
      </c>
      <c r="I108" s="267"/>
      <c r="J108" s="267"/>
      <c r="K108" s="267"/>
      <c r="L108" s="224" t="str">
        <f t="shared" si="46"/>
        <v>10690001_USD_100000014_PERDAMAN CHEMICALS &amp; FERTILISERS (FINANCE)PTY LTD</v>
      </c>
      <c r="M108" s="221">
        <f t="shared" si="26"/>
        <v>4305.13</v>
      </c>
      <c r="N108" s="24" t="str">
        <f>IF(OR(L108=$L$2,L108=$L$3),$M$10+1,IFERROR(VLOOKUP(A108,'Repricing Maturity Adj.'!$A$3:$C$170,3,0),(IF(K108&lt;$M$10,"Check",K108))))</f>
        <v>Non_sensitive</v>
      </c>
      <c r="O108" s="62" t="b">
        <f t="shared" si="27"/>
        <v>1</v>
      </c>
      <c r="P108" s="63" t="str">
        <f t="shared" si="28"/>
        <v>Liability</v>
      </c>
      <c r="Q108" s="25">
        <f t="shared" si="29"/>
        <v>0</v>
      </c>
      <c r="R108" s="25">
        <f t="shared" si="30"/>
        <v>0</v>
      </c>
      <c r="S108" s="25">
        <f t="shared" si="31"/>
        <v>0</v>
      </c>
      <c r="T108" s="25">
        <f t="shared" si="32"/>
        <v>0</v>
      </c>
      <c r="U108" s="25">
        <f t="shared" si="33"/>
        <v>0</v>
      </c>
      <c r="V108" s="25">
        <f t="shared" si="34"/>
        <v>0</v>
      </c>
      <c r="W108" s="25">
        <f t="shared" si="35"/>
        <v>0</v>
      </c>
      <c r="X108" s="64">
        <f t="shared" si="36"/>
        <v>0</v>
      </c>
      <c r="Y108" s="64">
        <f t="shared" si="37"/>
        <v>0</v>
      </c>
      <c r="Z108" s="64">
        <f t="shared" si="38"/>
        <v>0</v>
      </c>
      <c r="AA108" s="64">
        <f t="shared" si="39"/>
        <v>0</v>
      </c>
      <c r="AB108" s="64">
        <f t="shared" si="40"/>
        <v>0</v>
      </c>
      <c r="AC108" s="64">
        <f t="shared" si="41"/>
        <v>0</v>
      </c>
      <c r="AD108" s="64">
        <f t="shared" si="42"/>
        <v>0</v>
      </c>
      <c r="AE108" s="64">
        <f t="shared" si="43"/>
        <v>0</v>
      </c>
      <c r="AF108" s="64">
        <f t="shared" si="44"/>
        <v>0</v>
      </c>
      <c r="AG108" s="29">
        <f t="shared" si="45"/>
        <v>4305.13</v>
      </c>
    </row>
    <row r="109" spans="1:33" s="20" customFormat="1">
      <c r="A109" s="265">
        <v>10690001</v>
      </c>
      <c r="B109" s="265" t="s">
        <v>315</v>
      </c>
      <c r="C109" s="265" t="s">
        <v>511</v>
      </c>
      <c r="D109" s="265">
        <v>100000014</v>
      </c>
      <c r="E109" s="265" t="s">
        <v>278</v>
      </c>
      <c r="F109" s="265" t="s">
        <v>301</v>
      </c>
      <c r="G109" s="266">
        <v>-10335.540000000001</v>
      </c>
      <c r="H109" s="266">
        <v>-14769.28</v>
      </c>
      <c r="I109" s="267"/>
      <c r="J109" s="267"/>
      <c r="K109" s="267"/>
      <c r="L109" s="224" t="str">
        <f t="shared" si="46"/>
        <v>10690001_USD_100000014_PERDAMAN CHEMICALS &amp; FERTILISERS (FINANCE)PTY LTD</v>
      </c>
      <c r="M109" s="221">
        <f t="shared" si="26"/>
        <v>14769.28</v>
      </c>
      <c r="N109" s="24" t="str">
        <f>IF(OR(L109=$L$2,L109=$L$3),$M$10+1,IFERROR(VLOOKUP(A109,'Repricing Maturity Adj.'!$A$3:$C$170,3,0),(IF(K109&lt;$M$10,"Check",K109))))</f>
        <v>Non_sensitive</v>
      </c>
      <c r="O109" s="62" t="b">
        <f t="shared" si="27"/>
        <v>1</v>
      </c>
      <c r="P109" s="63" t="str">
        <f t="shared" si="28"/>
        <v>Liability</v>
      </c>
      <c r="Q109" s="25">
        <f t="shared" si="29"/>
        <v>0</v>
      </c>
      <c r="R109" s="25">
        <f t="shared" si="30"/>
        <v>0</v>
      </c>
      <c r="S109" s="25">
        <f t="shared" si="31"/>
        <v>0</v>
      </c>
      <c r="T109" s="25">
        <f t="shared" si="32"/>
        <v>0</v>
      </c>
      <c r="U109" s="25">
        <f t="shared" si="33"/>
        <v>0</v>
      </c>
      <c r="V109" s="25">
        <f t="shared" si="34"/>
        <v>0</v>
      </c>
      <c r="W109" s="25">
        <f t="shared" si="35"/>
        <v>0</v>
      </c>
      <c r="X109" s="64">
        <f t="shared" si="36"/>
        <v>0</v>
      </c>
      <c r="Y109" s="64">
        <f t="shared" si="37"/>
        <v>0</v>
      </c>
      <c r="Z109" s="64">
        <f t="shared" si="38"/>
        <v>0</v>
      </c>
      <c r="AA109" s="64">
        <f t="shared" si="39"/>
        <v>0</v>
      </c>
      <c r="AB109" s="64">
        <f t="shared" si="40"/>
        <v>0</v>
      </c>
      <c r="AC109" s="64">
        <f t="shared" si="41"/>
        <v>0</v>
      </c>
      <c r="AD109" s="64">
        <f t="shared" si="42"/>
        <v>0</v>
      </c>
      <c r="AE109" s="64">
        <f t="shared" si="43"/>
        <v>0</v>
      </c>
      <c r="AF109" s="64">
        <f t="shared" si="44"/>
        <v>0</v>
      </c>
      <c r="AG109" s="29">
        <f t="shared" si="45"/>
        <v>14769.28</v>
      </c>
    </row>
    <row r="110" spans="1:33" s="20" customFormat="1">
      <c r="A110" s="265">
        <v>10690001</v>
      </c>
      <c r="B110" s="265" t="s">
        <v>315</v>
      </c>
      <c r="C110" s="265" t="s">
        <v>512</v>
      </c>
      <c r="D110" s="265">
        <v>100000014</v>
      </c>
      <c r="E110" s="265" t="s">
        <v>278</v>
      </c>
      <c r="F110" s="265" t="s">
        <v>301</v>
      </c>
      <c r="G110" s="266">
        <v>-665.78</v>
      </c>
      <c r="H110" s="266">
        <v>-951.39</v>
      </c>
      <c r="I110" s="267"/>
      <c r="J110" s="267"/>
      <c r="K110" s="267"/>
      <c r="L110" s="224" t="str">
        <f t="shared" si="46"/>
        <v>10690001_USD_100000014_PERDAMAN CHEMICALS &amp; FERTILISERS (FINANCE)PTY LTD</v>
      </c>
      <c r="M110" s="221">
        <f t="shared" si="26"/>
        <v>951.39</v>
      </c>
      <c r="N110" s="24" t="str">
        <f>IF(OR(L110=$L$2,L110=$L$3),$M$10+1,IFERROR(VLOOKUP(A110,'Repricing Maturity Adj.'!$A$3:$C$170,3,0),(IF(K110&lt;$M$10,"Check",K110))))</f>
        <v>Non_sensitive</v>
      </c>
      <c r="O110" s="62" t="b">
        <f t="shared" si="27"/>
        <v>1</v>
      </c>
      <c r="P110" s="63" t="str">
        <f t="shared" si="28"/>
        <v>Liability</v>
      </c>
      <c r="Q110" s="25">
        <f t="shared" si="29"/>
        <v>0</v>
      </c>
      <c r="R110" s="25">
        <f t="shared" si="30"/>
        <v>0</v>
      </c>
      <c r="S110" s="25">
        <f t="shared" si="31"/>
        <v>0</v>
      </c>
      <c r="T110" s="25">
        <f t="shared" si="32"/>
        <v>0</v>
      </c>
      <c r="U110" s="25">
        <f t="shared" si="33"/>
        <v>0</v>
      </c>
      <c r="V110" s="25">
        <f t="shared" si="34"/>
        <v>0</v>
      </c>
      <c r="W110" s="25">
        <f t="shared" si="35"/>
        <v>0</v>
      </c>
      <c r="X110" s="64">
        <f t="shared" si="36"/>
        <v>0</v>
      </c>
      <c r="Y110" s="64">
        <f t="shared" si="37"/>
        <v>0</v>
      </c>
      <c r="Z110" s="64">
        <f t="shared" si="38"/>
        <v>0</v>
      </c>
      <c r="AA110" s="64">
        <f t="shared" si="39"/>
        <v>0</v>
      </c>
      <c r="AB110" s="64">
        <f t="shared" si="40"/>
        <v>0</v>
      </c>
      <c r="AC110" s="64">
        <f t="shared" si="41"/>
        <v>0</v>
      </c>
      <c r="AD110" s="64">
        <f t="shared" si="42"/>
        <v>0</v>
      </c>
      <c r="AE110" s="64">
        <f t="shared" si="43"/>
        <v>0</v>
      </c>
      <c r="AF110" s="64">
        <f t="shared" si="44"/>
        <v>0</v>
      </c>
      <c r="AG110" s="29">
        <f t="shared" si="45"/>
        <v>951.39</v>
      </c>
    </row>
    <row r="111" spans="1:33" s="20" customFormat="1">
      <c r="A111" s="265">
        <v>10690001</v>
      </c>
      <c r="B111" s="265" t="s">
        <v>315</v>
      </c>
      <c r="C111" s="265" t="s">
        <v>513</v>
      </c>
      <c r="D111" s="265">
        <v>100000014</v>
      </c>
      <c r="E111" s="265" t="s">
        <v>278</v>
      </c>
      <c r="F111" s="265" t="s">
        <v>301</v>
      </c>
      <c r="G111" s="266">
        <v>-7119.78</v>
      </c>
      <c r="H111" s="266">
        <v>-10174.02</v>
      </c>
      <c r="I111" s="267"/>
      <c r="J111" s="267"/>
      <c r="K111" s="267"/>
      <c r="L111" s="224" t="str">
        <f t="shared" si="46"/>
        <v>10690001_USD_100000014_PERDAMAN CHEMICALS &amp; FERTILISERS (FINANCE)PTY LTD</v>
      </c>
      <c r="M111" s="221">
        <f t="shared" si="26"/>
        <v>10174.02</v>
      </c>
      <c r="N111" s="24" t="str">
        <f>IF(OR(L111=$L$2,L111=$L$3),$M$10+1,IFERROR(VLOOKUP(A111,'Repricing Maturity Adj.'!$A$3:$C$170,3,0),(IF(K111&lt;$M$10,"Check",K111))))</f>
        <v>Non_sensitive</v>
      </c>
      <c r="O111" s="62" t="b">
        <f t="shared" si="27"/>
        <v>1</v>
      </c>
      <c r="P111" s="63" t="str">
        <f t="shared" si="28"/>
        <v>Liability</v>
      </c>
      <c r="Q111" s="25">
        <f t="shared" si="29"/>
        <v>0</v>
      </c>
      <c r="R111" s="25">
        <f t="shared" si="30"/>
        <v>0</v>
      </c>
      <c r="S111" s="25">
        <f t="shared" si="31"/>
        <v>0</v>
      </c>
      <c r="T111" s="25">
        <f t="shared" si="32"/>
        <v>0</v>
      </c>
      <c r="U111" s="25">
        <f t="shared" si="33"/>
        <v>0</v>
      </c>
      <c r="V111" s="25">
        <f t="shared" si="34"/>
        <v>0</v>
      </c>
      <c r="W111" s="25">
        <f t="shared" si="35"/>
        <v>0</v>
      </c>
      <c r="X111" s="64">
        <f t="shared" si="36"/>
        <v>0</v>
      </c>
      <c r="Y111" s="64">
        <f t="shared" si="37"/>
        <v>0</v>
      </c>
      <c r="Z111" s="64">
        <f t="shared" si="38"/>
        <v>0</v>
      </c>
      <c r="AA111" s="64">
        <f t="shared" si="39"/>
        <v>0</v>
      </c>
      <c r="AB111" s="64">
        <f t="shared" si="40"/>
        <v>0</v>
      </c>
      <c r="AC111" s="64">
        <f t="shared" si="41"/>
        <v>0</v>
      </c>
      <c r="AD111" s="64">
        <f t="shared" si="42"/>
        <v>0</v>
      </c>
      <c r="AE111" s="64">
        <f t="shared" si="43"/>
        <v>0</v>
      </c>
      <c r="AF111" s="64">
        <f t="shared" si="44"/>
        <v>0</v>
      </c>
      <c r="AG111" s="29">
        <f t="shared" si="45"/>
        <v>10174.02</v>
      </c>
    </row>
    <row r="112" spans="1:33" s="20" customFormat="1">
      <c r="A112" s="265">
        <v>10690001</v>
      </c>
      <c r="B112" s="265" t="s">
        <v>315</v>
      </c>
      <c r="C112" s="265" t="s">
        <v>514</v>
      </c>
      <c r="D112" s="265">
        <v>100000014</v>
      </c>
      <c r="E112" s="265" t="s">
        <v>278</v>
      </c>
      <c r="F112" s="265" t="s">
        <v>301</v>
      </c>
      <c r="G112" s="266">
        <v>-775.06</v>
      </c>
      <c r="H112" s="266">
        <v>-1107.55</v>
      </c>
      <c r="I112" s="267"/>
      <c r="J112" s="267"/>
      <c r="K112" s="267"/>
      <c r="L112" s="224" t="str">
        <f t="shared" si="46"/>
        <v>10690001_USD_100000014_PERDAMAN CHEMICALS &amp; FERTILISERS (FINANCE)PTY LTD</v>
      </c>
      <c r="M112" s="221">
        <f t="shared" si="26"/>
        <v>1107.55</v>
      </c>
      <c r="N112" s="24" t="str">
        <f>IF(OR(L112=$L$2,L112=$L$3),$M$10+1,IFERROR(VLOOKUP(A112,'Repricing Maturity Adj.'!$A$3:$C$170,3,0),(IF(K112&lt;$M$10,"Check",K112))))</f>
        <v>Non_sensitive</v>
      </c>
      <c r="O112" s="62" t="b">
        <f t="shared" si="27"/>
        <v>1</v>
      </c>
      <c r="P112" s="63" t="str">
        <f t="shared" si="28"/>
        <v>Liability</v>
      </c>
      <c r="Q112" s="25">
        <f t="shared" si="29"/>
        <v>0</v>
      </c>
      <c r="R112" s="25">
        <f t="shared" si="30"/>
        <v>0</v>
      </c>
      <c r="S112" s="25">
        <f t="shared" si="31"/>
        <v>0</v>
      </c>
      <c r="T112" s="25">
        <f t="shared" si="32"/>
        <v>0</v>
      </c>
      <c r="U112" s="25">
        <f t="shared" si="33"/>
        <v>0</v>
      </c>
      <c r="V112" s="25">
        <f t="shared" si="34"/>
        <v>0</v>
      </c>
      <c r="W112" s="25">
        <f t="shared" si="35"/>
        <v>0</v>
      </c>
      <c r="X112" s="64">
        <f t="shared" si="36"/>
        <v>0</v>
      </c>
      <c r="Y112" s="64">
        <f t="shared" si="37"/>
        <v>0</v>
      </c>
      <c r="Z112" s="64">
        <f t="shared" si="38"/>
        <v>0</v>
      </c>
      <c r="AA112" s="64">
        <f t="shared" si="39"/>
        <v>0</v>
      </c>
      <c r="AB112" s="64">
        <f t="shared" si="40"/>
        <v>0</v>
      </c>
      <c r="AC112" s="64">
        <f t="shared" si="41"/>
        <v>0</v>
      </c>
      <c r="AD112" s="64">
        <f t="shared" si="42"/>
        <v>0</v>
      </c>
      <c r="AE112" s="64">
        <f t="shared" si="43"/>
        <v>0</v>
      </c>
      <c r="AF112" s="64">
        <f t="shared" si="44"/>
        <v>0</v>
      </c>
      <c r="AG112" s="29">
        <f t="shared" si="45"/>
        <v>1107.55</v>
      </c>
    </row>
    <row r="113" spans="1:33" s="20" customFormat="1">
      <c r="A113" s="265">
        <v>10690001</v>
      </c>
      <c r="B113" s="265" t="s">
        <v>315</v>
      </c>
      <c r="C113" s="265" t="s">
        <v>515</v>
      </c>
      <c r="D113" s="265">
        <v>100000020</v>
      </c>
      <c r="E113" s="265" t="s">
        <v>503</v>
      </c>
      <c r="F113" s="265" t="s">
        <v>0</v>
      </c>
      <c r="G113" s="266">
        <v>-17200.8</v>
      </c>
      <c r="H113" s="266">
        <v>-17200.8</v>
      </c>
      <c r="I113" s="267"/>
      <c r="J113" s="267"/>
      <c r="K113" s="267"/>
      <c r="L113" s="224" t="str">
        <f t="shared" si="46"/>
        <v>10690001_AUD_100000020_APA INFRASTRUCTURE LIMITED</v>
      </c>
      <c r="M113" s="221">
        <f t="shared" si="26"/>
        <v>17200.8</v>
      </c>
      <c r="N113" s="24" t="str">
        <f>IF(OR(L113=$L$2,L113=$L$3),$M$10+1,IFERROR(VLOOKUP(A113,'Repricing Maturity Adj.'!$A$3:$C$170,3,0),(IF(K113&lt;$M$10,"Check",K113))))</f>
        <v>Non_sensitive</v>
      </c>
      <c r="O113" s="62" t="b">
        <f t="shared" si="27"/>
        <v>1</v>
      </c>
      <c r="P113" s="63" t="str">
        <f t="shared" si="28"/>
        <v>Liability</v>
      </c>
      <c r="Q113" s="25">
        <f t="shared" si="29"/>
        <v>0</v>
      </c>
      <c r="R113" s="25">
        <f t="shared" si="30"/>
        <v>0</v>
      </c>
      <c r="S113" s="25">
        <f t="shared" si="31"/>
        <v>0</v>
      </c>
      <c r="T113" s="25">
        <f t="shared" si="32"/>
        <v>0</v>
      </c>
      <c r="U113" s="25">
        <f t="shared" si="33"/>
        <v>0</v>
      </c>
      <c r="V113" s="25">
        <f t="shared" si="34"/>
        <v>0</v>
      </c>
      <c r="W113" s="25">
        <f t="shared" si="35"/>
        <v>0</v>
      </c>
      <c r="X113" s="64">
        <f t="shared" si="36"/>
        <v>0</v>
      </c>
      <c r="Y113" s="64">
        <f t="shared" si="37"/>
        <v>0</v>
      </c>
      <c r="Z113" s="64">
        <f t="shared" si="38"/>
        <v>0</v>
      </c>
      <c r="AA113" s="64">
        <f t="shared" si="39"/>
        <v>0</v>
      </c>
      <c r="AB113" s="64">
        <f t="shared" si="40"/>
        <v>0</v>
      </c>
      <c r="AC113" s="64">
        <f t="shared" si="41"/>
        <v>0</v>
      </c>
      <c r="AD113" s="64">
        <f t="shared" si="42"/>
        <v>0</v>
      </c>
      <c r="AE113" s="64">
        <f t="shared" si="43"/>
        <v>0</v>
      </c>
      <c r="AF113" s="64">
        <f t="shared" si="44"/>
        <v>0</v>
      </c>
      <c r="AG113" s="29">
        <f t="shared" si="45"/>
        <v>17200.8</v>
      </c>
    </row>
    <row r="114" spans="1:33" s="20" customFormat="1">
      <c r="A114" s="265">
        <v>10690001</v>
      </c>
      <c r="B114" s="265" t="s">
        <v>315</v>
      </c>
      <c r="C114" s="265" t="s">
        <v>516</v>
      </c>
      <c r="D114" s="265">
        <v>100000014</v>
      </c>
      <c r="E114" s="265" t="s">
        <v>278</v>
      </c>
      <c r="F114" s="265" t="s">
        <v>301</v>
      </c>
      <c r="G114" s="266">
        <v>-852.63</v>
      </c>
      <c r="H114" s="266">
        <v>-1218.3900000000001</v>
      </c>
      <c r="I114" s="267"/>
      <c r="J114" s="267"/>
      <c r="K114" s="267"/>
      <c r="L114" s="224" t="str">
        <f t="shared" si="46"/>
        <v>10690001_USD_100000014_PERDAMAN CHEMICALS &amp; FERTILISERS (FINANCE)PTY LTD</v>
      </c>
      <c r="M114" s="221">
        <f t="shared" si="26"/>
        <v>1218.3900000000001</v>
      </c>
      <c r="N114" s="24" t="str">
        <f>IF(OR(L114=$L$2,L114=$L$3),$M$10+1,IFERROR(VLOOKUP(A114,'Repricing Maturity Adj.'!$A$3:$C$170,3,0),(IF(K114&lt;$M$10,"Check",K114))))</f>
        <v>Non_sensitive</v>
      </c>
      <c r="O114" s="62" t="b">
        <f t="shared" si="27"/>
        <v>1</v>
      </c>
      <c r="P114" s="63" t="str">
        <f t="shared" si="28"/>
        <v>Liability</v>
      </c>
      <c r="Q114" s="25">
        <f t="shared" si="29"/>
        <v>0</v>
      </c>
      <c r="R114" s="25">
        <f t="shared" si="30"/>
        <v>0</v>
      </c>
      <c r="S114" s="25">
        <f t="shared" si="31"/>
        <v>0</v>
      </c>
      <c r="T114" s="25">
        <f t="shared" si="32"/>
        <v>0</v>
      </c>
      <c r="U114" s="25">
        <f t="shared" si="33"/>
        <v>0</v>
      </c>
      <c r="V114" s="25">
        <f t="shared" si="34"/>
        <v>0</v>
      </c>
      <c r="W114" s="25">
        <f t="shared" si="35"/>
        <v>0</v>
      </c>
      <c r="X114" s="64">
        <f t="shared" si="36"/>
        <v>0</v>
      </c>
      <c r="Y114" s="64">
        <f t="shared" si="37"/>
        <v>0</v>
      </c>
      <c r="Z114" s="64">
        <f t="shared" si="38"/>
        <v>0</v>
      </c>
      <c r="AA114" s="64">
        <f t="shared" si="39"/>
        <v>0</v>
      </c>
      <c r="AB114" s="64">
        <f t="shared" si="40"/>
        <v>0</v>
      </c>
      <c r="AC114" s="64">
        <f t="shared" si="41"/>
        <v>0</v>
      </c>
      <c r="AD114" s="64">
        <f t="shared" si="42"/>
        <v>0</v>
      </c>
      <c r="AE114" s="64">
        <f t="shared" si="43"/>
        <v>0</v>
      </c>
      <c r="AF114" s="64">
        <f t="shared" si="44"/>
        <v>0</v>
      </c>
      <c r="AG114" s="29">
        <f t="shared" si="45"/>
        <v>1218.3900000000001</v>
      </c>
    </row>
    <row r="115" spans="1:33" s="20" customFormat="1">
      <c r="A115" s="265">
        <v>10690001</v>
      </c>
      <c r="B115" s="265" t="s">
        <v>315</v>
      </c>
      <c r="C115" s="265" t="s">
        <v>517</v>
      </c>
      <c r="D115" s="265">
        <v>100000014</v>
      </c>
      <c r="E115" s="265" t="s">
        <v>278</v>
      </c>
      <c r="F115" s="265" t="s">
        <v>301</v>
      </c>
      <c r="G115" s="266">
        <v>-1500.89</v>
      </c>
      <c r="H115" s="266">
        <v>-2144.7399999999998</v>
      </c>
      <c r="I115" s="267"/>
      <c r="J115" s="267"/>
      <c r="K115" s="267"/>
      <c r="L115" s="224" t="str">
        <f t="shared" si="46"/>
        <v>10690001_USD_100000014_PERDAMAN CHEMICALS &amp; FERTILISERS (FINANCE)PTY LTD</v>
      </c>
      <c r="M115" s="221">
        <f t="shared" si="26"/>
        <v>2144.7399999999998</v>
      </c>
      <c r="N115" s="24" t="str">
        <f>IF(OR(L115=$L$2,L115=$L$3),$M$10+1,IFERROR(VLOOKUP(A115,'Repricing Maturity Adj.'!$A$3:$C$170,3,0),(IF(K115&lt;$M$10,"Check",K115))))</f>
        <v>Non_sensitive</v>
      </c>
      <c r="O115" s="62" t="b">
        <f t="shared" si="27"/>
        <v>1</v>
      </c>
      <c r="P115" s="63" t="str">
        <f t="shared" si="28"/>
        <v>Liability</v>
      </c>
      <c r="Q115" s="25">
        <f t="shared" si="29"/>
        <v>0</v>
      </c>
      <c r="R115" s="25">
        <f t="shared" si="30"/>
        <v>0</v>
      </c>
      <c r="S115" s="25">
        <f t="shared" si="31"/>
        <v>0</v>
      </c>
      <c r="T115" s="25">
        <f t="shared" si="32"/>
        <v>0</v>
      </c>
      <c r="U115" s="25">
        <f t="shared" si="33"/>
        <v>0</v>
      </c>
      <c r="V115" s="25">
        <f t="shared" si="34"/>
        <v>0</v>
      </c>
      <c r="W115" s="25">
        <f t="shared" si="35"/>
        <v>0</v>
      </c>
      <c r="X115" s="64">
        <f t="shared" si="36"/>
        <v>0</v>
      </c>
      <c r="Y115" s="64">
        <f t="shared" si="37"/>
        <v>0</v>
      </c>
      <c r="Z115" s="64">
        <f t="shared" si="38"/>
        <v>0</v>
      </c>
      <c r="AA115" s="64">
        <f t="shared" si="39"/>
        <v>0</v>
      </c>
      <c r="AB115" s="64">
        <f t="shared" si="40"/>
        <v>0</v>
      </c>
      <c r="AC115" s="64">
        <f t="shared" si="41"/>
        <v>0</v>
      </c>
      <c r="AD115" s="64">
        <f t="shared" si="42"/>
        <v>0</v>
      </c>
      <c r="AE115" s="64">
        <f t="shared" si="43"/>
        <v>0</v>
      </c>
      <c r="AF115" s="64">
        <f t="shared" si="44"/>
        <v>0</v>
      </c>
      <c r="AG115" s="29">
        <f t="shared" si="45"/>
        <v>2144.7399999999998</v>
      </c>
    </row>
    <row r="116" spans="1:33" s="20" customFormat="1">
      <c r="A116" s="265">
        <v>10690001</v>
      </c>
      <c r="B116" s="265" t="s">
        <v>315</v>
      </c>
      <c r="C116" s="265" t="s">
        <v>518</v>
      </c>
      <c r="D116" s="265">
        <v>100000014</v>
      </c>
      <c r="E116" s="265" t="s">
        <v>278</v>
      </c>
      <c r="F116" s="265" t="s">
        <v>301</v>
      </c>
      <c r="G116" s="266">
        <v>-6221.03</v>
      </c>
      <c r="H116" s="266">
        <v>-8889.73</v>
      </c>
      <c r="I116" s="267"/>
      <c r="J116" s="267"/>
      <c r="K116" s="267"/>
      <c r="L116" s="224" t="str">
        <f t="shared" si="46"/>
        <v>10690001_USD_100000014_PERDAMAN CHEMICALS &amp; FERTILISERS (FINANCE)PTY LTD</v>
      </c>
      <c r="M116" s="221">
        <f t="shared" si="26"/>
        <v>8889.73</v>
      </c>
      <c r="N116" s="24" t="str">
        <f>IF(OR(L116=$L$2,L116=$L$3),$M$10+1,IFERROR(VLOOKUP(A116,'Repricing Maturity Adj.'!$A$3:$C$170,3,0),(IF(K116&lt;$M$10,"Check",K116))))</f>
        <v>Non_sensitive</v>
      </c>
      <c r="O116" s="62" t="b">
        <f t="shared" si="27"/>
        <v>1</v>
      </c>
      <c r="P116" s="63" t="str">
        <f t="shared" si="28"/>
        <v>Liability</v>
      </c>
      <c r="Q116" s="25">
        <f t="shared" si="29"/>
        <v>0</v>
      </c>
      <c r="R116" s="25">
        <f t="shared" si="30"/>
        <v>0</v>
      </c>
      <c r="S116" s="25">
        <f t="shared" si="31"/>
        <v>0</v>
      </c>
      <c r="T116" s="25">
        <f t="shared" si="32"/>
        <v>0</v>
      </c>
      <c r="U116" s="25">
        <f t="shared" si="33"/>
        <v>0</v>
      </c>
      <c r="V116" s="25">
        <f t="shared" si="34"/>
        <v>0</v>
      </c>
      <c r="W116" s="25">
        <f t="shared" si="35"/>
        <v>0</v>
      </c>
      <c r="X116" s="64">
        <f t="shared" si="36"/>
        <v>0</v>
      </c>
      <c r="Y116" s="64">
        <f t="shared" si="37"/>
        <v>0</v>
      </c>
      <c r="Z116" s="64">
        <f t="shared" si="38"/>
        <v>0</v>
      </c>
      <c r="AA116" s="64">
        <f t="shared" si="39"/>
        <v>0</v>
      </c>
      <c r="AB116" s="64">
        <f t="shared" si="40"/>
        <v>0</v>
      </c>
      <c r="AC116" s="64">
        <f t="shared" si="41"/>
        <v>0</v>
      </c>
      <c r="AD116" s="64">
        <f t="shared" si="42"/>
        <v>0</v>
      </c>
      <c r="AE116" s="64">
        <f t="shared" si="43"/>
        <v>0</v>
      </c>
      <c r="AF116" s="64">
        <f t="shared" si="44"/>
        <v>0</v>
      </c>
      <c r="AG116" s="29">
        <f t="shared" si="45"/>
        <v>8889.73</v>
      </c>
    </row>
    <row r="117" spans="1:33" s="20" customFormat="1">
      <c r="A117" s="265">
        <v>10690001</v>
      </c>
      <c r="B117" s="265" t="s">
        <v>315</v>
      </c>
      <c r="C117" s="265" t="s">
        <v>519</v>
      </c>
      <c r="D117" s="265">
        <v>100000014</v>
      </c>
      <c r="E117" s="265" t="s">
        <v>278</v>
      </c>
      <c r="F117" s="265" t="s">
        <v>301</v>
      </c>
      <c r="G117" s="266">
        <v>-844.75</v>
      </c>
      <c r="H117" s="266">
        <v>-1207.1300000000001</v>
      </c>
      <c r="I117" s="267"/>
      <c r="J117" s="267"/>
      <c r="K117" s="267"/>
      <c r="L117" s="224" t="str">
        <f t="shared" si="46"/>
        <v>10690001_USD_100000014_PERDAMAN CHEMICALS &amp; FERTILISERS (FINANCE)PTY LTD</v>
      </c>
      <c r="M117" s="221">
        <f t="shared" si="26"/>
        <v>1207.1300000000001</v>
      </c>
      <c r="N117" s="24" t="str">
        <f>IF(OR(L117=$L$2,L117=$L$3),$M$10+1,IFERROR(VLOOKUP(A117,'Repricing Maturity Adj.'!$A$3:$C$170,3,0),(IF(K117&lt;$M$10,"Check",K117))))</f>
        <v>Non_sensitive</v>
      </c>
      <c r="O117" s="62" t="b">
        <f t="shared" si="27"/>
        <v>1</v>
      </c>
      <c r="P117" s="63" t="str">
        <f t="shared" si="28"/>
        <v>Liability</v>
      </c>
      <c r="Q117" s="25">
        <f t="shared" si="29"/>
        <v>0</v>
      </c>
      <c r="R117" s="25">
        <f t="shared" si="30"/>
        <v>0</v>
      </c>
      <c r="S117" s="25">
        <f t="shared" si="31"/>
        <v>0</v>
      </c>
      <c r="T117" s="25">
        <f t="shared" si="32"/>
        <v>0</v>
      </c>
      <c r="U117" s="25">
        <f t="shared" si="33"/>
        <v>0</v>
      </c>
      <c r="V117" s="25">
        <f t="shared" si="34"/>
        <v>0</v>
      </c>
      <c r="W117" s="25">
        <f t="shared" si="35"/>
        <v>0</v>
      </c>
      <c r="X117" s="64">
        <f t="shared" si="36"/>
        <v>0</v>
      </c>
      <c r="Y117" s="64">
        <f t="shared" si="37"/>
        <v>0</v>
      </c>
      <c r="Z117" s="64">
        <f t="shared" si="38"/>
        <v>0</v>
      </c>
      <c r="AA117" s="64">
        <f t="shared" si="39"/>
        <v>0</v>
      </c>
      <c r="AB117" s="64">
        <f t="shared" si="40"/>
        <v>0</v>
      </c>
      <c r="AC117" s="64">
        <f t="shared" si="41"/>
        <v>0</v>
      </c>
      <c r="AD117" s="64">
        <f t="shared" si="42"/>
        <v>0</v>
      </c>
      <c r="AE117" s="64">
        <f t="shared" si="43"/>
        <v>0</v>
      </c>
      <c r="AF117" s="64">
        <f t="shared" si="44"/>
        <v>0</v>
      </c>
      <c r="AG117" s="29">
        <f t="shared" si="45"/>
        <v>1207.1300000000001</v>
      </c>
    </row>
    <row r="118" spans="1:33" s="20" customFormat="1">
      <c r="A118" s="265">
        <v>10690001</v>
      </c>
      <c r="B118" s="265" t="s">
        <v>315</v>
      </c>
      <c r="C118" s="265" t="s">
        <v>540</v>
      </c>
      <c r="D118" s="265">
        <v>100000014</v>
      </c>
      <c r="E118" s="265" t="s">
        <v>278</v>
      </c>
      <c r="F118" s="265" t="s">
        <v>301</v>
      </c>
      <c r="G118" s="266">
        <v>-10719.5</v>
      </c>
      <c r="H118" s="266">
        <v>-15317.95</v>
      </c>
      <c r="I118" s="267"/>
      <c r="J118" s="267"/>
      <c r="K118" s="267"/>
      <c r="L118" s="224" t="str">
        <f t="shared" si="46"/>
        <v>10690001_USD_100000014_PERDAMAN CHEMICALS &amp; FERTILISERS (FINANCE)PTY LTD</v>
      </c>
      <c r="M118" s="221">
        <f t="shared" si="26"/>
        <v>15317.95</v>
      </c>
      <c r="N118" s="24" t="str">
        <f>IF(OR(L118=$L$2,L118=$L$3),$M$10+1,IFERROR(VLOOKUP(A118,'Repricing Maturity Adj.'!$A$3:$C$170,3,0),(IF(K118&lt;$M$10,"Check",K118))))</f>
        <v>Non_sensitive</v>
      </c>
      <c r="O118" s="62" t="b">
        <f t="shared" si="27"/>
        <v>1</v>
      </c>
      <c r="P118" s="63" t="str">
        <f t="shared" si="28"/>
        <v>Liability</v>
      </c>
      <c r="Q118" s="25">
        <f t="shared" si="29"/>
        <v>0</v>
      </c>
      <c r="R118" s="25">
        <f t="shared" si="30"/>
        <v>0</v>
      </c>
      <c r="S118" s="25">
        <f t="shared" si="31"/>
        <v>0</v>
      </c>
      <c r="T118" s="25">
        <f t="shared" si="32"/>
        <v>0</v>
      </c>
      <c r="U118" s="25">
        <f t="shared" si="33"/>
        <v>0</v>
      </c>
      <c r="V118" s="25">
        <f t="shared" si="34"/>
        <v>0</v>
      </c>
      <c r="W118" s="25">
        <f t="shared" si="35"/>
        <v>0</v>
      </c>
      <c r="X118" s="64">
        <f t="shared" si="36"/>
        <v>0</v>
      </c>
      <c r="Y118" s="64">
        <f t="shared" si="37"/>
        <v>0</v>
      </c>
      <c r="Z118" s="64">
        <f t="shared" si="38"/>
        <v>0</v>
      </c>
      <c r="AA118" s="64">
        <f t="shared" si="39"/>
        <v>0</v>
      </c>
      <c r="AB118" s="64">
        <f t="shared" si="40"/>
        <v>0</v>
      </c>
      <c r="AC118" s="64">
        <f t="shared" si="41"/>
        <v>0</v>
      </c>
      <c r="AD118" s="64">
        <f t="shared" si="42"/>
        <v>0</v>
      </c>
      <c r="AE118" s="64">
        <f t="shared" si="43"/>
        <v>0</v>
      </c>
      <c r="AF118" s="64">
        <f t="shared" si="44"/>
        <v>0</v>
      </c>
      <c r="AG118" s="29">
        <f t="shared" si="45"/>
        <v>15317.95</v>
      </c>
    </row>
    <row r="119" spans="1:33" s="20" customFormat="1">
      <c r="A119" s="265">
        <v>10690001</v>
      </c>
      <c r="B119" s="265" t="s">
        <v>315</v>
      </c>
      <c r="C119" s="265" t="s">
        <v>541</v>
      </c>
      <c r="D119" s="265">
        <v>100000014</v>
      </c>
      <c r="E119" s="265" t="s">
        <v>278</v>
      </c>
      <c r="F119" s="265" t="s">
        <v>301</v>
      </c>
      <c r="G119" s="266">
        <v>-856.67</v>
      </c>
      <c r="H119" s="266">
        <v>-1224.1600000000001</v>
      </c>
      <c r="I119" s="267"/>
      <c r="J119" s="267"/>
      <c r="K119" s="267"/>
      <c r="L119" s="224" t="str">
        <f t="shared" si="46"/>
        <v>10690001_USD_100000014_PERDAMAN CHEMICALS &amp; FERTILISERS (FINANCE)PTY LTD</v>
      </c>
      <c r="M119" s="221">
        <f t="shared" si="26"/>
        <v>1224.1600000000001</v>
      </c>
      <c r="N119" s="24" t="str">
        <f>IF(OR(L119=$L$2,L119=$L$3),$M$10+1,IFERROR(VLOOKUP(A119,'Repricing Maturity Adj.'!$A$3:$C$170,3,0),(IF(K119&lt;$M$10,"Check",K119))))</f>
        <v>Non_sensitive</v>
      </c>
      <c r="O119" s="62" t="b">
        <f t="shared" si="27"/>
        <v>1</v>
      </c>
      <c r="P119" s="63" t="str">
        <f t="shared" si="28"/>
        <v>Liability</v>
      </c>
      <c r="Q119" s="25">
        <f t="shared" si="29"/>
        <v>0</v>
      </c>
      <c r="R119" s="25">
        <f t="shared" si="30"/>
        <v>0</v>
      </c>
      <c r="S119" s="25">
        <f t="shared" si="31"/>
        <v>0</v>
      </c>
      <c r="T119" s="25">
        <f t="shared" si="32"/>
        <v>0</v>
      </c>
      <c r="U119" s="25">
        <f t="shared" si="33"/>
        <v>0</v>
      </c>
      <c r="V119" s="25">
        <f t="shared" si="34"/>
        <v>0</v>
      </c>
      <c r="W119" s="25">
        <f t="shared" si="35"/>
        <v>0</v>
      </c>
      <c r="X119" s="64">
        <f t="shared" si="36"/>
        <v>0</v>
      </c>
      <c r="Y119" s="64">
        <f t="shared" si="37"/>
        <v>0</v>
      </c>
      <c r="Z119" s="64">
        <f t="shared" si="38"/>
        <v>0</v>
      </c>
      <c r="AA119" s="64">
        <f t="shared" si="39"/>
        <v>0</v>
      </c>
      <c r="AB119" s="64">
        <f t="shared" si="40"/>
        <v>0</v>
      </c>
      <c r="AC119" s="64">
        <f t="shared" si="41"/>
        <v>0</v>
      </c>
      <c r="AD119" s="64">
        <f t="shared" si="42"/>
        <v>0</v>
      </c>
      <c r="AE119" s="64">
        <f t="shared" si="43"/>
        <v>0</v>
      </c>
      <c r="AF119" s="64">
        <f t="shared" si="44"/>
        <v>0</v>
      </c>
      <c r="AG119" s="29">
        <f t="shared" si="45"/>
        <v>1224.1600000000001</v>
      </c>
    </row>
    <row r="120" spans="1:33" s="20" customFormat="1">
      <c r="A120" s="265">
        <v>10690001</v>
      </c>
      <c r="B120" s="265" t="s">
        <v>315</v>
      </c>
      <c r="C120" s="265" t="s">
        <v>542</v>
      </c>
      <c r="D120" s="265">
        <v>100000014</v>
      </c>
      <c r="E120" s="265" t="s">
        <v>278</v>
      </c>
      <c r="F120" s="265" t="s">
        <v>301</v>
      </c>
      <c r="G120" s="266">
        <v>-914.6</v>
      </c>
      <c r="H120" s="266">
        <v>-1306.94</v>
      </c>
      <c r="I120" s="267"/>
      <c r="J120" s="267"/>
      <c r="K120" s="267"/>
      <c r="L120" s="224" t="str">
        <f t="shared" si="46"/>
        <v>10690001_USD_100000014_PERDAMAN CHEMICALS &amp; FERTILISERS (FINANCE)PTY LTD</v>
      </c>
      <c r="M120" s="221">
        <f t="shared" si="26"/>
        <v>1306.94</v>
      </c>
      <c r="N120" s="24" t="str">
        <f>IF(OR(L120=$L$2,L120=$L$3),$M$10+1,IFERROR(VLOOKUP(A120,'Repricing Maturity Adj.'!$A$3:$C$170,3,0),(IF(K120&lt;$M$10,"Check",K120))))</f>
        <v>Non_sensitive</v>
      </c>
      <c r="O120" s="62" t="b">
        <f t="shared" si="27"/>
        <v>1</v>
      </c>
      <c r="P120" s="63" t="str">
        <f t="shared" si="28"/>
        <v>Liability</v>
      </c>
      <c r="Q120" s="25">
        <f t="shared" si="29"/>
        <v>0</v>
      </c>
      <c r="R120" s="25">
        <f t="shared" si="30"/>
        <v>0</v>
      </c>
      <c r="S120" s="25">
        <f t="shared" si="31"/>
        <v>0</v>
      </c>
      <c r="T120" s="25">
        <f t="shared" si="32"/>
        <v>0</v>
      </c>
      <c r="U120" s="25">
        <f t="shared" si="33"/>
        <v>0</v>
      </c>
      <c r="V120" s="25">
        <f t="shared" si="34"/>
        <v>0</v>
      </c>
      <c r="W120" s="25">
        <f t="shared" si="35"/>
        <v>0</v>
      </c>
      <c r="X120" s="64">
        <f t="shared" si="36"/>
        <v>0</v>
      </c>
      <c r="Y120" s="64">
        <f t="shared" si="37"/>
        <v>0</v>
      </c>
      <c r="Z120" s="64">
        <f t="shared" si="38"/>
        <v>0</v>
      </c>
      <c r="AA120" s="64">
        <f t="shared" si="39"/>
        <v>0</v>
      </c>
      <c r="AB120" s="64">
        <f t="shared" si="40"/>
        <v>0</v>
      </c>
      <c r="AC120" s="64">
        <f t="shared" si="41"/>
        <v>0</v>
      </c>
      <c r="AD120" s="64">
        <f t="shared" si="42"/>
        <v>0</v>
      </c>
      <c r="AE120" s="64">
        <f t="shared" si="43"/>
        <v>0</v>
      </c>
      <c r="AF120" s="64">
        <f t="shared" si="44"/>
        <v>0</v>
      </c>
      <c r="AG120" s="29">
        <f t="shared" si="45"/>
        <v>1306.94</v>
      </c>
    </row>
    <row r="121" spans="1:33" s="20" customFormat="1">
      <c r="A121" s="265">
        <v>10690001</v>
      </c>
      <c r="B121" s="265" t="s">
        <v>315</v>
      </c>
      <c r="C121" s="265" t="s">
        <v>543</v>
      </c>
      <c r="D121" s="265">
        <v>100000014</v>
      </c>
      <c r="E121" s="265" t="s">
        <v>278</v>
      </c>
      <c r="F121" s="265" t="s">
        <v>301</v>
      </c>
      <c r="G121" s="266">
        <v>-5750.79</v>
      </c>
      <c r="H121" s="266">
        <v>-8217.76</v>
      </c>
      <c r="I121" s="267"/>
      <c r="J121" s="267"/>
      <c r="K121" s="267"/>
      <c r="L121" s="224" t="str">
        <f t="shared" si="46"/>
        <v>10690001_USD_100000014_PERDAMAN CHEMICALS &amp; FERTILISERS (FINANCE)PTY LTD</v>
      </c>
      <c r="M121" s="221">
        <f t="shared" si="26"/>
        <v>8217.76</v>
      </c>
      <c r="N121" s="24" t="str">
        <f>IF(OR(L121=$L$2,L121=$L$3),$M$10+1,IFERROR(VLOOKUP(A121,'Repricing Maturity Adj.'!$A$3:$C$170,3,0),(IF(K121&lt;$M$10,"Check",K121))))</f>
        <v>Non_sensitive</v>
      </c>
      <c r="O121" s="62" t="b">
        <f t="shared" si="27"/>
        <v>1</v>
      </c>
      <c r="P121" s="63" t="str">
        <f t="shared" si="28"/>
        <v>Liability</v>
      </c>
      <c r="Q121" s="25">
        <f t="shared" si="29"/>
        <v>0</v>
      </c>
      <c r="R121" s="25">
        <f t="shared" si="30"/>
        <v>0</v>
      </c>
      <c r="S121" s="25">
        <f t="shared" si="31"/>
        <v>0</v>
      </c>
      <c r="T121" s="25">
        <f t="shared" si="32"/>
        <v>0</v>
      </c>
      <c r="U121" s="25">
        <f t="shared" si="33"/>
        <v>0</v>
      </c>
      <c r="V121" s="25">
        <f t="shared" si="34"/>
        <v>0</v>
      </c>
      <c r="W121" s="25">
        <f t="shared" si="35"/>
        <v>0</v>
      </c>
      <c r="X121" s="64">
        <f t="shared" si="36"/>
        <v>0</v>
      </c>
      <c r="Y121" s="64">
        <f t="shared" si="37"/>
        <v>0</v>
      </c>
      <c r="Z121" s="64">
        <f t="shared" si="38"/>
        <v>0</v>
      </c>
      <c r="AA121" s="64">
        <f t="shared" si="39"/>
        <v>0</v>
      </c>
      <c r="AB121" s="64">
        <f t="shared" si="40"/>
        <v>0</v>
      </c>
      <c r="AC121" s="64">
        <f t="shared" si="41"/>
        <v>0</v>
      </c>
      <c r="AD121" s="64">
        <f t="shared" si="42"/>
        <v>0</v>
      </c>
      <c r="AE121" s="64">
        <f t="shared" si="43"/>
        <v>0</v>
      </c>
      <c r="AF121" s="64">
        <f t="shared" si="44"/>
        <v>0</v>
      </c>
      <c r="AG121" s="29">
        <f t="shared" si="45"/>
        <v>8217.76</v>
      </c>
    </row>
    <row r="122" spans="1:33" s="20" customFormat="1">
      <c r="A122" s="265">
        <v>10690001</v>
      </c>
      <c r="B122" s="265" t="s">
        <v>315</v>
      </c>
      <c r="C122" s="265" t="s">
        <v>544</v>
      </c>
      <c r="D122" s="265">
        <v>100000014</v>
      </c>
      <c r="E122" s="265" t="s">
        <v>278</v>
      </c>
      <c r="F122" s="265" t="s">
        <v>301</v>
      </c>
      <c r="G122" s="266">
        <v>-4702.75</v>
      </c>
      <c r="H122" s="266">
        <v>-6720.13</v>
      </c>
      <c r="I122" s="267"/>
      <c r="J122" s="267"/>
      <c r="K122" s="267"/>
      <c r="L122" s="224" t="str">
        <f t="shared" si="46"/>
        <v>10690001_USD_100000014_PERDAMAN CHEMICALS &amp; FERTILISERS (FINANCE)PTY LTD</v>
      </c>
      <c r="M122" s="221">
        <f t="shared" si="26"/>
        <v>6720.13</v>
      </c>
      <c r="N122" s="24" t="str">
        <f>IF(OR(L122=$L$2,L122=$L$3),$M$10+1,IFERROR(VLOOKUP(A122,'Repricing Maturity Adj.'!$A$3:$C$170,3,0),(IF(K122&lt;$M$10,"Check",K122))))</f>
        <v>Non_sensitive</v>
      </c>
      <c r="O122" s="62" t="b">
        <f t="shared" si="27"/>
        <v>1</v>
      </c>
      <c r="P122" s="63" t="str">
        <f t="shared" si="28"/>
        <v>Liability</v>
      </c>
      <c r="Q122" s="25">
        <f t="shared" si="29"/>
        <v>0</v>
      </c>
      <c r="R122" s="25">
        <f t="shared" si="30"/>
        <v>0</v>
      </c>
      <c r="S122" s="25">
        <f t="shared" si="31"/>
        <v>0</v>
      </c>
      <c r="T122" s="25">
        <f t="shared" si="32"/>
        <v>0</v>
      </c>
      <c r="U122" s="25">
        <f t="shared" si="33"/>
        <v>0</v>
      </c>
      <c r="V122" s="25">
        <f t="shared" si="34"/>
        <v>0</v>
      </c>
      <c r="W122" s="25">
        <f t="shared" si="35"/>
        <v>0</v>
      </c>
      <c r="X122" s="64">
        <f t="shared" si="36"/>
        <v>0</v>
      </c>
      <c r="Y122" s="64">
        <f t="shared" si="37"/>
        <v>0</v>
      </c>
      <c r="Z122" s="64">
        <f t="shared" si="38"/>
        <v>0</v>
      </c>
      <c r="AA122" s="64">
        <f t="shared" si="39"/>
        <v>0</v>
      </c>
      <c r="AB122" s="64">
        <f t="shared" si="40"/>
        <v>0</v>
      </c>
      <c r="AC122" s="64">
        <f t="shared" si="41"/>
        <v>0</v>
      </c>
      <c r="AD122" s="64">
        <f t="shared" si="42"/>
        <v>0</v>
      </c>
      <c r="AE122" s="64">
        <f t="shared" si="43"/>
        <v>0</v>
      </c>
      <c r="AF122" s="64">
        <f t="shared" si="44"/>
        <v>0</v>
      </c>
      <c r="AG122" s="29">
        <f t="shared" si="45"/>
        <v>6720.13</v>
      </c>
    </row>
    <row r="123" spans="1:33" s="20" customFormat="1">
      <c r="A123" s="265">
        <v>10690001</v>
      </c>
      <c r="B123" s="265" t="s">
        <v>315</v>
      </c>
      <c r="C123" s="265" t="s">
        <v>545</v>
      </c>
      <c r="D123" s="265">
        <v>100000014</v>
      </c>
      <c r="E123" s="265" t="s">
        <v>278</v>
      </c>
      <c r="F123" s="265" t="s">
        <v>301</v>
      </c>
      <c r="G123" s="266">
        <v>-932.17</v>
      </c>
      <c r="H123" s="266">
        <v>-1332.05</v>
      </c>
      <c r="I123" s="267"/>
      <c r="J123" s="267"/>
      <c r="K123" s="267"/>
      <c r="L123" s="224" t="str">
        <f t="shared" si="46"/>
        <v>10690001_USD_100000014_PERDAMAN CHEMICALS &amp; FERTILISERS (FINANCE)PTY LTD</v>
      </c>
      <c r="M123" s="221">
        <f t="shared" si="26"/>
        <v>1332.05</v>
      </c>
      <c r="N123" s="24" t="str">
        <f>IF(OR(L123=$L$2,L123=$L$3),$M$10+1,IFERROR(VLOOKUP(A123,'Repricing Maturity Adj.'!$A$3:$C$170,3,0),(IF(K123&lt;$M$10,"Check",K123))))</f>
        <v>Non_sensitive</v>
      </c>
      <c r="O123" s="62" t="b">
        <f t="shared" si="27"/>
        <v>1</v>
      </c>
      <c r="P123" s="63" t="str">
        <f t="shared" si="28"/>
        <v>Liability</v>
      </c>
      <c r="Q123" s="25">
        <f t="shared" si="29"/>
        <v>0</v>
      </c>
      <c r="R123" s="25">
        <f t="shared" si="30"/>
        <v>0</v>
      </c>
      <c r="S123" s="25">
        <f t="shared" si="31"/>
        <v>0</v>
      </c>
      <c r="T123" s="25">
        <f t="shared" si="32"/>
        <v>0</v>
      </c>
      <c r="U123" s="25">
        <f t="shared" si="33"/>
        <v>0</v>
      </c>
      <c r="V123" s="25">
        <f t="shared" si="34"/>
        <v>0</v>
      </c>
      <c r="W123" s="25">
        <f t="shared" si="35"/>
        <v>0</v>
      </c>
      <c r="X123" s="64">
        <f t="shared" si="36"/>
        <v>0</v>
      </c>
      <c r="Y123" s="64">
        <f t="shared" si="37"/>
        <v>0</v>
      </c>
      <c r="Z123" s="64">
        <f t="shared" si="38"/>
        <v>0</v>
      </c>
      <c r="AA123" s="64">
        <f t="shared" si="39"/>
        <v>0</v>
      </c>
      <c r="AB123" s="64">
        <f t="shared" si="40"/>
        <v>0</v>
      </c>
      <c r="AC123" s="64">
        <f t="shared" si="41"/>
        <v>0</v>
      </c>
      <c r="AD123" s="64">
        <f t="shared" si="42"/>
        <v>0</v>
      </c>
      <c r="AE123" s="64">
        <f t="shared" si="43"/>
        <v>0</v>
      </c>
      <c r="AF123" s="64">
        <f t="shared" si="44"/>
        <v>0</v>
      </c>
      <c r="AG123" s="29">
        <f t="shared" si="45"/>
        <v>1332.05</v>
      </c>
    </row>
    <row r="124" spans="1:33" s="20" customFormat="1">
      <c r="A124" s="265">
        <v>10690001</v>
      </c>
      <c r="B124" s="265" t="s">
        <v>315</v>
      </c>
      <c r="C124" s="265" t="s">
        <v>560</v>
      </c>
      <c r="D124" s="265">
        <v>100000014</v>
      </c>
      <c r="E124" s="265" t="s">
        <v>278</v>
      </c>
      <c r="F124" s="265" t="s">
        <v>301</v>
      </c>
      <c r="G124" s="266">
        <v>-1659.79</v>
      </c>
      <c r="H124" s="266">
        <v>-2371.81</v>
      </c>
      <c r="I124" s="267"/>
      <c r="J124" s="267"/>
      <c r="K124" s="267"/>
      <c r="L124" s="224" t="str">
        <f t="shared" si="46"/>
        <v>10690001_USD_100000014_PERDAMAN CHEMICALS &amp; FERTILISERS (FINANCE)PTY LTD</v>
      </c>
      <c r="M124" s="221">
        <f t="shared" si="26"/>
        <v>2371.81</v>
      </c>
      <c r="N124" s="24" t="str">
        <f>IF(OR(L124=$L$2,L124=$L$3),$M$10+1,IFERROR(VLOOKUP(A124,'Repricing Maturity Adj.'!$A$3:$C$170,3,0),(IF(K124&lt;$M$10,"Check",K124))))</f>
        <v>Non_sensitive</v>
      </c>
      <c r="O124" s="62" t="b">
        <f t="shared" si="27"/>
        <v>1</v>
      </c>
      <c r="P124" s="63" t="str">
        <f t="shared" si="28"/>
        <v>Liability</v>
      </c>
      <c r="Q124" s="25">
        <f t="shared" si="29"/>
        <v>0</v>
      </c>
      <c r="R124" s="25">
        <f t="shared" si="30"/>
        <v>0</v>
      </c>
      <c r="S124" s="25">
        <f t="shared" si="31"/>
        <v>0</v>
      </c>
      <c r="T124" s="25">
        <f t="shared" si="32"/>
        <v>0</v>
      </c>
      <c r="U124" s="25">
        <f t="shared" si="33"/>
        <v>0</v>
      </c>
      <c r="V124" s="25">
        <f t="shared" si="34"/>
        <v>0</v>
      </c>
      <c r="W124" s="25">
        <f t="shared" si="35"/>
        <v>0</v>
      </c>
      <c r="X124" s="64">
        <f t="shared" si="36"/>
        <v>0</v>
      </c>
      <c r="Y124" s="64">
        <f t="shared" si="37"/>
        <v>0</v>
      </c>
      <c r="Z124" s="64">
        <f t="shared" si="38"/>
        <v>0</v>
      </c>
      <c r="AA124" s="64">
        <f t="shared" si="39"/>
        <v>0</v>
      </c>
      <c r="AB124" s="64">
        <f t="shared" si="40"/>
        <v>0</v>
      </c>
      <c r="AC124" s="64">
        <f t="shared" si="41"/>
        <v>0</v>
      </c>
      <c r="AD124" s="64">
        <f t="shared" si="42"/>
        <v>0</v>
      </c>
      <c r="AE124" s="64">
        <f t="shared" si="43"/>
        <v>0</v>
      </c>
      <c r="AF124" s="64">
        <f t="shared" si="44"/>
        <v>0</v>
      </c>
      <c r="AG124" s="29">
        <f t="shared" si="45"/>
        <v>2371.81</v>
      </c>
    </row>
    <row r="125" spans="1:33" s="20" customFormat="1">
      <c r="A125" s="265">
        <v>10690001</v>
      </c>
      <c r="B125" s="265" t="s">
        <v>315</v>
      </c>
      <c r="C125" s="265" t="s">
        <v>561</v>
      </c>
      <c r="D125" s="265">
        <v>100000014</v>
      </c>
      <c r="E125" s="265" t="s">
        <v>278</v>
      </c>
      <c r="F125" s="265" t="s">
        <v>301</v>
      </c>
      <c r="G125" s="266">
        <v>-1060.97</v>
      </c>
      <c r="H125" s="266">
        <v>-1516.1</v>
      </c>
      <c r="I125" s="267"/>
      <c r="J125" s="267"/>
      <c r="K125" s="267"/>
      <c r="L125" s="224" t="str">
        <f t="shared" si="46"/>
        <v>10690001_USD_100000014_PERDAMAN CHEMICALS &amp; FERTILISERS (FINANCE)PTY LTD</v>
      </c>
      <c r="M125" s="221">
        <f t="shared" si="26"/>
        <v>1516.1</v>
      </c>
      <c r="N125" s="24" t="str">
        <f>IF(OR(L125=$L$2,L125=$L$3),$M$10+1,IFERROR(VLOOKUP(A125,'Repricing Maturity Adj.'!$A$3:$C$170,3,0),(IF(K125&lt;$M$10,"Check",K125))))</f>
        <v>Non_sensitive</v>
      </c>
      <c r="O125" s="62" t="b">
        <f t="shared" si="27"/>
        <v>1</v>
      </c>
      <c r="P125" s="63" t="str">
        <f t="shared" si="28"/>
        <v>Liability</v>
      </c>
      <c r="Q125" s="25">
        <f t="shared" si="29"/>
        <v>0</v>
      </c>
      <c r="R125" s="25">
        <f t="shared" si="30"/>
        <v>0</v>
      </c>
      <c r="S125" s="25">
        <f t="shared" si="31"/>
        <v>0</v>
      </c>
      <c r="T125" s="25">
        <f t="shared" si="32"/>
        <v>0</v>
      </c>
      <c r="U125" s="25">
        <f t="shared" si="33"/>
        <v>0</v>
      </c>
      <c r="V125" s="25">
        <f t="shared" si="34"/>
        <v>0</v>
      </c>
      <c r="W125" s="25">
        <f t="shared" si="35"/>
        <v>0</v>
      </c>
      <c r="X125" s="64">
        <f t="shared" si="36"/>
        <v>0</v>
      </c>
      <c r="Y125" s="64">
        <f t="shared" si="37"/>
        <v>0</v>
      </c>
      <c r="Z125" s="64">
        <f t="shared" si="38"/>
        <v>0</v>
      </c>
      <c r="AA125" s="64">
        <f t="shared" si="39"/>
        <v>0</v>
      </c>
      <c r="AB125" s="64">
        <f t="shared" si="40"/>
        <v>0</v>
      </c>
      <c r="AC125" s="64">
        <f t="shared" si="41"/>
        <v>0</v>
      </c>
      <c r="AD125" s="64">
        <f t="shared" si="42"/>
        <v>0</v>
      </c>
      <c r="AE125" s="64">
        <f t="shared" si="43"/>
        <v>0</v>
      </c>
      <c r="AF125" s="64">
        <f t="shared" si="44"/>
        <v>0</v>
      </c>
      <c r="AG125" s="29">
        <f t="shared" si="45"/>
        <v>1516.1</v>
      </c>
    </row>
    <row r="126" spans="1:33" s="20" customFormat="1">
      <c r="A126" s="265">
        <v>10690001</v>
      </c>
      <c r="B126" s="265" t="s">
        <v>315</v>
      </c>
      <c r="C126" s="265" t="s">
        <v>562</v>
      </c>
      <c r="D126" s="265">
        <v>100000014</v>
      </c>
      <c r="E126" s="265" t="s">
        <v>278</v>
      </c>
      <c r="F126" s="265" t="s">
        <v>301</v>
      </c>
      <c r="G126" s="266">
        <v>-1045.46</v>
      </c>
      <c r="H126" s="266">
        <v>-1493.94</v>
      </c>
      <c r="I126" s="267"/>
      <c r="J126" s="267"/>
      <c r="K126" s="267"/>
      <c r="L126" s="224" t="str">
        <f t="shared" si="46"/>
        <v>10690001_USD_100000014_PERDAMAN CHEMICALS &amp; FERTILISERS (FINANCE)PTY LTD</v>
      </c>
      <c r="M126" s="221">
        <f t="shared" si="26"/>
        <v>1493.94</v>
      </c>
      <c r="N126" s="24" t="str">
        <f>IF(OR(L126=$L$2,L126=$L$3),$M$10+1,IFERROR(VLOOKUP(A126,'Repricing Maturity Adj.'!$A$3:$C$170,3,0),(IF(K126&lt;$M$10,"Check",K126))))</f>
        <v>Non_sensitive</v>
      </c>
      <c r="O126" s="62" t="b">
        <f t="shared" si="27"/>
        <v>1</v>
      </c>
      <c r="P126" s="63" t="str">
        <f t="shared" si="28"/>
        <v>Liability</v>
      </c>
      <c r="Q126" s="25">
        <f t="shared" si="29"/>
        <v>0</v>
      </c>
      <c r="R126" s="25">
        <f t="shared" si="30"/>
        <v>0</v>
      </c>
      <c r="S126" s="25">
        <f t="shared" si="31"/>
        <v>0</v>
      </c>
      <c r="T126" s="25">
        <f t="shared" si="32"/>
        <v>0</v>
      </c>
      <c r="U126" s="25">
        <f t="shared" si="33"/>
        <v>0</v>
      </c>
      <c r="V126" s="25">
        <f t="shared" si="34"/>
        <v>0</v>
      </c>
      <c r="W126" s="25">
        <f t="shared" si="35"/>
        <v>0</v>
      </c>
      <c r="X126" s="64">
        <f t="shared" si="36"/>
        <v>0</v>
      </c>
      <c r="Y126" s="64">
        <f t="shared" si="37"/>
        <v>0</v>
      </c>
      <c r="Z126" s="64">
        <f t="shared" si="38"/>
        <v>0</v>
      </c>
      <c r="AA126" s="64">
        <f t="shared" si="39"/>
        <v>0</v>
      </c>
      <c r="AB126" s="64">
        <f t="shared" si="40"/>
        <v>0</v>
      </c>
      <c r="AC126" s="64">
        <f t="shared" si="41"/>
        <v>0</v>
      </c>
      <c r="AD126" s="64">
        <f t="shared" si="42"/>
        <v>0</v>
      </c>
      <c r="AE126" s="64">
        <f t="shared" si="43"/>
        <v>0</v>
      </c>
      <c r="AF126" s="64">
        <f t="shared" si="44"/>
        <v>0</v>
      </c>
      <c r="AG126" s="29">
        <f t="shared" si="45"/>
        <v>1493.94</v>
      </c>
    </row>
    <row r="127" spans="1:33" s="20" customFormat="1">
      <c r="A127" s="265">
        <v>10690001</v>
      </c>
      <c r="B127" s="265" t="s">
        <v>315</v>
      </c>
      <c r="C127" s="265" t="s">
        <v>563</v>
      </c>
      <c r="D127" s="265">
        <v>100000014</v>
      </c>
      <c r="E127" s="265" t="s">
        <v>278</v>
      </c>
      <c r="F127" s="265" t="s">
        <v>301</v>
      </c>
      <c r="G127" s="266">
        <v>-3942.01</v>
      </c>
      <c r="H127" s="266">
        <v>-5633.05</v>
      </c>
      <c r="I127" s="267"/>
      <c r="J127" s="267"/>
      <c r="K127" s="267"/>
      <c r="L127" s="224" t="str">
        <f t="shared" si="46"/>
        <v>10690001_USD_100000014_PERDAMAN CHEMICALS &amp; FERTILISERS (FINANCE)PTY LTD</v>
      </c>
      <c r="M127" s="221">
        <f t="shared" ref="M127:M190" si="47">IF(COUNTIF($A$2:$A$8,A127)&gt;0,-H127,H127)</f>
        <v>5633.05</v>
      </c>
      <c r="N127" s="24" t="str">
        <f>IF(OR(L127=$L$2,L127=$L$3),$M$10+1,IFERROR(VLOOKUP(A127,'Repricing Maturity Adj.'!$A$3:$C$170,3,0),(IF(K127&lt;$M$10,"Check",K127))))</f>
        <v>Non_sensitive</v>
      </c>
      <c r="O127" s="62" t="b">
        <f t="shared" ref="O127:O190" si="48">M127=SUM(Q127:AG127)</f>
        <v>1</v>
      </c>
      <c r="P127" s="63" t="str">
        <f t="shared" ref="P127:P190" si="49">IF(A127="","N/A",IF(COUNTIF($A$2:$A$7,A127)&gt;0,"Liability",IF(COUNTIF($A$8,A127)&gt;0,"Asset",IF(A127&lt;20000000,"Asset",IF(AND(A127&gt;20000000,A127&lt;28800000),"Liability",IF(A127&gt;28800000,"Equity",""))))))</f>
        <v>Liability</v>
      </c>
      <c r="Q127" s="25">
        <f t="shared" ref="Q127:Q190" si="50">IF(AND(N127&gt;$Q$9,N127&lt;$Q$10),M127,IF(N127=$Q$10,M127,0))</f>
        <v>0</v>
      </c>
      <c r="R127" s="25">
        <f t="shared" ref="R127:R190" si="51">IF(AND(N127&gt;$R$9,N127&lt;$R$10),M127,IF(N127=$R$10,M127,0))</f>
        <v>0</v>
      </c>
      <c r="S127" s="25">
        <f t="shared" ref="S127:S190" si="52">IF(AND(N127&gt;$S$9,N127&lt;$S$10),M127,IF(N127=$S$10,M127,0))</f>
        <v>0</v>
      </c>
      <c r="T127" s="25">
        <f t="shared" ref="T127:T190" si="53">IF(AND(N127&gt;$T$9,N127&lt;$T$10),M127,IF(N127=$T$10,M127,0))</f>
        <v>0</v>
      </c>
      <c r="U127" s="25">
        <f t="shared" ref="U127:U190" si="54">IF(AND(N127&gt;$U$9,N127&lt;$U$10),M127,IF(N127=$U$10,M127,0))</f>
        <v>0</v>
      </c>
      <c r="V127" s="25">
        <f t="shared" ref="V127:V190" si="55">IF(AND(N127&gt;$V$9,N127&lt;$V$10),M127,IF(N127=$V$10,M127,0))</f>
        <v>0</v>
      </c>
      <c r="W127" s="25">
        <f t="shared" ref="W127:W190" si="56">IF(AND(N127&gt;$W$9,N127&lt;$W$10),M127,IF(N127=$W$10,M127,0))</f>
        <v>0</v>
      </c>
      <c r="X127" s="64">
        <f t="shared" ref="X127:X190" si="57">IF(AND(N127&gt;$X$9,N127&lt;$X$10),M127,IF(N127=$X$10,M127,0))</f>
        <v>0</v>
      </c>
      <c r="Y127" s="64">
        <f t="shared" ref="Y127:Y190" si="58">IF(AND(N127&gt;$Y$9,N127&lt;$Y$10),M127,IF(N127=$Y$10,M127,0))</f>
        <v>0</v>
      </c>
      <c r="Z127" s="64">
        <f t="shared" ref="Z127:Z190" si="59">IF(AND(N127&gt;$Z$9,N127&lt;$Z$10),M127,IF(N127=$Z$10,M127,0))</f>
        <v>0</v>
      </c>
      <c r="AA127" s="64">
        <f t="shared" ref="AA127:AA190" si="60">IF(AND(N127&gt;$AA$9,N127&lt;$AA$10),M127,IF(N127=$AA$10,M127,0))</f>
        <v>0</v>
      </c>
      <c r="AB127" s="64">
        <f t="shared" ref="AB127:AB190" si="61">IF(AND(N127&gt;$AB$9,N127&lt;$AB$10),M127,IF(N127=$AB$10,M127,0))</f>
        <v>0</v>
      </c>
      <c r="AC127" s="64">
        <f t="shared" ref="AC127:AC190" si="62">IF(AND(N127&gt;$AC$9,N127&lt;$AC$10),M127,IF(N127=$AC$10,M127,0))</f>
        <v>0</v>
      </c>
      <c r="AD127" s="64">
        <f t="shared" ref="AD127:AD190" si="63">IF(AND(N127&gt;$AD$9,N127&lt;$AD$10),M127,IF(N127=$AD$10,M127,0))</f>
        <v>0</v>
      </c>
      <c r="AE127" s="64">
        <f t="shared" ref="AE127:AE190" si="64">IF(AND(N127&gt;$AE$9,N127&lt;$AE$10),M127,IF(N127=$AE$10,M127,0))</f>
        <v>0</v>
      </c>
      <c r="AF127" s="64">
        <f t="shared" ref="AF127:AF190" si="65">IF(AND(N127&gt;$AF$9,N127&lt;$AF$10),M127,IF(N127=$AF$10,M127,0))</f>
        <v>0</v>
      </c>
      <c r="AG127" s="29">
        <f t="shared" ref="AG127:AG190" si="66">IF(N127=$AG$9,M127,0)</f>
        <v>5633.05</v>
      </c>
    </row>
    <row r="128" spans="1:33" s="20" customFormat="1">
      <c r="A128" s="265">
        <v>10690001</v>
      </c>
      <c r="B128" s="265" t="s">
        <v>315</v>
      </c>
      <c r="C128" s="265" t="s">
        <v>564</v>
      </c>
      <c r="D128" s="265">
        <v>100000014</v>
      </c>
      <c r="E128" s="265" t="s">
        <v>278</v>
      </c>
      <c r="F128" s="265" t="s">
        <v>301</v>
      </c>
      <c r="G128" s="266">
        <v>-1078.56</v>
      </c>
      <c r="H128" s="266">
        <v>-1541.24</v>
      </c>
      <c r="I128" s="267"/>
      <c r="J128" s="267"/>
      <c r="K128" s="267"/>
      <c r="L128" s="224" t="str">
        <f t="shared" ref="L128:L191" si="67">A128&amp;"_"&amp;F128&amp;"_"&amp;D128&amp;"_"&amp;E128</f>
        <v>10690001_USD_100000014_PERDAMAN CHEMICALS &amp; FERTILISERS (FINANCE)PTY LTD</v>
      </c>
      <c r="M128" s="221">
        <f t="shared" si="47"/>
        <v>1541.24</v>
      </c>
      <c r="N128" s="24" t="str">
        <f>IF(OR(L128=$L$2,L128=$L$3),$M$10+1,IFERROR(VLOOKUP(A128,'Repricing Maturity Adj.'!$A$3:$C$170,3,0),(IF(K128&lt;$M$10,"Check",K128))))</f>
        <v>Non_sensitive</v>
      </c>
      <c r="O128" s="62" t="b">
        <f t="shared" si="48"/>
        <v>1</v>
      </c>
      <c r="P128" s="63" t="str">
        <f t="shared" si="49"/>
        <v>Liability</v>
      </c>
      <c r="Q128" s="25">
        <f t="shared" si="50"/>
        <v>0</v>
      </c>
      <c r="R128" s="25">
        <f t="shared" si="51"/>
        <v>0</v>
      </c>
      <c r="S128" s="25">
        <f t="shared" si="52"/>
        <v>0</v>
      </c>
      <c r="T128" s="25">
        <f t="shared" si="53"/>
        <v>0</v>
      </c>
      <c r="U128" s="25">
        <f t="shared" si="54"/>
        <v>0</v>
      </c>
      <c r="V128" s="25">
        <f t="shared" si="55"/>
        <v>0</v>
      </c>
      <c r="W128" s="25">
        <f t="shared" si="56"/>
        <v>0</v>
      </c>
      <c r="X128" s="64">
        <f t="shared" si="57"/>
        <v>0</v>
      </c>
      <c r="Y128" s="64">
        <f t="shared" si="58"/>
        <v>0</v>
      </c>
      <c r="Z128" s="64">
        <f t="shared" si="59"/>
        <v>0</v>
      </c>
      <c r="AA128" s="64">
        <f t="shared" si="60"/>
        <v>0</v>
      </c>
      <c r="AB128" s="64">
        <f t="shared" si="61"/>
        <v>0</v>
      </c>
      <c r="AC128" s="64">
        <f t="shared" si="62"/>
        <v>0</v>
      </c>
      <c r="AD128" s="64">
        <f t="shared" si="63"/>
        <v>0</v>
      </c>
      <c r="AE128" s="64">
        <f t="shared" si="64"/>
        <v>0</v>
      </c>
      <c r="AF128" s="64">
        <f t="shared" si="65"/>
        <v>0</v>
      </c>
      <c r="AG128" s="29">
        <f t="shared" si="66"/>
        <v>1541.24</v>
      </c>
    </row>
    <row r="129" spans="1:33" s="20" customFormat="1">
      <c r="A129" s="265">
        <v>10690001</v>
      </c>
      <c r="B129" s="265" t="s">
        <v>315</v>
      </c>
      <c r="C129" s="265" t="s">
        <v>565</v>
      </c>
      <c r="D129" s="265">
        <v>100000014</v>
      </c>
      <c r="E129" s="265" t="s">
        <v>278</v>
      </c>
      <c r="F129" s="265" t="s">
        <v>301</v>
      </c>
      <c r="G129" s="266">
        <v>-4009.11</v>
      </c>
      <c r="H129" s="266">
        <v>-5728.94</v>
      </c>
      <c r="I129" s="267"/>
      <c r="J129" s="267"/>
      <c r="K129" s="267"/>
      <c r="L129" s="224" t="str">
        <f t="shared" si="67"/>
        <v>10690001_USD_100000014_PERDAMAN CHEMICALS &amp; FERTILISERS (FINANCE)PTY LTD</v>
      </c>
      <c r="M129" s="221">
        <f t="shared" si="47"/>
        <v>5728.94</v>
      </c>
      <c r="N129" s="24" t="str">
        <f>IF(OR(L129=$L$2,L129=$L$3),$M$10+1,IFERROR(VLOOKUP(A129,'Repricing Maturity Adj.'!$A$3:$C$170,3,0),(IF(K129&lt;$M$10,"Check",K129))))</f>
        <v>Non_sensitive</v>
      </c>
      <c r="O129" s="62" t="b">
        <f t="shared" si="48"/>
        <v>1</v>
      </c>
      <c r="P129" s="63" t="str">
        <f t="shared" si="49"/>
        <v>Liability</v>
      </c>
      <c r="Q129" s="25">
        <f t="shared" si="50"/>
        <v>0</v>
      </c>
      <c r="R129" s="25">
        <f t="shared" si="51"/>
        <v>0</v>
      </c>
      <c r="S129" s="25">
        <f t="shared" si="52"/>
        <v>0</v>
      </c>
      <c r="T129" s="25">
        <f t="shared" si="53"/>
        <v>0</v>
      </c>
      <c r="U129" s="25">
        <f t="shared" si="54"/>
        <v>0</v>
      </c>
      <c r="V129" s="25">
        <f t="shared" si="55"/>
        <v>0</v>
      </c>
      <c r="W129" s="25">
        <f t="shared" si="56"/>
        <v>0</v>
      </c>
      <c r="X129" s="64">
        <f t="shared" si="57"/>
        <v>0</v>
      </c>
      <c r="Y129" s="64">
        <f t="shared" si="58"/>
        <v>0</v>
      </c>
      <c r="Z129" s="64">
        <f t="shared" si="59"/>
        <v>0</v>
      </c>
      <c r="AA129" s="64">
        <f t="shared" si="60"/>
        <v>0</v>
      </c>
      <c r="AB129" s="64">
        <f t="shared" si="61"/>
        <v>0</v>
      </c>
      <c r="AC129" s="64">
        <f t="shared" si="62"/>
        <v>0</v>
      </c>
      <c r="AD129" s="64">
        <f t="shared" si="63"/>
        <v>0</v>
      </c>
      <c r="AE129" s="64">
        <f t="shared" si="64"/>
        <v>0</v>
      </c>
      <c r="AF129" s="64">
        <f t="shared" si="65"/>
        <v>0</v>
      </c>
      <c r="AG129" s="29">
        <f t="shared" si="66"/>
        <v>5728.94</v>
      </c>
    </row>
    <row r="130" spans="1:33" s="20" customFormat="1">
      <c r="A130" s="265">
        <v>10690001</v>
      </c>
      <c r="B130" s="265" t="s">
        <v>315</v>
      </c>
      <c r="C130" s="265" t="s">
        <v>566</v>
      </c>
      <c r="D130" s="265">
        <v>100000031</v>
      </c>
      <c r="E130" s="265" t="s">
        <v>553</v>
      </c>
      <c r="F130" s="265" t="s">
        <v>0</v>
      </c>
      <c r="G130" s="266">
        <v>-21529</v>
      </c>
      <c r="H130" s="266">
        <v>-21529</v>
      </c>
      <c r="I130" s="267"/>
      <c r="J130" s="267"/>
      <c r="K130" s="267"/>
      <c r="L130" s="224" t="str">
        <f t="shared" si="67"/>
        <v>10690001_AUD_100000031_ORIGIN ENERGY LIMITED</v>
      </c>
      <c r="M130" s="221">
        <f t="shared" si="47"/>
        <v>21529</v>
      </c>
      <c r="N130" s="24" t="str">
        <f>IF(OR(L130=$L$2,L130=$L$3),$M$10+1,IFERROR(VLOOKUP(A130,'Repricing Maturity Adj.'!$A$3:$C$170,3,0),(IF(K130&lt;$M$10,"Check",K130))))</f>
        <v>Non_sensitive</v>
      </c>
      <c r="O130" s="62" t="b">
        <f t="shared" si="48"/>
        <v>1</v>
      </c>
      <c r="P130" s="63" t="str">
        <f t="shared" si="49"/>
        <v>Liability</v>
      </c>
      <c r="Q130" s="25">
        <f t="shared" si="50"/>
        <v>0</v>
      </c>
      <c r="R130" s="25">
        <f t="shared" si="51"/>
        <v>0</v>
      </c>
      <c r="S130" s="25">
        <f t="shared" si="52"/>
        <v>0</v>
      </c>
      <c r="T130" s="25">
        <f t="shared" si="53"/>
        <v>0</v>
      </c>
      <c r="U130" s="25">
        <f t="shared" si="54"/>
        <v>0</v>
      </c>
      <c r="V130" s="25">
        <f t="shared" si="55"/>
        <v>0</v>
      </c>
      <c r="W130" s="25">
        <f t="shared" si="56"/>
        <v>0</v>
      </c>
      <c r="X130" s="64">
        <f t="shared" si="57"/>
        <v>0</v>
      </c>
      <c r="Y130" s="64">
        <f t="shared" si="58"/>
        <v>0</v>
      </c>
      <c r="Z130" s="64">
        <f t="shared" si="59"/>
        <v>0</v>
      </c>
      <c r="AA130" s="64">
        <f t="shared" si="60"/>
        <v>0</v>
      </c>
      <c r="AB130" s="64">
        <f t="shared" si="61"/>
        <v>0</v>
      </c>
      <c r="AC130" s="64">
        <f t="shared" si="62"/>
        <v>0</v>
      </c>
      <c r="AD130" s="64">
        <f t="shared" si="63"/>
        <v>0</v>
      </c>
      <c r="AE130" s="64">
        <f t="shared" si="64"/>
        <v>0</v>
      </c>
      <c r="AF130" s="64">
        <f t="shared" si="65"/>
        <v>0</v>
      </c>
      <c r="AG130" s="29">
        <f t="shared" si="66"/>
        <v>21529</v>
      </c>
    </row>
    <row r="131" spans="1:33" s="20" customFormat="1">
      <c r="A131" s="265">
        <v>10690001</v>
      </c>
      <c r="B131" s="265" t="s">
        <v>315</v>
      </c>
      <c r="C131" s="265" t="s">
        <v>580</v>
      </c>
      <c r="D131" s="265">
        <v>100000014</v>
      </c>
      <c r="E131" s="265" t="s">
        <v>278</v>
      </c>
      <c r="F131" s="265" t="s">
        <v>301</v>
      </c>
      <c r="G131" s="266">
        <v>-4218.6400000000003</v>
      </c>
      <c r="H131" s="266">
        <v>-6028.35</v>
      </c>
      <c r="I131" s="267"/>
      <c r="J131" s="267"/>
      <c r="K131" s="267"/>
      <c r="L131" s="224" t="str">
        <f t="shared" si="67"/>
        <v>10690001_USD_100000014_PERDAMAN CHEMICALS &amp; FERTILISERS (FINANCE)PTY LTD</v>
      </c>
      <c r="M131" s="221">
        <f t="shared" si="47"/>
        <v>6028.35</v>
      </c>
      <c r="N131" s="24" t="str">
        <f>IF(OR(L131=$L$2,L131=$L$3),$M$10+1,IFERROR(VLOOKUP(A131,'Repricing Maturity Adj.'!$A$3:$C$170,3,0),(IF(K131&lt;$M$10,"Check",K131))))</f>
        <v>Non_sensitive</v>
      </c>
      <c r="O131" s="62" t="b">
        <f t="shared" si="48"/>
        <v>1</v>
      </c>
      <c r="P131" s="63" t="str">
        <f t="shared" si="49"/>
        <v>Liability</v>
      </c>
      <c r="Q131" s="25">
        <f t="shared" si="50"/>
        <v>0</v>
      </c>
      <c r="R131" s="25">
        <f t="shared" si="51"/>
        <v>0</v>
      </c>
      <c r="S131" s="25">
        <f t="shared" si="52"/>
        <v>0</v>
      </c>
      <c r="T131" s="25">
        <f t="shared" si="53"/>
        <v>0</v>
      </c>
      <c r="U131" s="25">
        <f t="shared" si="54"/>
        <v>0</v>
      </c>
      <c r="V131" s="25">
        <f t="shared" si="55"/>
        <v>0</v>
      </c>
      <c r="W131" s="25">
        <f t="shared" si="56"/>
        <v>0</v>
      </c>
      <c r="X131" s="64">
        <f t="shared" si="57"/>
        <v>0</v>
      </c>
      <c r="Y131" s="64">
        <f t="shared" si="58"/>
        <v>0</v>
      </c>
      <c r="Z131" s="64">
        <f t="shared" si="59"/>
        <v>0</v>
      </c>
      <c r="AA131" s="64">
        <f t="shared" si="60"/>
        <v>0</v>
      </c>
      <c r="AB131" s="64">
        <f t="shared" si="61"/>
        <v>0</v>
      </c>
      <c r="AC131" s="64">
        <f t="shared" si="62"/>
        <v>0</v>
      </c>
      <c r="AD131" s="64">
        <f t="shared" si="63"/>
        <v>0</v>
      </c>
      <c r="AE131" s="64">
        <f t="shared" si="64"/>
        <v>0</v>
      </c>
      <c r="AF131" s="64">
        <f t="shared" si="65"/>
        <v>0</v>
      </c>
      <c r="AG131" s="29">
        <f t="shared" si="66"/>
        <v>6028.35</v>
      </c>
    </row>
    <row r="132" spans="1:33" s="20" customFormat="1">
      <c r="A132" s="265">
        <v>10690001</v>
      </c>
      <c r="B132" s="265" t="s">
        <v>315</v>
      </c>
      <c r="C132" s="265" t="s">
        <v>581</v>
      </c>
      <c r="D132" s="265">
        <v>100000014</v>
      </c>
      <c r="E132" s="265" t="s">
        <v>278</v>
      </c>
      <c r="F132" s="265" t="s">
        <v>301</v>
      </c>
      <c r="G132" s="266">
        <v>-1036.53</v>
      </c>
      <c r="H132" s="266">
        <v>-1481.18</v>
      </c>
      <c r="I132" s="267"/>
      <c r="J132" s="267"/>
      <c r="K132" s="267"/>
      <c r="L132" s="224" t="str">
        <f t="shared" si="67"/>
        <v>10690001_USD_100000014_PERDAMAN CHEMICALS &amp; FERTILISERS (FINANCE)PTY LTD</v>
      </c>
      <c r="M132" s="221">
        <f t="shared" si="47"/>
        <v>1481.18</v>
      </c>
      <c r="N132" s="24" t="str">
        <f>IF(OR(L132=$L$2,L132=$L$3),$M$10+1,IFERROR(VLOOKUP(A132,'Repricing Maturity Adj.'!$A$3:$C$170,3,0),(IF(K132&lt;$M$10,"Check",K132))))</f>
        <v>Non_sensitive</v>
      </c>
      <c r="O132" s="62" t="b">
        <f t="shared" si="48"/>
        <v>1</v>
      </c>
      <c r="P132" s="63" t="str">
        <f t="shared" si="49"/>
        <v>Liability</v>
      </c>
      <c r="Q132" s="25">
        <f t="shared" si="50"/>
        <v>0</v>
      </c>
      <c r="R132" s="25">
        <f t="shared" si="51"/>
        <v>0</v>
      </c>
      <c r="S132" s="25">
        <f t="shared" si="52"/>
        <v>0</v>
      </c>
      <c r="T132" s="25">
        <f t="shared" si="53"/>
        <v>0</v>
      </c>
      <c r="U132" s="25">
        <f t="shared" si="54"/>
        <v>0</v>
      </c>
      <c r="V132" s="25">
        <f t="shared" si="55"/>
        <v>0</v>
      </c>
      <c r="W132" s="25">
        <f t="shared" si="56"/>
        <v>0</v>
      </c>
      <c r="X132" s="64">
        <f t="shared" si="57"/>
        <v>0</v>
      </c>
      <c r="Y132" s="64">
        <f t="shared" si="58"/>
        <v>0</v>
      </c>
      <c r="Z132" s="64">
        <f t="shared" si="59"/>
        <v>0</v>
      </c>
      <c r="AA132" s="64">
        <f t="shared" si="60"/>
        <v>0</v>
      </c>
      <c r="AB132" s="64">
        <f t="shared" si="61"/>
        <v>0</v>
      </c>
      <c r="AC132" s="64">
        <f t="shared" si="62"/>
        <v>0</v>
      </c>
      <c r="AD132" s="64">
        <f t="shared" si="63"/>
        <v>0</v>
      </c>
      <c r="AE132" s="64">
        <f t="shared" si="64"/>
        <v>0</v>
      </c>
      <c r="AF132" s="64">
        <f t="shared" si="65"/>
        <v>0</v>
      </c>
      <c r="AG132" s="29">
        <f t="shared" si="66"/>
        <v>1481.18</v>
      </c>
    </row>
    <row r="133" spans="1:33" s="20" customFormat="1">
      <c r="A133" s="265">
        <v>10690001</v>
      </c>
      <c r="B133" s="265" t="s">
        <v>315</v>
      </c>
      <c r="C133" s="265" t="s">
        <v>582</v>
      </c>
      <c r="D133" s="265">
        <v>100000014</v>
      </c>
      <c r="E133" s="265" t="s">
        <v>278</v>
      </c>
      <c r="F133" s="265" t="s">
        <v>301</v>
      </c>
      <c r="G133" s="266">
        <v>-8711.75</v>
      </c>
      <c r="H133" s="266">
        <v>-12448.91</v>
      </c>
      <c r="I133" s="267"/>
      <c r="J133" s="267"/>
      <c r="K133" s="267"/>
      <c r="L133" s="224" t="str">
        <f t="shared" si="67"/>
        <v>10690001_USD_100000014_PERDAMAN CHEMICALS &amp; FERTILISERS (FINANCE)PTY LTD</v>
      </c>
      <c r="M133" s="221">
        <f t="shared" si="47"/>
        <v>12448.91</v>
      </c>
      <c r="N133" s="24" t="str">
        <f>IF(OR(L133=$L$2,L133=$L$3),$M$10+1,IFERROR(VLOOKUP(A133,'Repricing Maturity Adj.'!$A$3:$C$170,3,0),(IF(K133&lt;$M$10,"Check",K133))))</f>
        <v>Non_sensitive</v>
      </c>
      <c r="O133" s="62" t="b">
        <f t="shared" si="48"/>
        <v>1</v>
      </c>
      <c r="P133" s="63" t="str">
        <f t="shared" si="49"/>
        <v>Liability</v>
      </c>
      <c r="Q133" s="25">
        <f t="shared" si="50"/>
        <v>0</v>
      </c>
      <c r="R133" s="25">
        <f t="shared" si="51"/>
        <v>0</v>
      </c>
      <c r="S133" s="25">
        <f t="shared" si="52"/>
        <v>0</v>
      </c>
      <c r="T133" s="25">
        <f t="shared" si="53"/>
        <v>0</v>
      </c>
      <c r="U133" s="25">
        <f t="shared" si="54"/>
        <v>0</v>
      </c>
      <c r="V133" s="25">
        <f t="shared" si="55"/>
        <v>0</v>
      </c>
      <c r="W133" s="25">
        <f t="shared" si="56"/>
        <v>0</v>
      </c>
      <c r="X133" s="64">
        <f t="shared" si="57"/>
        <v>0</v>
      </c>
      <c r="Y133" s="64">
        <f t="shared" si="58"/>
        <v>0</v>
      </c>
      <c r="Z133" s="64">
        <f t="shared" si="59"/>
        <v>0</v>
      </c>
      <c r="AA133" s="64">
        <f t="shared" si="60"/>
        <v>0</v>
      </c>
      <c r="AB133" s="64">
        <f t="shared" si="61"/>
        <v>0</v>
      </c>
      <c r="AC133" s="64">
        <f t="shared" si="62"/>
        <v>0</v>
      </c>
      <c r="AD133" s="64">
        <f t="shared" si="63"/>
        <v>0</v>
      </c>
      <c r="AE133" s="64">
        <f t="shared" si="64"/>
        <v>0</v>
      </c>
      <c r="AF133" s="64">
        <f t="shared" si="65"/>
        <v>0</v>
      </c>
      <c r="AG133" s="29">
        <f t="shared" si="66"/>
        <v>12448.91</v>
      </c>
    </row>
    <row r="134" spans="1:33" s="20" customFormat="1">
      <c r="A134" s="265">
        <v>10690001</v>
      </c>
      <c r="B134" s="265" t="s">
        <v>315</v>
      </c>
      <c r="C134" s="265" t="s">
        <v>583</v>
      </c>
      <c r="D134" s="265">
        <v>100000014</v>
      </c>
      <c r="E134" s="265" t="s">
        <v>278</v>
      </c>
      <c r="F134" s="265" t="s">
        <v>301</v>
      </c>
      <c r="G134" s="266">
        <v>-1171.92</v>
      </c>
      <c r="H134" s="266">
        <v>-1674.65</v>
      </c>
      <c r="I134" s="267"/>
      <c r="J134" s="267"/>
      <c r="K134" s="267"/>
      <c r="L134" s="224" t="str">
        <f t="shared" si="67"/>
        <v>10690001_USD_100000014_PERDAMAN CHEMICALS &amp; FERTILISERS (FINANCE)PTY LTD</v>
      </c>
      <c r="M134" s="221">
        <f t="shared" si="47"/>
        <v>1674.65</v>
      </c>
      <c r="N134" s="24" t="str">
        <f>IF(OR(L134=$L$2,L134=$L$3),$M$10+1,IFERROR(VLOOKUP(A134,'Repricing Maturity Adj.'!$A$3:$C$170,3,0),(IF(K134&lt;$M$10,"Check",K134))))</f>
        <v>Non_sensitive</v>
      </c>
      <c r="O134" s="62" t="b">
        <f t="shared" si="48"/>
        <v>1</v>
      </c>
      <c r="P134" s="63" t="str">
        <f t="shared" si="49"/>
        <v>Liability</v>
      </c>
      <c r="Q134" s="25">
        <f t="shared" si="50"/>
        <v>0</v>
      </c>
      <c r="R134" s="25">
        <f t="shared" si="51"/>
        <v>0</v>
      </c>
      <c r="S134" s="25">
        <f t="shared" si="52"/>
        <v>0</v>
      </c>
      <c r="T134" s="25">
        <f t="shared" si="53"/>
        <v>0</v>
      </c>
      <c r="U134" s="25">
        <f t="shared" si="54"/>
        <v>0</v>
      </c>
      <c r="V134" s="25">
        <f t="shared" si="55"/>
        <v>0</v>
      </c>
      <c r="W134" s="25">
        <f t="shared" si="56"/>
        <v>0</v>
      </c>
      <c r="X134" s="64">
        <f t="shared" si="57"/>
        <v>0</v>
      </c>
      <c r="Y134" s="64">
        <f t="shared" si="58"/>
        <v>0</v>
      </c>
      <c r="Z134" s="64">
        <f t="shared" si="59"/>
        <v>0</v>
      </c>
      <c r="AA134" s="64">
        <f t="shared" si="60"/>
        <v>0</v>
      </c>
      <c r="AB134" s="64">
        <f t="shared" si="61"/>
        <v>0</v>
      </c>
      <c r="AC134" s="64">
        <f t="shared" si="62"/>
        <v>0</v>
      </c>
      <c r="AD134" s="64">
        <f t="shared" si="63"/>
        <v>0</v>
      </c>
      <c r="AE134" s="64">
        <f t="shared" si="64"/>
        <v>0</v>
      </c>
      <c r="AF134" s="64">
        <f t="shared" si="65"/>
        <v>0</v>
      </c>
      <c r="AG134" s="29">
        <f t="shared" si="66"/>
        <v>1674.65</v>
      </c>
    </row>
    <row r="135" spans="1:33" s="20" customFormat="1">
      <c r="A135" s="265">
        <v>10690001</v>
      </c>
      <c r="B135" s="265" t="s">
        <v>315</v>
      </c>
      <c r="C135" s="265" t="s">
        <v>584</v>
      </c>
      <c r="D135" s="265">
        <v>100000033</v>
      </c>
      <c r="E135" s="265" t="s">
        <v>573</v>
      </c>
      <c r="F135" s="265" t="s">
        <v>301</v>
      </c>
      <c r="G135" s="266">
        <v>-18687</v>
      </c>
      <c r="H135" s="266">
        <v>-26703.34</v>
      </c>
      <c r="I135" s="267"/>
      <c r="J135" s="267"/>
      <c r="K135" s="267"/>
      <c r="L135" s="224" t="str">
        <f t="shared" si="67"/>
        <v>10690001_USD_100000033_MACQUARIE GROUP LIMITED</v>
      </c>
      <c r="M135" s="221">
        <f t="shared" si="47"/>
        <v>26703.34</v>
      </c>
      <c r="N135" s="24" t="str">
        <f>IF(OR(L135=$L$2,L135=$L$3),$M$10+1,IFERROR(VLOOKUP(A135,'Repricing Maturity Adj.'!$A$3:$C$170,3,0),(IF(K135&lt;$M$10,"Check",K135))))</f>
        <v>Non_sensitive</v>
      </c>
      <c r="O135" s="62" t="b">
        <f t="shared" si="48"/>
        <v>1</v>
      </c>
      <c r="P135" s="63" t="str">
        <f t="shared" si="49"/>
        <v>Liability</v>
      </c>
      <c r="Q135" s="25">
        <f t="shared" si="50"/>
        <v>0</v>
      </c>
      <c r="R135" s="25">
        <f t="shared" si="51"/>
        <v>0</v>
      </c>
      <c r="S135" s="25">
        <f t="shared" si="52"/>
        <v>0</v>
      </c>
      <c r="T135" s="25">
        <f t="shared" si="53"/>
        <v>0</v>
      </c>
      <c r="U135" s="25">
        <f t="shared" si="54"/>
        <v>0</v>
      </c>
      <c r="V135" s="25">
        <f t="shared" si="55"/>
        <v>0</v>
      </c>
      <c r="W135" s="25">
        <f t="shared" si="56"/>
        <v>0</v>
      </c>
      <c r="X135" s="64">
        <f t="shared" si="57"/>
        <v>0</v>
      </c>
      <c r="Y135" s="64">
        <f t="shared" si="58"/>
        <v>0</v>
      </c>
      <c r="Z135" s="64">
        <f t="shared" si="59"/>
        <v>0</v>
      </c>
      <c r="AA135" s="64">
        <f t="shared" si="60"/>
        <v>0</v>
      </c>
      <c r="AB135" s="64">
        <f t="shared" si="61"/>
        <v>0</v>
      </c>
      <c r="AC135" s="64">
        <f t="shared" si="62"/>
        <v>0</v>
      </c>
      <c r="AD135" s="64">
        <f t="shared" si="63"/>
        <v>0</v>
      </c>
      <c r="AE135" s="64">
        <f t="shared" si="64"/>
        <v>0</v>
      </c>
      <c r="AF135" s="64">
        <f t="shared" si="65"/>
        <v>0</v>
      </c>
      <c r="AG135" s="29">
        <f t="shared" si="66"/>
        <v>26703.34</v>
      </c>
    </row>
    <row r="136" spans="1:33" s="20" customFormat="1">
      <c r="A136" s="265">
        <v>10690001</v>
      </c>
      <c r="B136" s="265" t="s">
        <v>315</v>
      </c>
      <c r="C136" s="265" t="s">
        <v>585</v>
      </c>
      <c r="D136" s="265">
        <v>100000014</v>
      </c>
      <c r="E136" s="265" t="s">
        <v>278</v>
      </c>
      <c r="F136" s="265" t="s">
        <v>301</v>
      </c>
      <c r="G136" s="266">
        <v>-6769.8</v>
      </c>
      <c r="H136" s="266">
        <v>-9673.91</v>
      </c>
      <c r="I136" s="267"/>
      <c r="J136" s="267"/>
      <c r="K136" s="267"/>
      <c r="L136" s="224" t="str">
        <f t="shared" si="67"/>
        <v>10690001_USD_100000014_PERDAMAN CHEMICALS &amp; FERTILISERS (FINANCE)PTY LTD</v>
      </c>
      <c r="M136" s="221">
        <f t="shared" si="47"/>
        <v>9673.91</v>
      </c>
      <c r="N136" s="24" t="str">
        <f>IF(OR(L136=$L$2,L136=$L$3),$M$10+1,IFERROR(VLOOKUP(A136,'Repricing Maturity Adj.'!$A$3:$C$170,3,0),(IF(K136&lt;$M$10,"Check",K136))))</f>
        <v>Non_sensitive</v>
      </c>
      <c r="O136" s="62" t="b">
        <f t="shared" si="48"/>
        <v>1</v>
      </c>
      <c r="P136" s="63" t="str">
        <f t="shared" si="49"/>
        <v>Liability</v>
      </c>
      <c r="Q136" s="25">
        <f t="shared" si="50"/>
        <v>0</v>
      </c>
      <c r="R136" s="25">
        <f t="shared" si="51"/>
        <v>0</v>
      </c>
      <c r="S136" s="25">
        <f t="shared" si="52"/>
        <v>0</v>
      </c>
      <c r="T136" s="25">
        <f t="shared" si="53"/>
        <v>0</v>
      </c>
      <c r="U136" s="25">
        <f t="shared" si="54"/>
        <v>0</v>
      </c>
      <c r="V136" s="25">
        <f t="shared" si="55"/>
        <v>0</v>
      </c>
      <c r="W136" s="25">
        <f t="shared" si="56"/>
        <v>0</v>
      </c>
      <c r="X136" s="64">
        <f t="shared" si="57"/>
        <v>0</v>
      </c>
      <c r="Y136" s="64">
        <f t="shared" si="58"/>
        <v>0</v>
      </c>
      <c r="Z136" s="64">
        <f t="shared" si="59"/>
        <v>0</v>
      </c>
      <c r="AA136" s="64">
        <f t="shared" si="60"/>
        <v>0</v>
      </c>
      <c r="AB136" s="64">
        <f t="shared" si="61"/>
        <v>0</v>
      </c>
      <c r="AC136" s="64">
        <f t="shared" si="62"/>
        <v>0</v>
      </c>
      <c r="AD136" s="64">
        <f t="shared" si="63"/>
        <v>0</v>
      </c>
      <c r="AE136" s="64">
        <f t="shared" si="64"/>
        <v>0</v>
      </c>
      <c r="AF136" s="64">
        <f t="shared" si="65"/>
        <v>0</v>
      </c>
      <c r="AG136" s="29">
        <f t="shared" si="66"/>
        <v>9673.91</v>
      </c>
    </row>
    <row r="137" spans="1:33" s="20" customFormat="1">
      <c r="A137" s="265">
        <v>10690001</v>
      </c>
      <c r="B137" s="265" t="s">
        <v>315</v>
      </c>
      <c r="C137" s="265" t="s">
        <v>586</v>
      </c>
      <c r="D137" s="265">
        <v>100000014</v>
      </c>
      <c r="E137" s="265" t="s">
        <v>278</v>
      </c>
      <c r="F137" s="265" t="s">
        <v>301</v>
      </c>
      <c r="G137" s="266">
        <v>-1222.3499999999999</v>
      </c>
      <c r="H137" s="266">
        <v>-1746.71</v>
      </c>
      <c r="I137" s="267"/>
      <c r="J137" s="267"/>
      <c r="K137" s="267"/>
      <c r="L137" s="224" t="str">
        <f t="shared" si="67"/>
        <v>10690001_USD_100000014_PERDAMAN CHEMICALS &amp; FERTILISERS (FINANCE)PTY LTD</v>
      </c>
      <c r="M137" s="221">
        <f t="shared" si="47"/>
        <v>1746.71</v>
      </c>
      <c r="N137" s="24" t="str">
        <f>IF(OR(L137=$L$2,L137=$L$3),$M$10+1,IFERROR(VLOOKUP(A137,'Repricing Maturity Adj.'!$A$3:$C$170,3,0),(IF(K137&lt;$M$10,"Check",K137))))</f>
        <v>Non_sensitive</v>
      </c>
      <c r="O137" s="62" t="b">
        <f t="shared" si="48"/>
        <v>1</v>
      </c>
      <c r="P137" s="63" t="str">
        <f t="shared" si="49"/>
        <v>Liability</v>
      </c>
      <c r="Q137" s="25">
        <f t="shared" si="50"/>
        <v>0</v>
      </c>
      <c r="R137" s="25">
        <f t="shared" si="51"/>
        <v>0</v>
      </c>
      <c r="S137" s="25">
        <f t="shared" si="52"/>
        <v>0</v>
      </c>
      <c r="T137" s="25">
        <f t="shared" si="53"/>
        <v>0</v>
      </c>
      <c r="U137" s="25">
        <f t="shared" si="54"/>
        <v>0</v>
      </c>
      <c r="V137" s="25">
        <f t="shared" si="55"/>
        <v>0</v>
      </c>
      <c r="W137" s="25">
        <f t="shared" si="56"/>
        <v>0</v>
      </c>
      <c r="X137" s="64">
        <f t="shared" si="57"/>
        <v>0</v>
      </c>
      <c r="Y137" s="64">
        <f t="shared" si="58"/>
        <v>0</v>
      </c>
      <c r="Z137" s="64">
        <f t="shared" si="59"/>
        <v>0</v>
      </c>
      <c r="AA137" s="64">
        <f t="shared" si="60"/>
        <v>0</v>
      </c>
      <c r="AB137" s="64">
        <f t="shared" si="61"/>
        <v>0</v>
      </c>
      <c r="AC137" s="64">
        <f t="shared" si="62"/>
        <v>0</v>
      </c>
      <c r="AD137" s="64">
        <f t="shared" si="63"/>
        <v>0</v>
      </c>
      <c r="AE137" s="64">
        <f t="shared" si="64"/>
        <v>0</v>
      </c>
      <c r="AF137" s="64">
        <f t="shared" si="65"/>
        <v>0</v>
      </c>
      <c r="AG137" s="29">
        <f t="shared" si="66"/>
        <v>1746.71</v>
      </c>
    </row>
    <row r="138" spans="1:33" s="20" customFormat="1">
      <c r="A138" s="265">
        <v>10690001</v>
      </c>
      <c r="B138" s="265" t="s">
        <v>315</v>
      </c>
      <c r="C138" s="265" t="s">
        <v>600</v>
      </c>
      <c r="D138" s="265">
        <v>100000014</v>
      </c>
      <c r="E138" s="265" t="s">
        <v>278</v>
      </c>
      <c r="F138" s="265" t="s">
        <v>301</v>
      </c>
      <c r="G138" s="266">
        <v>-1935.43</v>
      </c>
      <c r="H138" s="266">
        <v>-2765.69</v>
      </c>
      <c r="I138" s="267"/>
      <c r="J138" s="267"/>
      <c r="K138" s="267"/>
      <c r="L138" s="224" t="str">
        <f t="shared" si="67"/>
        <v>10690001_USD_100000014_PERDAMAN CHEMICALS &amp; FERTILISERS (FINANCE)PTY LTD</v>
      </c>
      <c r="M138" s="221">
        <f t="shared" si="47"/>
        <v>2765.69</v>
      </c>
      <c r="N138" s="24" t="str">
        <f>IF(OR(L138=$L$2,L138=$L$3),$M$10+1,IFERROR(VLOOKUP(A138,'Repricing Maturity Adj.'!$A$3:$C$170,3,0),(IF(K138&lt;$M$10,"Check",K138))))</f>
        <v>Non_sensitive</v>
      </c>
      <c r="O138" s="62" t="b">
        <f t="shared" si="48"/>
        <v>1</v>
      </c>
      <c r="P138" s="63" t="str">
        <f t="shared" si="49"/>
        <v>Liability</v>
      </c>
      <c r="Q138" s="25">
        <f t="shared" si="50"/>
        <v>0</v>
      </c>
      <c r="R138" s="25">
        <f t="shared" si="51"/>
        <v>0</v>
      </c>
      <c r="S138" s="25">
        <f t="shared" si="52"/>
        <v>0</v>
      </c>
      <c r="T138" s="25">
        <f t="shared" si="53"/>
        <v>0</v>
      </c>
      <c r="U138" s="25">
        <f t="shared" si="54"/>
        <v>0</v>
      </c>
      <c r="V138" s="25">
        <f t="shared" si="55"/>
        <v>0</v>
      </c>
      <c r="W138" s="25">
        <f t="shared" si="56"/>
        <v>0</v>
      </c>
      <c r="X138" s="64">
        <f t="shared" si="57"/>
        <v>0</v>
      </c>
      <c r="Y138" s="64">
        <f t="shared" si="58"/>
        <v>0</v>
      </c>
      <c r="Z138" s="64">
        <f t="shared" si="59"/>
        <v>0</v>
      </c>
      <c r="AA138" s="64">
        <f t="shared" si="60"/>
        <v>0</v>
      </c>
      <c r="AB138" s="64">
        <f t="shared" si="61"/>
        <v>0</v>
      </c>
      <c r="AC138" s="64">
        <f t="shared" si="62"/>
        <v>0</v>
      </c>
      <c r="AD138" s="64">
        <f t="shared" si="63"/>
        <v>0</v>
      </c>
      <c r="AE138" s="64">
        <f t="shared" si="64"/>
        <v>0</v>
      </c>
      <c r="AF138" s="64">
        <f t="shared" si="65"/>
        <v>0</v>
      </c>
      <c r="AG138" s="29">
        <f t="shared" si="66"/>
        <v>2765.69</v>
      </c>
    </row>
    <row r="139" spans="1:33" s="20" customFormat="1">
      <c r="A139" s="265">
        <v>10690001</v>
      </c>
      <c r="B139" s="265" t="s">
        <v>315</v>
      </c>
      <c r="C139" s="265" t="s">
        <v>601</v>
      </c>
      <c r="D139" s="265">
        <v>100000014</v>
      </c>
      <c r="E139" s="265" t="s">
        <v>278</v>
      </c>
      <c r="F139" s="265" t="s">
        <v>301</v>
      </c>
      <c r="G139" s="266">
        <v>-1112.02</v>
      </c>
      <c r="H139" s="266">
        <v>-1589.05</v>
      </c>
      <c r="I139" s="267"/>
      <c r="J139" s="267"/>
      <c r="K139" s="267"/>
      <c r="L139" s="224" t="str">
        <f t="shared" si="67"/>
        <v>10690001_USD_100000014_PERDAMAN CHEMICALS &amp; FERTILISERS (FINANCE)PTY LTD</v>
      </c>
      <c r="M139" s="221">
        <f t="shared" si="47"/>
        <v>1589.05</v>
      </c>
      <c r="N139" s="24" t="str">
        <f>IF(OR(L139=$L$2,L139=$L$3),$M$10+1,IFERROR(VLOOKUP(A139,'Repricing Maturity Adj.'!$A$3:$C$170,3,0),(IF(K139&lt;$M$10,"Check",K139))))</f>
        <v>Non_sensitive</v>
      </c>
      <c r="O139" s="62" t="b">
        <f t="shared" si="48"/>
        <v>1</v>
      </c>
      <c r="P139" s="63" t="str">
        <f t="shared" si="49"/>
        <v>Liability</v>
      </c>
      <c r="Q139" s="25">
        <f t="shared" si="50"/>
        <v>0</v>
      </c>
      <c r="R139" s="25">
        <f t="shared" si="51"/>
        <v>0</v>
      </c>
      <c r="S139" s="25">
        <f t="shared" si="52"/>
        <v>0</v>
      </c>
      <c r="T139" s="25">
        <f t="shared" si="53"/>
        <v>0</v>
      </c>
      <c r="U139" s="25">
        <f t="shared" si="54"/>
        <v>0</v>
      </c>
      <c r="V139" s="25">
        <f t="shared" si="55"/>
        <v>0</v>
      </c>
      <c r="W139" s="25">
        <f t="shared" si="56"/>
        <v>0</v>
      </c>
      <c r="X139" s="64">
        <f t="shared" si="57"/>
        <v>0</v>
      </c>
      <c r="Y139" s="64">
        <f t="shared" si="58"/>
        <v>0</v>
      </c>
      <c r="Z139" s="64">
        <f t="shared" si="59"/>
        <v>0</v>
      </c>
      <c r="AA139" s="64">
        <f t="shared" si="60"/>
        <v>0</v>
      </c>
      <c r="AB139" s="64">
        <f t="shared" si="61"/>
        <v>0</v>
      </c>
      <c r="AC139" s="64">
        <f t="shared" si="62"/>
        <v>0</v>
      </c>
      <c r="AD139" s="64">
        <f t="shared" si="63"/>
        <v>0</v>
      </c>
      <c r="AE139" s="64">
        <f t="shared" si="64"/>
        <v>0</v>
      </c>
      <c r="AF139" s="64">
        <f t="shared" si="65"/>
        <v>0</v>
      </c>
      <c r="AG139" s="29">
        <f t="shared" si="66"/>
        <v>1589.05</v>
      </c>
    </row>
    <row r="140" spans="1:33" s="20" customFormat="1">
      <c r="A140" s="265">
        <v>10690001</v>
      </c>
      <c r="B140" s="265" t="s">
        <v>315</v>
      </c>
      <c r="C140" s="265" t="s">
        <v>602</v>
      </c>
      <c r="D140" s="265">
        <v>100000014</v>
      </c>
      <c r="E140" s="265" t="s">
        <v>278</v>
      </c>
      <c r="F140" s="265" t="s">
        <v>301</v>
      </c>
      <c r="G140" s="266">
        <v>-1148.3399999999999</v>
      </c>
      <c r="H140" s="266">
        <v>-1640.95</v>
      </c>
      <c r="I140" s="267"/>
      <c r="J140" s="267"/>
      <c r="K140" s="267"/>
      <c r="L140" s="224" t="str">
        <f t="shared" si="67"/>
        <v>10690001_USD_100000014_PERDAMAN CHEMICALS &amp; FERTILISERS (FINANCE)PTY LTD</v>
      </c>
      <c r="M140" s="221">
        <f>IF(COUNTIF($A$2:$A$8,A140)&gt;0,-H140,H140)</f>
        <v>1640.95</v>
      </c>
      <c r="N140" s="24" t="str">
        <f>IF(OR(L140=$L$2,L140=$L$3),$M$10+1,IFERROR(VLOOKUP(A140,'Repricing Maturity Adj.'!$A$3:$C$170,3,0),(IF(K140&lt;$M$10,"Check",K140))))</f>
        <v>Non_sensitive</v>
      </c>
      <c r="O140" s="62" t="b">
        <f t="shared" si="48"/>
        <v>1</v>
      </c>
      <c r="P140" s="63" t="str">
        <f t="shared" si="49"/>
        <v>Liability</v>
      </c>
      <c r="Q140" s="25">
        <f t="shared" si="50"/>
        <v>0</v>
      </c>
      <c r="R140" s="25">
        <f t="shared" si="51"/>
        <v>0</v>
      </c>
      <c r="S140" s="25">
        <f t="shared" si="52"/>
        <v>0</v>
      </c>
      <c r="T140" s="25">
        <f t="shared" si="53"/>
        <v>0</v>
      </c>
      <c r="U140" s="25">
        <f t="shared" si="54"/>
        <v>0</v>
      </c>
      <c r="V140" s="25">
        <f t="shared" si="55"/>
        <v>0</v>
      </c>
      <c r="W140" s="25">
        <f t="shared" si="56"/>
        <v>0</v>
      </c>
      <c r="X140" s="64">
        <f t="shared" si="57"/>
        <v>0</v>
      </c>
      <c r="Y140" s="64">
        <f t="shared" si="58"/>
        <v>0</v>
      </c>
      <c r="Z140" s="64">
        <f t="shared" si="59"/>
        <v>0</v>
      </c>
      <c r="AA140" s="64">
        <f t="shared" si="60"/>
        <v>0</v>
      </c>
      <c r="AB140" s="64">
        <f t="shared" si="61"/>
        <v>0</v>
      </c>
      <c r="AC140" s="64">
        <f t="shared" si="62"/>
        <v>0</v>
      </c>
      <c r="AD140" s="64">
        <f t="shared" si="63"/>
        <v>0</v>
      </c>
      <c r="AE140" s="64">
        <f t="shared" si="64"/>
        <v>0</v>
      </c>
      <c r="AF140" s="64">
        <f t="shared" si="65"/>
        <v>0</v>
      </c>
      <c r="AG140" s="29">
        <f t="shared" si="66"/>
        <v>1640.95</v>
      </c>
    </row>
    <row r="141" spans="1:33" s="20" customFormat="1">
      <c r="A141" s="265">
        <v>10690001</v>
      </c>
      <c r="B141" s="265" t="s">
        <v>315</v>
      </c>
      <c r="C141" s="265" t="s">
        <v>603</v>
      </c>
      <c r="D141" s="265">
        <v>100000014</v>
      </c>
      <c r="E141" s="265" t="s">
        <v>278</v>
      </c>
      <c r="F141" s="265" t="s">
        <v>301</v>
      </c>
      <c r="G141" s="266">
        <v>-6221.03</v>
      </c>
      <c r="H141" s="266">
        <v>-8889.73</v>
      </c>
      <c r="I141" s="267"/>
      <c r="J141" s="267"/>
      <c r="K141" s="267"/>
      <c r="L141" s="224" t="str">
        <f t="shared" si="67"/>
        <v>10690001_USD_100000014_PERDAMAN CHEMICALS &amp; FERTILISERS (FINANCE)PTY LTD</v>
      </c>
      <c r="M141" s="221">
        <f t="shared" si="47"/>
        <v>8889.73</v>
      </c>
      <c r="N141" s="24" t="str">
        <f>IF(OR(L141=$L$2,L141=$L$3),$M$10+1,IFERROR(VLOOKUP(A141,'Repricing Maturity Adj.'!$A$3:$C$170,3,0),(IF(K141&lt;$M$10,"Check",K141))))</f>
        <v>Non_sensitive</v>
      </c>
      <c r="O141" s="62" t="b">
        <f t="shared" si="48"/>
        <v>1</v>
      </c>
      <c r="P141" s="63" t="str">
        <f t="shared" si="49"/>
        <v>Liability</v>
      </c>
      <c r="Q141" s="25">
        <f t="shared" si="50"/>
        <v>0</v>
      </c>
      <c r="R141" s="25">
        <f t="shared" si="51"/>
        <v>0</v>
      </c>
      <c r="S141" s="25">
        <f t="shared" si="52"/>
        <v>0</v>
      </c>
      <c r="T141" s="25">
        <f t="shared" si="53"/>
        <v>0</v>
      </c>
      <c r="U141" s="25">
        <f t="shared" si="54"/>
        <v>0</v>
      </c>
      <c r="V141" s="25">
        <f t="shared" si="55"/>
        <v>0</v>
      </c>
      <c r="W141" s="25">
        <f t="shared" si="56"/>
        <v>0</v>
      </c>
      <c r="X141" s="64">
        <f t="shared" si="57"/>
        <v>0</v>
      </c>
      <c r="Y141" s="64">
        <f t="shared" si="58"/>
        <v>0</v>
      </c>
      <c r="Z141" s="64">
        <f t="shared" si="59"/>
        <v>0</v>
      </c>
      <c r="AA141" s="64">
        <f t="shared" si="60"/>
        <v>0</v>
      </c>
      <c r="AB141" s="64">
        <f t="shared" si="61"/>
        <v>0</v>
      </c>
      <c r="AC141" s="64">
        <f t="shared" si="62"/>
        <v>0</v>
      </c>
      <c r="AD141" s="64">
        <f t="shared" si="63"/>
        <v>0</v>
      </c>
      <c r="AE141" s="64">
        <f t="shared" si="64"/>
        <v>0</v>
      </c>
      <c r="AF141" s="64">
        <f t="shared" si="65"/>
        <v>0</v>
      </c>
      <c r="AG141" s="29">
        <f t="shared" si="66"/>
        <v>8889.73</v>
      </c>
    </row>
    <row r="142" spans="1:33" s="20" customFormat="1">
      <c r="A142" s="265">
        <v>10690001</v>
      </c>
      <c r="B142" s="265" t="s">
        <v>315</v>
      </c>
      <c r="C142" s="265" t="s">
        <v>604</v>
      </c>
      <c r="D142" s="265">
        <v>100000014</v>
      </c>
      <c r="E142" s="265" t="s">
        <v>278</v>
      </c>
      <c r="F142" s="265" t="s">
        <v>301</v>
      </c>
      <c r="G142" s="266">
        <v>-1096.55</v>
      </c>
      <c r="H142" s="266">
        <v>-1566.95</v>
      </c>
      <c r="I142" s="267"/>
      <c r="J142" s="267"/>
      <c r="K142" s="267"/>
      <c r="L142" s="224" t="str">
        <f t="shared" si="67"/>
        <v>10690001_USD_100000014_PERDAMAN CHEMICALS &amp; FERTILISERS (FINANCE)PTY LTD</v>
      </c>
      <c r="M142" s="221">
        <f t="shared" si="47"/>
        <v>1566.95</v>
      </c>
      <c r="N142" s="24" t="str">
        <f>IF(OR(L142=$L$2,L142=$L$3),$M$10+1,IFERROR(VLOOKUP(A142,'Repricing Maturity Adj.'!$A$3:$C$170,3,0),(IF(K142&lt;$M$10,"Check",K142))))</f>
        <v>Non_sensitive</v>
      </c>
      <c r="O142" s="62" t="b">
        <f t="shared" si="48"/>
        <v>1</v>
      </c>
      <c r="P142" s="63" t="str">
        <f t="shared" si="49"/>
        <v>Liability</v>
      </c>
      <c r="Q142" s="25">
        <f t="shared" si="50"/>
        <v>0</v>
      </c>
      <c r="R142" s="25">
        <f t="shared" si="51"/>
        <v>0</v>
      </c>
      <c r="S142" s="25">
        <f t="shared" si="52"/>
        <v>0</v>
      </c>
      <c r="T142" s="25">
        <f t="shared" si="53"/>
        <v>0</v>
      </c>
      <c r="U142" s="25">
        <f t="shared" si="54"/>
        <v>0</v>
      </c>
      <c r="V142" s="25">
        <f t="shared" si="55"/>
        <v>0</v>
      </c>
      <c r="W142" s="25">
        <f t="shared" si="56"/>
        <v>0</v>
      </c>
      <c r="X142" s="64">
        <f t="shared" si="57"/>
        <v>0</v>
      </c>
      <c r="Y142" s="64">
        <f t="shared" si="58"/>
        <v>0</v>
      </c>
      <c r="Z142" s="64">
        <f t="shared" si="59"/>
        <v>0</v>
      </c>
      <c r="AA142" s="64">
        <f t="shared" si="60"/>
        <v>0</v>
      </c>
      <c r="AB142" s="64">
        <f t="shared" si="61"/>
        <v>0</v>
      </c>
      <c r="AC142" s="64">
        <f t="shared" si="62"/>
        <v>0</v>
      </c>
      <c r="AD142" s="64">
        <f t="shared" si="63"/>
        <v>0</v>
      </c>
      <c r="AE142" s="64">
        <f t="shared" si="64"/>
        <v>0</v>
      </c>
      <c r="AF142" s="64">
        <f t="shared" si="65"/>
        <v>0</v>
      </c>
      <c r="AG142" s="29">
        <f t="shared" si="66"/>
        <v>1566.95</v>
      </c>
    </row>
    <row r="143" spans="1:33" s="20" customFormat="1">
      <c r="A143" s="265">
        <v>10690001</v>
      </c>
      <c r="B143" s="265" t="s">
        <v>315</v>
      </c>
      <c r="C143" s="265" t="s">
        <v>605</v>
      </c>
      <c r="D143" s="265">
        <v>100000035</v>
      </c>
      <c r="E143" s="265" t="s">
        <v>594</v>
      </c>
      <c r="F143" s="265" t="s">
        <v>0</v>
      </c>
      <c r="G143" s="266">
        <v>-43058</v>
      </c>
      <c r="H143" s="266">
        <v>-43058</v>
      </c>
      <c r="I143" s="267"/>
      <c r="J143" s="267"/>
      <c r="K143" s="267"/>
      <c r="L143" s="224" t="str">
        <f t="shared" si="67"/>
        <v>10690001_AUD_100000035_NEXTDC LIMITED</v>
      </c>
      <c r="M143" s="221">
        <f t="shared" si="47"/>
        <v>43058</v>
      </c>
      <c r="N143" s="24" t="str">
        <f>IF(OR(L143=$L$2,L143=$L$3),$M$10+1,IFERROR(VLOOKUP(A143,'Repricing Maturity Adj.'!$A$3:$C$170,3,0),(IF(K143&lt;$M$10,"Check",K143))))</f>
        <v>Non_sensitive</v>
      </c>
      <c r="O143" s="62" t="b">
        <f t="shared" si="48"/>
        <v>1</v>
      </c>
      <c r="P143" s="63" t="str">
        <f t="shared" si="49"/>
        <v>Liability</v>
      </c>
      <c r="Q143" s="25">
        <f t="shared" si="50"/>
        <v>0</v>
      </c>
      <c r="R143" s="25">
        <f t="shared" si="51"/>
        <v>0</v>
      </c>
      <c r="S143" s="25">
        <f t="shared" si="52"/>
        <v>0</v>
      </c>
      <c r="T143" s="25">
        <f t="shared" si="53"/>
        <v>0</v>
      </c>
      <c r="U143" s="25">
        <f t="shared" si="54"/>
        <v>0</v>
      </c>
      <c r="V143" s="25">
        <f t="shared" si="55"/>
        <v>0</v>
      </c>
      <c r="W143" s="25">
        <f t="shared" si="56"/>
        <v>0</v>
      </c>
      <c r="X143" s="64">
        <f t="shared" si="57"/>
        <v>0</v>
      </c>
      <c r="Y143" s="64">
        <f t="shared" si="58"/>
        <v>0</v>
      </c>
      <c r="Z143" s="64">
        <f t="shared" si="59"/>
        <v>0</v>
      </c>
      <c r="AA143" s="64">
        <f t="shared" si="60"/>
        <v>0</v>
      </c>
      <c r="AB143" s="64">
        <f t="shared" si="61"/>
        <v>0</v>
      </c>
      <c r="AC143" s="64">
        <f t="shared" si="62"/>
        <v>0</v>
      </c>
      <c r="AD143" s="64">
        <f t="shared" si="63"/>
        <v>0</v>
      </c>
      <c r="AE143" s="64">
        <f t="shared" si="64"/>
        <v>0</v>
      </c>
      <c r="AF143" s="64">
        <f t="shared" si="65"/>
        <v>0</v>
      </c>
      <c r="AG143" s="29">
        <f t="shared" si="66"/>
        <v>43058</v>
      </c>
    </row>
    <row r="144" spans="1:33" s="20" customFormat="1">
      <c r="A144" s="265">
        <v>10690001</v>
      </c>
      <c r="B144" s="265" t="s">
        <v>315</v>
      </c>
      <c r="C144" s="265" t="s">
        <v>617</v>
      </c>
      <c r="D144" s="265">
        <v>100000014</v>
      </c>
      <c r="E144" s="265" t="s">
        <v>278</v>
      </c>
      <c r="F144" s="265" t="s">
        <v>301</v>
      </c>
      <c r="G144" s="266">
        <v>-5391.56</v>
      </c>
      <c r="H144" s="266">
        <v>-7704.43</v>
      </c>
      <c r="I144" s="267"/>
      <c r="J144" s="267"/>
      <c r="K144" s="267"/>
      <c r="L144" s="224" t="str">
        <f t="shared" si="67"/>
        <v>10690001_USD_100000014_PERDAMAN CHEMICALS &amp; FERTILISERS (FINANCE)PTY LTD</v>
      </c>
      <c r="M144" s="221">
        <f t="shared" si="47"/>
        <v>7704.43</v>
      </c>
      <c r="N144" s="24" t="str">
        <f>IF(OR(L144=$L$2,L144=$L$3),$M$10+1,IFERROR(VLOOKUP(A144,'Repricing Maturity Adj.'!$A$3:$C$170,3,0),(IF(K144&lt;$M$10,"Check",K144))))</f>
        <v>Non_sensitive</v>
      </c>
      <c r="O144" s="62" t="b">
        <f t="shared" si="48"/>
        <v>1</v>
      </c>
      <c r="P144" s="63" t="str">
        <f t="shared" si="49"/>
        <v>Liability</v>
      </c>
      <c r="Q144" s="25">
        <f t="shared" si="50"/>
        <v>0</v>
      </c>
      <c r="R144" s="25">
        <f t="shared" si="51"/>
        <v>0</v>
      </c>
      <c r="S144" s="25">
        <f t="shared" si="52"/>
        <v>0</v>
      </c>
      <c r="T144" s="25">
        <f t="shared" si="53"/>
        <v>0</v>
      </c>
      <c r="U144" s="25">
        <f t="shared" si="54"/>
        <v>0</v>
      </c>
      <c r="V144" s="25">
        <f t="shared" si="55"/>
        <v>0</v>
      </c>
      <c r="W144" s="25">
        <f t="shared" si="56"/>
        <v>0</v>
      </c>
      <c r="X144" s="64">
        <f t="shared" si="57"/>
        <v>0</v>
      </c>
      <c r="Y144" s="64">
        <f t="shared" si="58"/>
        <v>0</v>
      </c>
      <c r="Z144" s="64">
        <f t="shared" si="59"/>
        <v>0</v>
      </c>
      <c r="AA144" s="64">
        <f t="shared" si="60"/>
        <v>0</v>
      </c>
      <c r="AB144" s="64">
        <f t="shared" si="61"/>
        <v>0</v>
      </c>
      <c r="AC144" s="64">
        <f t="shared" si="62"/>
        <v>0</v>
      </c>
      <c r="AD144" s="64">
        <f t="shared" si="63"/>
        <v>0</v>
      </c>
      <c r="AE144" s="64">
        <f t="shared" si="64"/>
        <v>0</v>
      </c>
      <c r="AF144" s="64">
        <f t="shared" si="65"/>
        <v>0</v>
      </c>
      <c r="AG144" s="29">
        <f t="shared" si="66"/>
        <v>7704.43</v>
      </c>
    </row>
    <row r="145" spans="1:33" s="20" customFormat="1">
      <c r="A145" s="265">
        <v>10690001</v>
      </c>
      <c r="B145" s="265" t="s">
        <v>315</v>
      </c>
      <c r="C145" s="265" t="s">
        <v>618</v>
      </c>
      <c r="D145" s="265">
        <v>100000014</v>
      </c>
      <c r="E145" s="265" t="s">
        <v>278</v>
      </c>
      <c r="F145" s="265" t="s">
        <v>301</v>
      </c>
      <c r="G145" s="266">
        <v>-1224.07</v>
      </c>
      <c r="H145" s="266">
        <v>-1749.17</v>
      </c>
      <c r="I145" s="267"/>
      <c r="J145" s="267"/>
      <c r="K145" s="267"/>
      <c r="L145" s="224" t="str">
        <f t="shared" si="67"/>
        <v>10690001_USD_100000014_PERDAMAN CHEMICALS &amp; FERTILISERS (FINANCE)PTY LTD</v>
      </c>
      <c r="M145" s="221">
        <f t="shared" si="47"/>
        <v>1749.17</v>
      </c>
      <c r="N145" s="24" t="str">
        <f>IF(OR(L145=$L$2,L145=$L$3),$M$10+1,IFERROR(VLOOKUP(A145,'Repricing Maturity Adj.'!$A$3:$C$170,3,0),(IF(K145&lt;$M$10,"Check",K145))))</f>
        <v>Non_sensitive</v>
      </c>
      <c r="O145" s="62" t="b">
        <f t="shared" si="48"/>
        <v>1</v>
      </c>
      <c r="P145" s="63" t="str">
        <f t="shared" si="49"/>
        <v>Liability</v>
      </c>
      <c r="Q145" s="25">
        <f t="shared" si="50"/>
        <v>0</v>
      </c>
      <c r="R145" s="25">
        <f t="shared" si="51"/>
        <v>0</v>
      </c>
      <c r="S145" s="25">
        <f t="shared" si="52"/>
        <v>0</v>
      </c>
      <c r="T145" s="25">
        <f t="shared" si="53"/>
        <v>0</v>
      </c>
      <c r="U145" s="25">
        <f t="shared" si="54"/>
        <v>0</v>
      </c>
      <c r="V145" s="25">
        <f t="shared" si="55"/>
        <v>0</v>
      </c>
      <c r="W145" s="25">
        <f t="shared" si="56"/>
        <v>0</v>
      </c>
      <c r="X145" s="64">
        <f t="shared" si="57"/>
        <v>0</v>
      </c>
      <c r="Y145" s="64">
        <f t="shared" si="58"/>
        <v>0</v>
      </c>
      <c r="Z145" s="64">
        <f t="shared" si="59"/>
        <v>0</v>
      </c>
      <c r="AA145" s="64">
        <f t="shared" si="60"/>
        <v>0</v>
      </c>
      <c r="AB145" s="64">
        <f t="shared" si="61"/>
        <v>0</v>
      </c>
      <c r="AC145" s="64">
        <f t="shared" si="62"/>
        <v>0</v>
      </c>
      <c r="AD145" s="64">
        <f t="shared" si="63"/>
        <v>0</v>
      </c>
      <c r="AE145" s="64">
        <f t="shared" si="64"/>
        <v>0</v>
      </c>
      <c r="AF145" s="64">
        <f t="shared" si="65"/>
        <v>0</v>
      </c>
      <c r="AG145" s="29">
        <f t="shared" si="66"/>
        <v>1749.17</v>
      </c>
    </row>
    <row r="146" spans="1:33" s="20" customFormat="1">
      <c r="A146" s="265">
        <v>10690001</v>
      </c>
      <c r="B146" s="265" t="s">
        <v>315</v>
      </c>
      <c r="C146" s="265" t="s">
        <v>619</v>
      </c>
      <c r="D146" s="265">
        <v>100000014</v>
      </c>
      <c r="E146" s="265" t="s">
        <v>278</v>
      </c>
      <c r="F146" s="265" t="s">
        <v>301</v>
      </c>
      <c r="G146" s="266">
        <v>-10368.39</v>
      </c>
      <c r="H146" s="266">
        <v>-14816.22</v>
      </c>
      <c r="I146" s="267"/>
      <c r="J146" s="267"/>
      <c r="K146" s="267"/>
      <c r="L146" s="224" t="str">
        <f t="shared" si="67"/>
        <v>10690001_USD_100000014_PERDAMAN CHEMICALS &amp; FERTILISERS (FINANCE)PTY LTD</v>
      </c>
      <c r="M146" s="221">
        <f t="shared" si="47"/>
        <v>14816.22</v>
      </c>
      <c r="N146" s="24" t="str">
        <f>IF(OR(L146=$L$2,L146=$L$3),$M$10+1,IFERROR(VLOOKUP(A146,'Repricing Maturity Adj.'!$A$3:$C$170,3,0),(IF(K146&lt;$M$10,"Check",K146))))</f>
        <v>Non_sensitive</v>
      </c>
      <c r="O146" s="62" t="b">
        <f t="shared" si="48"/>
        <v>1</v>
      </c>
      <c r="P146" s="63" t="str">
        <f t="shared" si="49"/>
        <v>Liability</v>
      </c>
      <c r="Q146" s="25">
        <f t="shared" si="50"/>
        <v>0</v>
      </c>
      <c r="R146" s="25">
        <f t="shared" si="51"/>
        <v>0</v>
      </c>
      <c r="S146" s="25">
        <f t="shared" si="52"/>
        <v>0</v>
      </c>
      <c r="T146" s="25">
        <f t="shared" si="53"/>
        <v>0</v>
      </c>
      <c r="U146" s="25">
        <f t="shared" si="54"/>
        <v>0</v>
      </c>
      <c r="V146" s="25">
        <f t="shared" si="55"/>
        <v>0</v>
      </c>
      <c r="W146" s="25">
        <f t="shared" si="56"/>
        <v>0</v>
      </c>
      <c r="X146" s="64">
        <f t="shared" si="57"/>
        <v>0</v>
      </c>
      <c r="Y146" s="64">
        <f t="shared" si="58"/>
        <v>0</v>
      </c>
      <c r="Z146" s="64">
        <f t="shared" si="59"/>
        <v>0</v>
      </c>
      <c r="AA146" s="64">
        <f t="shared" si="60"/>
        <v>0</v>
      </c>
      <c r="AB146" s="64">
        <f t="shared" si="61"/>
        <v>0</v>
      </c>
      <c r="AC146" s="64">
        <f t="shared" si="62"/>
        <v>0</v>
      </c>
      <c r="AD146" s="64">
        <f t="shared" si="63"/>
        <v>0</v>
      </c>
      <c r="AE146" s="64">
        <f t="shared" si="64"/>
        <v>0</v>
      </c>
      <c r="AF146" s="64">
        <f t="shared" si="65"/>
        <v>0</v>
      </c>
      <c r="AG146" s="29">
        <f t="shared" si="66"/>
        <v>14816.22</v>
      </c>
    </row>
    <row r="147" spans="1:33" s="20" customFormat="1">
      <c r="A147" s="265">
        <v>10690001</v>
      </c>
      <c r="B147" s="265" t="s">
        <v>315</v>
      </c>
      <c r="C147" s="265" t="s">
        <v>620</v>
      </c>
      <c r="D147" s="265">
        <v>100000014</v>
      </c>
      <c r="E147" s="265" t="s">
        <v>278</v>
      </c>
      <c r="F147" s="265" t="s">
        <v>301</v>
      </c>
      <c r="G147" s="266">
        <v>-1246.44</v>
      </c>
      <c r="H147" s="266">
        <v>-1781.14</v>
      </c>
      <c r="I147" s="267"/>
      <c r="J147" s="267"/>
      <c r="K147" s="267"/>
      <c r="L147" s="224" t="str">
        <f t="shared" si="67"/>
        <v>10690001_USD_100000014_PERDAMAN CHEMICALS &amp; FERTILISERS (FINANCE)PTY LTD</v>
      </c>
      <c r="M147" s="221">
        <f t="shared" si="47"/>
        <v>1781.14</v>
      </c>
      <c r="N147" s="24" t="str">
        <f>IF(OR(L147=$L$2,L147=$L$3),$M$10+1,IFERROR(VLOOKUP(A147,'Repricing Maturity Adj.'!$A$3:$C$170,3,0),(IF(K147&lt;$M$10,"Check",K147))))</f>
        <v>Non_sensitive</v>
      </c>
      <c r="O147" s="62" t="b">
        <f t="shared" si="48"/>
        <v>1</v>
      </c>
      <c r="P147" s="63" t="str">
        <f t="shared" si="49"/>
        <v>Liability</v>
      </c>
      <c r="Q147" s="25">
        <f t="shared" si="50"/>
        <v>0</v>
      </c>
      <c r="R147" s="25">
        <f t="shared" si="51"/>
        <v>0</v>
      </c>
      <c r="S147" s="25">
        <f t="shared" si="52"/>
        <v>0</v>
      </c>
      <c r="T147" s="25">
        <f t="shared" si="53"/>
        <v>0</v>
      </c>
      <c r="U147" s="25">
        <f t="shared" si="54"/>
        <v>0</v>
      </c>
      <c r="V147" s="25">
        <f t="shared" si="55"/>
        <v>0</v>
      </c>
      <c r="W147" s="25">
        <f t="shared" si="56"/>
        <v>0</v>
      </c>
      <c r="X147" s="64">
        <f t="shared" si="57"/>
        <v>0</v>
      </c>
      <c r="Y147" s="64">
        <f t="shared" si="58"/>
        <v>0</v>
      </c>
      <c r="Z147" s="64">
        <f t="shared" si="59"/>
        <v>0</v>
      </c>
      <c r="AA147" s="64">
        <f t="shared" si="60"/>
        <v>0</v>
      </c>
      <c r="AB147" s="64">
        <f t="shared" si="61"/>
        <v>0</v>
      </c>
      <c r="AC147" s="64">
        <f t="shared" si="62"/>
        <v>0</v>
      </c>
      <c r="AD147" s="64">
        <f t="shared" si="63"/>
        <v>0</v>
      </c>
      <c r="AE147" s="64">
        <f t="shared" si="64"/>
        <v>0</v>
      </c>
      <c r="AF147" s="64">
        <f t="shared" si="65"/>
        <v>0</v>
      </c>
      <c r="AG147" s="29">
        <f t="shared" si="66"/>
        <v>1781.14</v>
      </c>
    </row>
    <row r="148" spans="1:33" s="20" customFormat="1">
      <c r="A148" s="265">
        <v>10690001</v>
      </c>
      <c r="B148" s="265" t="s">
        <v>315</v>
      </c>
      <c r="C148" s="265" t="s">
        <v>621</v>
      </c>
      <c r="D148" s="265">
        <v>100000014</v>
      </c>
      <c r="E148" s="265" t="s">
        <v>278</v>
      </c>
      <c r="F148" s="265" t="s">
        <v>301</v>
      </c>
      <c r="G148" s="266">
        <v>-5668.05</v>
      </c>
      <c r="H148" s="266">
        <v>-8099.53</v>
      </c>
      <c r="I148" s="267"/>
      <c r="J148" s="267"/>
      <c r="K148" s="267"/>
      <c r="L148" s="224" t="str">
        <f t="shared" si="67"/>
        <v>10690001_USD_100000014_PERDAMAN CHEMICALS &amp; FERTILISERS (FINANCE)PTY LTD</v>
      </c>
      <c r="M148" s="221">
        <f t="shared" si="47"/>
        <v>8099.53</v>
      </c>
      <c r="N148" s="24" t="str">
        <f>IF(OR(L148=$L$2,L148=$L$3),$M$10+1,IFERROR(VLOOKUP(A148,'Repricing Maturity Adj.'!$A$3:$C$170,3,0),(IF(K148&lt;$M$10,"Check",K148))))</f>
        <v>Non_sensitive</v>
      </c>
      <c r="O148" s="62" t="b">
        <f t="shared" si="48"/>
        <v>1</v>
      </c>
      <c r="P148" s="63" t="str">
        <f t="shared" si="49"/>
        <v>Liability</v>
      </c>
      <c r="Q148" s="25">
        <f t="shared" si="50"/>
        <v>0</v>
      </c>
      <c r="R148" s="25">
        <f t="shared" si="51"/>
        <v>0</v>
      </c>
      <c r="S148" s="25">
        <f t="shared" si="52"/>
        <v>0</v>
      </c>
      <c r="T148" s="25">
        <f t="shared" si="53"/>
        <v>0</v>
      </c>
      <c r="U148" s="25">
        <f t="shared" si="54"/>
        <v>0</v>
      </c>
      <c r="V148" s="25">
        <f t="shared" si="55"/>
        <v>0</v>
      </c>
      <c r="W148" s="25">
        <f t="shared" si="56"/>
        <v>0</v>
      </c>
      <c r="X148" s="64">
        <f t="shared" si="57"/>
        <v>0</v>
      </c>
      <c r="Y148" s="64">
        <f t="shared" si="58"/>
        <v>0</v>
      </c>
      <c r="Z148" s="64">
        <f t="shared" si="59"/>
        <v>0</v>
      </c>
      <c r="AA148" s="64">
        <f t="shared" si="60"/>
        <v>0</v>
      </c>
      <c r="AB148" s="64">
        <f t="shared" si="61"/>
        <v>0</v>
      </c>
      <c r="AC148" s="64">
        <f t="shared" si="62"/>
        <v>0</v>
      </c>
      <c r="AD148" s="64">
        <f t="shared" si="63"/>
        <v>0</v>
      </c>
      <c r="AE148" s="64">
        <f t="shared" si="64"/>
        <v>0</v>
      </c>
      <c r="AF148" s="64">
        <f t="shared" si="65"/>
        <v>0</v>
      </c>
      <c r="AG148" s="29">
        <f t="shared" si="66"/>
        <v>8099.53</v>
      </c>
    </row>
    <row r="149" spans="1:33" s="20" customFormat="1">
      <c r="A149" s="265">
        <v>10690001</v>
      </c>
      <c r="B149" s="265" t="s">
        <v>315</v>
      </c>
      <c r="C149" s="265" t="s">
        <v>622</v>
      </c>
      <c r="D149" s="265">
        <v>100000014</v>
      </c>
      <c r="E149" s="265" t="s">
        <v>278</v>
      </c>
      <c r="F149" s="265" t="s">
        <v>301</v>
      </c>
      <c r="G149" s="266">
        <v>-1168.42</v>
      </c>
      <c r="H149" s="266">
        <v>-1669.65</v>
      </c>
      <c r="I149" s="267"/>
      <c r="J149" s="267"/>
      <c r="K149" s="267"/>
      <c r="L149" s="224" t="str">
        <f t="shared" si="67"/>
        <v>10690001_USD_100000014_PERDAMAN CHEMICALS &amp; FERTILISERS (FINANCE)PTY LTD</v>
      </c>
      <c r="M149" s="221">
        <f t="shared" si="47"/>
        <v>1669.65</v>
      </c>
      <c r="N149" s="24" t="str">
        <f>IF(OR(L149=$L$2,L149=$L$3),$M$10+1,IFERROR(VLOOKUP(A149,'Repricing Maturity Adj.'!$A$3:$C$170,3,0),(IF(K149&lt;$M$10,"Check",K149))))</f>
        <v>Non_sensitive</v>
      </c>
      <c r="O149" s="62" t="b">
        <f t="shared" si="48"/>
        <v>1</v>
      </c>
      <c r="P149" s="63" t="str">
        <f t="shared" si="49"/>
        <v>Liability</v>
      </c>
      <c r="Q149" s="25">
        <f t="shared" si="50"/>
        <v>0</v>
      </c>
      <c r="R149" s="25">
        <f t="shared" si="51"/>
        <v>0</v>
      </c>
      <c r="S149" s="25">
        <f t="shared" si="52"/>
        <v>0</v>
      </c>
      <c r="T149" s="25">
        <f t="shared" si="53"/>
        <v>0</v>
      </c>
      <c r="U149" s="25">
        <f t="shared" si="54"/>
        <v>0</v>
      </c>
      <c r="V149" s="25">
        <f t="shared" si="55"/>
        <v>0</v>
      </c>
      <c r="W149" s="25">
        <f t="shared" si="56"/>
        <v>0</v>
      </c>
      <c r="X149" s="64">
        <f t="shared" si="57"/>
        <v>0</v>
      </c>
      <c r="Y149" s="64">
        <f t="shared" si="58"/>
        <v>0</v>
      </c>
      <c r="Z149" s="64">
        <f t="shared" si="59"/>
        <v>0</v>
      </c>
      <c r="AA149" s="64">
        <f t="shared" si="60"/>
        <v>0</v>
      </c>
      <c r="AB149" s="64">
        <f t="shared" si="61"/>
        <v>0</v>
      </c>
      <c r="AC149" s="64">
        <f t="shared" si="62"/>
        <v>0</v>
      </c>
      <c r="AD149" s="64">
        <f t="shared" si="63"/>
        <v>0</v>
      </c>
      <c r="AE149" s="64">
        <f t="shared" si="64"/>
        <v>0</v>
      </c>
      <c r="AF149" s="64">
        <f t="shared" si="65"/>
        <v>0</v>
      </c>
      <c r="AG149" s="29">
        <f t="shared" si="66"/>
        <v>1669.65</v>
      </c>
    </row>
    <row r="150" spans="1:33" s="20" customFormat="1">
      <c r="A150" s="265">
        <v>10690001</v>
      </c>
      <c r="B150" s="265" t="s">
        <v>315</v>
      </c>
      <c r="C150" s="265" t="s">
        <v>644</v>
      </c>
      <c r="D150" s="265">
        <v>100000014</v>
      </c>
      <c r="E150" s="265" t="s">
        <v>278</v>
      </c>
      <c r="F150" s="265" t="s">
        <v>301</v>
      </c>
      <c r="G150" s="266">
        <v>-19907.3</v>
      </c>
      <c r="H150" s="266">
        <v>-28447.13</v>
      </c>
      <c r="I150" s="267"/>
      <c r="J150" s="267"/>
      <c r="K150" s="267"/>
      <c r="L150" s="224" t="str">
        <f t="shared" si="67"/>
        <v>10690001_USD_100000014_PERDAMAN CHEMICALS &amp; FERTILISERS (FINANCE)PTY LTD</v>
      </c>
      <c r="M150" s="221">
        <f t="shared" si="47"/>
        <v>28447.13</v>
      </c>
      <c r="N150" s="24" t="str">
        <f>IF(OR(L150=$L$2,L150=$L$3),$M$10+1,IFERROR(VLOOKUP(A150,'Repricing Maturity Adj.'!$A$3:$C$170,3,0),(IF(K150&lt;$M$10,"Check",K150))))</f>
        <v>Non_sensitive</v>
      </c>
      <c r="O150" s="62" t="b">
        <f t="shared" si="48"/>
        <v>1</v>
      </c>
      <c r="P150" s="63" t="str">
        <f t="shared" si="49"/>
        <v>Liability</v>
      </c>
      <c r="Q150" s="25">
        <f t="shared" si="50"/>
        <v>0</v>
      </c>
      <c r="R150" s="25">
        <f t="shared" si="51"/>
        <v>0</v>
      </c>
      <c r="S150" s="25">
        <f t="shared" si="52"/>
        <v>0</v>
      </c>
      <c r="T150" s="25">
        <f t="shared" si="53"/>
        <v>0</v>
      </c>
      <c r="U150" s="25">
        <f t="shared" si="54"/>
        <v>0</v>
      </c>
      <c r="V150" s="25">
        <f t="shared" si="55"/>
        <v>0</v>
      </c>
      <c r="W150" s="25">
        <f t="shared" si="56"/>
        <v>0</v>
      </c>
      <c r="X150" s="64">
        <f t="shared" si="57"/>
        <v>0</v>
      </c>
      <c r="Y150" s="64">
        <f t="shared" si="58"/>
        <v>0</v>
      </c>
      <c r="Z150" s="64">
        <f t="shared" si="59"/>
        <v>0</v>
      </c>
      <c r="AA150" s="64">
        <f t="shared" si="60"/>
        <v>0</v>
      </c>
      <c r="AB150" s="64">
        <f t="shared" si="61"/>
        <v>0</v>
      </c>
      <c r="AC150" s="64">
        <f t="shared" si="62"/>
        <v>0</v>
      </c>
      <c r="AD150" s="64">
        <f t="shared" si="63"/>
        <v>0</v>
      </c>
      <c r="AE150" s="64">
        <f t="shared" si="64"/>
        <v>0</v>
      </c>
      <c r="AF150" s="64">
        <f t="shared" si="65"/>
        <v>0</v>
      </c>
      <c r="AG150" s="29">
        <f t="shared" si="66"/>
        <v>28447.13</v>
      </c>
    </row>
    <row r="151" spans="1:33" s="20" customFormat="1">
      <c r="A151" s="265">
        <v>10690001</v>
      </c>
      <c r="B151" s="265" t="s">
        <v>315</v>
      </c>
      <c r="C151" s="265" t="s">
        <v>645</v>
      </c>
      <c r="D151" s="265">
        <v>100000014</v>
      </c>
      <c r="E151" s="265" t="s">
        <v>278</v>
      </c>
      <c r="F151" s="265" t="s">
        <v>301</v>
      </c>
      <c r="G151" s="266">
        <v>-1250.75</v>
      </c>
      <c r="H151" s="266">
        <v>-1787.3</v>
      </c>
      <c r="I151" s="267"/>
      <c r="J151" s="267"/>
      <c r="K151" s="267"/>
      <c r="L151" s="224" t="str">
        <f t="shared" si="67"/>
        <v>10690001_USD_100000014_PERDAMAN CHEMICALS &amp; FERTILISERS (FINANCE)PTY LTD</v>
      </c>
      <c r="M151" s="221">
        <f t="shared" si="47"/>
        <v>1787.3</v>
      </c>
      <c r="N151" s="24" t="str">
        <f>IF(OR(L151=$L$2,L151=$L$3),$M$10+1,IFERROR(VLOOKUP(A151,'Repricing Maturity Adj.'!$A$3:$C$170,3,0),(IF(K151&lt;$M$10,"Check",K151))))</f>
        <v>Non_sensitive</v>
      </c>
      <c r="O151" s="62" t="b">
        <f t="shared" si="48"/>
        <v>1</v>
      </c>
      <c r="P151" s="63" t="str">
        <f t="shared" si="49"/>
        <v>Liability</v>
      </c>
      <c r="Q151" s="25">
        <f t="shared" si="50"/>
        <v>0</v>
      </c>
      <c r="R151" s="25">
        <f t="shared" si="51"/>
        <v>0</v>
      </c>
      <c r="S151" s="25">
        <f t="shared" si="52"/>
        <v>0</v>
      </c>
      <c r="T151" s="25">
        <f t="shared" si="53"/>
        <v>0</v>
      </c>
      <c r="U151" s="25">
        <f t="shared" si="54"/>
        <v>0</v>
      </c>
      <c r="V151" s="25">
        <f t="shared" si="55"/>
        <v>0</v>
      </c>
      <c r="W151" s="25">
        <f t="shared" si="56"/>
        <v>0</v>
      </c>
      <c r="X151" s="64">
        <f t="shared" si="57"/>
        <v>0</v>
      </c>
      <c r="Y151" s="64">
        <f t="shared" si="58"/>
        <v>0</v>
      </c>
      <c r="Z151" s="64">
        <f t="shared" si="59"/>
        <v>0</v>
      </c>
      <c r="AA151" s="64">
        <f t="shared" si="60"/>
        <v>0</v>
      </c>
      <c r="AB151" s="64">
        <f t="shared" si="61"/>
        <v>0</v>
      </c>
      <c r="AC151" s="64">
        <f t="shared" si="62"/>
        <v>0</v>
      </c>
      <c r="AD151" s="64">
        <f t="shared" si="63"/>
        <v>0</v>
      </c>
      <c r="AE151" s="64">
        <f t="shared" si="64"/>
        <v>0</v>
      </c>
      <c r="AF151" s="64">
        <f t="shared" si="65"/>
        <v>0</v>
      </c>
      <c r="AG151" s="29">
        <f t="shared" si="66"/>
        <v>1787.3</v>
      </c>
    </row>
    <row r="152" spans="1:33" s="20" customFormat="1">
      <c r="A152" s="265">
        <v>10690001</v>
      </c>
      <c r="B152" s="265" t="s">
        <v>315</v>
      </c>
      <c r="C152" s="265" t="s">
        <v>646</v>
      </c>
      <c r="D152" s="265">
        <v>100000014</v>
      </c>
      <c r="E152" s="265" t="s">
        <v>278</v>
      </c>
      <c r="F152" s="265" t="s">
        <v>301</v>
      </c>
      <c r="G152" s="266">
        <v>-13133.29</v>
      </c>
      <c r="H152" s="266">
        <v>-18767.2</v>
      </c>
      <c r="I152" s="267"/>
      <c r="J152" s="267"/>
      <c r="K152" s="267"/>
      <c r="L152" s="224" t="str">
        <f t="shared" si="67"/>
        <v>10690001_USD_100000014_PERDAMAN CHEMICALS &amp; FERTILISERS (FINANCE)PTY LTD</v>
      </c>
      <c r="M152" s="221">
        <f t="shared" si="47"/>
        <v>18767.2</v>
      </c>
      <c r="N152" s="24" t="str">
        <f>IF(OR(L152=$L$2,L152=$L$3),$M$10+1,IFERROR(VLOOKUP(A152,'Repricing Maturity Adj.'!$A$3:$C$170,3,0),(IF(K152&lt;$M$10,"Check",K152))))</f>
        <v>Non_sensitive</v>
      </c>
      <c r="O152" s="62" t="b">
        <f t="shared" si="48"/>
        <v>1</v>
      </c>
      <c r="P152" s="63" t="str">
        <f t="shared" si="49"/>
        <v>Liability</v>
      </c>
      <c r="Q152" s="25">
        <f t="shared" si="50"/>
        <v>0</v>
      </c>
      <c r="R152" s="25">
        <f t="shared" si="51"/>
        <v>0</v>
      </c>
      <c r="S152" s="25">
        <f t="shared" si="52"/>
        <v>0</v>
      </c>
      <c r="T152" s="25">
        <f t="shared" si="53"/>
        <v>0</v>
      </c>
      <c r="U152" s="25">
        <f t="shared" si="54"/>
        <v>0</v>
      </c>
      <c r="V152" s="25">
        <f t="shared" si="55"/>
        <v>0</v>
      </c>
      <c r="W152" s="25">
        <f t="shared" si="56"/>
        <v>0</v>
      </c>
      <c r="X152" s="64">
        <f t="shared" si="57"/>
        <v>0</v>
      </c>
      <c r="Y152" s="64">
        <f t="shared" si="58"/>
        <v>0</v>
      </c>
      <c r="Z152" s="64">
        <f t="shared" si="59"/>
        <v>0</v>
      </c>
      <c r="AA152" s="64">
        <f t="shared" si="60"/>
        <v>0</v>
      </c>
      <c r="AB152" s="64">
        <f t="shared" si="61"/>
        <v>0</v>
      </c>
      <c r="AC152" s="64">
        <f t="shared" si="62"/>
        <v>0</v>
      </c>
      <c r="AD152" s="64">
        <f t="shared" si="63"/>
        <v>0</v>
      </c>
      <c r="AE152" s="64">
        <f t="shared" si="64"/>
        <v>0</v>
      </c>
      <c r="AF152" s="64">
        <f t="shared" si="65"/>
        <v>0</v>
      </c>
      <c r="AG152" s="29">
        <f t="shared" si="66"/>
        <v>18767.2</v>
      </c>
    </row>
    <row r="153" spans="1:33" s="20" customFormat="1">
      <c r="A153" s="265">
        <v>10690001</v>
      </c>
      <c r="B153" s="265" t="s">
        <v>315</v>
      </c>
      <c r="C153" s="265" t="s">
        <v>647</v>
      </c>
      <c r="D153" s="265">
        <v>100000039</v>
      </c>
      <c r="E153" s="265" t="s">
        <v>634</v>
      </c>
      <c r="F153" s="265" t="s">
        <v>0</v>
      </c>
      <c r="G153" s="266">
        <v>-10752</v>
      </c>
      <c r="H153" s="266">
        <v>-10752</v>
      </c>
      <c r="I153" s="267"/>
      <c r="J153" s="267"/>
      <c r="K153" s="267"/>
      <c r="L153" s="224" t="str">
        <f t="shared" si="67"/>
        <v>10690001_AUD_100000039_QANTAS AIRWAYS LIMITED</v>
      </c>
      <c r="M153" s="221">
        <f t="shared" si="47"/>
        <v>10752</v>
      </c>
      <c r="N153" s="24" t="str">
        <f>IF(OR(L153=$L$2,L153=$L$3),$M$10+1,IFERROR(VLOOKUP(A153,'Repricing Maturity Adj.'!$A$3:$C$170,3,0),(IF(K153&lt;$M$10,"Check",K153))))</f>
        <v>Non_sensitive</v>
      </c>
      <c r="O153" s="62" t="b">
        <f t="shared" si="48"/>
        <v>1</v>
      </c>
      <c r="P153" s="63" t="str">
        <f t="shared" si="49"/>
        <v>Liability</v>
      </c>
      <c r="Q153" s="25">
        <f t="shared" si="50"/>
        <v>0</v>
      </c>
      <c r="R153" s="25">
        <f t="shared" si="51"/>
        <v>0</v>
      </c>
      <c r="S153" s="25">
        <f t="shared" si="52"/>
        <v>0</v>
      </c>
      <c r="T153" s="25">
        <f t="shared" si="53"/>
        <v>0</v>
      </c>
      <c r="U153" s="25">
        <f t="shared" si="54"/>
        <v>0</v>
      </c>
      <c r="V153" s="25">
        <f t="shared" si="55"/>
        <v>0</v>
      </c>
      <c r="W153" s="25">
        <f t="shared" si="56"/>
        <v>0</v>
      </c>
      <c r="X153" s="64">
        <f t="shared" si="57"/>
        <v>0</v>
      </c>
      <c r="Y153" s="64">
        <f t="shared" si="58"/>
        <v>0</v>
      </c>
      <c r="Z153" s="64">
        <f t="shared" si="59"/>
        <v>0</v>
      </c>
      <c r="AA153" s="64">
        <f t="shared" si="60"/>
        <v>0</v>
      </c>
      <c r="AB153" s="64">
        <f t="shared" si="61"/>
        <v>0</v>
      </c>
      <c r="AC153" s="64">
        <f t="shared" si="62"/>
        <v>0</v>
      </c>
      <c r="AD153" s="64">
        <f t="shared" si="63"/>
        <v>0</v>
      </c>
      <c r="AE153" s="64">
        <f t="shared" si="64"/>
        <v>0</v>
      </c>
      <c r="AF153" s="64">
        <f t="shared" si="65"/>
        <v>0</v>
      </c>
      <c r="AG153" s="29">
        <f t="shared" si="66"/>
        <v>10752</v>
      </c>
    </row>
    <row r="154" spans="1:33" s="20" customFormat="1">
      <c r="A154" s="265">
        <v>10690001</v>
      </c>
      <c r="B154" s="265" t="s">
        <v>315</v>
      </c>
      <c r="C154" s="265" t="s">
        <v>648</v>
      </c>
      <c r="D154" s="265">
        <v>100000014</v>
      </c>
      <c r="E154" s="265" t="s">
        <v>278</v>
      </c>
      <c r="F154" s="265" t="s">
        <v>301</v>
      </c>
      <c r="G154" s="266">
        <v>-1291.78</v>
      </c>
      <c r="H154" s="266">
        <v>-1845.93</v>
      </c>
      <c r="I154" s="267"/>
      <c r="J154" s="267"/>
      <c r="K154" s="267"/>
      <c r="L154" s="224" t="str">
        <f t="shared" si="67"/>
        <v>10690001_USD_100000014_PERDAMAN CHEMICALS &amp; FERTILISERS (FINANCE)PTY LTD</v>
      </c>
      <c r="M154" s="221">
        <f t="shared" si="47"/>
        <v>1845.93</v>
      </c>
      <c r="N154" s="24" t="str">
        <f>IF(OR(L154=$L$2,L154=$L$3),$M$10+1,IFERROR(VLOOKUP(A154,'Repricing Maturity Adj.'!$A$3:$C$170,3,0),(IF(K154&lt;$M$10,"Check",K154))))</f>
        <v>Non_sensitive</v>
      </c>
      <c r="O154" s="62" t="b">
        <f t="shared" si="48"/>
        <v>1</v>
      </c>
      <c r="P154" s="63" t="str">
        <f t="shared" si="49"/>
        <v>Liability</v>
      </c>
      <c r="Q154" s="25">
        <f t="shared" si="50"/>
        <v>0</v>
      </c>
      <c r="R154" s="25">
        <f t="shared" si="51"/>
        <v>0</v>
      </c>
      <c r="S154" s="25">
        <f t="shared" si="52"/>
        <v>0</v>
      </c>
      <c r="T154" s="25">
        <f t="shared" si="53"/>
        <v>0</v>
      </c>
      <c r="U154" s="25">
        <f t="shared" si="54"/>
        <v>0</v>
      </c>
      <c r="V154" s="25">
        <f t="shared" si="55"/>
        <v>0</v>
      </c>
      <c r="W154" s="25">
        <f t="shared" si="56"/>
        <v>0</v>
      </c>
      <c r="X154" s="64">
        <f t="shared" si="57"/>
        <v>0</v>
      </c>
      <c r="Y154" s="64">
        <f t="shared" si="58"/>
        <v>0</v>
      </c>
      <c r="Z154" s="64">
        <f t="shared" si="59"/>
        <v>0</v>
      </c>
      <c r="AA154" s="64">
        <f t="shared" si="60"/>
        <v>0</v>
      </c>
      <c r="AB154" s="64">
        <f t="shared" si="61"/>
        <v>0</v>
      </c>
      <c r="AC154" s="64">
        <f t="shared" si="62"/>
        <v>0</v>
      </c>
      <c r="AD154" s="64">
        <f t="shared" si="63"/>
        <v>0</v>
      </c>
      <c r="AE154" s="64">
        <f t="shared" si="64"/>
        <v>0</v>
      </c>
      <c r="AF154" s="64">
        <f t="shared" si="65"/>
        <v>0</v>
      </c>
      <c r="AG154" s="29">
        <f t="shared" si="66"/>
        <v>1845.93</v>
      </c>
    </row>
    <row r="155" spans="1:33" s="20" customFormat="1">
      <c r="A155" s="265">
        <v>10690001</v>
      </c>
      <c r="B155" s="265" t="s">
        <v>315</v>
      </c>
      <c r="C155" s="265" t="s">
        <v>649</v>
      </c>
      <c r="D155" s="265">
        <v>100000020</v>
      </c>
      <c r="E155" s="265" t="s">
        <v>503</v>
      </c>
      <c r="F155" s="265" t="s">
        <v>0</v>
      </c>
      <c r="G155" s="266">
        <v>-43080</v>
      </c>
      <c r="H155" s="266">
        <v>-43080</v>
      </c>
      <c r="I155" s="267"/>
      <c r="J155" s="267"/>
      <c r="K155" s="267"/>
      <c r="L155" s="224" t="str">
        <f t="shared" si="67"/>
        <v>10690001_AUD_100000020_APA INFRASTRUCTURE LIMITED</v>
      </c>
      <c r="M155" s="221">
        <f t="shared" si="47"/>
        <v>43080</v>
      </c>
      <c r="N155" s="24" t="str">
        <f>IF(OR(L155=$L$2,L155=$L$3),$M$10+1,IFERROR(VLOOKUP(A155,'Repricing Maturity Adj.'!$A$3:$C$170,3,0),(IF(K155&lt;$M$10,"Check",K155))))</f>
        <v>Non_sensitive</v>
      </c>
      <c r="O155" s="62" t="b">
        <f t="shared" si="48"/>
        <v>1</v>
      </c>
      <c r="P155" s="63" t="str">
        <f t="shared" si="49"/>
        <v>Liability</v>
      </c>
      <c r="Q155" s="25">
        <f t="shared" si="50"/>
        <v>0</v>
      </c>
      <c r="R155" s="25">
        <f t="shared" si="51"/>
        <v>0</v>
      </c>
      <c r="S155" s="25">
        <f t="shared" si="52"/>
        <v>0</v>
      </c>
      <c r="T155" s="25">
        <f t="shared" si="53"/>
        <v>0</v>
      </c>
      <c r="U155" s="25">
        <f t="shared" si="54"/>
        <v>0</v>
      </c>
      <c r="V155" s="25">
        <f t="shared" si="55"/>
        <v>0</v>
      </c>
      <c r="W155" s="25">
        <f t="shared" si="56"/>
        <v>0</v>
      </c>
      <c r="X155" s="64">
        <f t="shared" si="57"/>
        <v>0</v>
      </c>
      <c r="Y155" s="64">
        <f t="shared" si="58"/>
        <v>0</v>
      </c>
      <c r="Z155" s="64">
        <f t="shared" si="59"/>
        <v>0</v>
      </c>
      <c r="AA155" s="64">
        <f t="shared" si="60"/>
        <v>0</v>
      </c>
      <c r="AB155" s="64">
        <f t="shared" si="61"/>
        <v>0</v>
      </c>
      <c r="AC155" s="64">
        <f t="shared" si="62"/>
        <v>0</v>
      </c>
      <c r="AD155" s="64">
        <f t="shared" si="63"/>
        <v>0</v>
      </c>
      <c r="AE155" s="64">
        <f t="shared" si="64"/>
        <v>0</v>
      </c>
      <c r="AF155" s="64">
        <f t="shared" si="65"/>
        <v>0</v>
      </c>
      <c r="AG155" s="29">
        <f t="shared" si="66"/>
        <v>43080</v>
      </c>
    </row>
    <row r="156" spans="1:33" s="20" customFormat="1">
      <c r="A156" s="265">
        <v>10690001</v>
      </c>
      <c r="B156" s="265" t="s">
        <v>315</v>
      </c>
      <c r="C156" s="265" t="s">
        <v>650</v>
      </c>
      <c r="D156" s="265">
        <v>100000014</v>
      </c>
      <c r="E156" s="265" t="s">
        <v>278</v>
      </c>
      <c r="F156" s="265" t="s">
        <v>301</v>
      </c>
      <c r="G156" s="266">
        <v>-9815.41</v>
      </c>
      <c r="H156" s="266">
        <v>-14026.02</v>
      </c>
      <c r="I156" s="267"/>
      <c r="J156" s="267"/>
      <c r="K156" s="267"/>
      <c r="L156" s="224" t="str">
        <f t="shared" si="67"/>
        <v>10690001_USD_100000014_PERDAMAN CHEMICALS &amp; FERTILISERS (FINANCE)PTY LTD</v>
      </c>
      <c r="M156" s="221">
        <f t="shared" si="47"/>
        <v>14026.02</v>
      </c>
      <c r="N156" s="24" t="str">
        <f>IF(OR(L156=$L$2,L156=$L$3),$M$10+1,IFERROR(VLOOKUP(A156,'Repricing Maturity Adj.'!$A$3:$C$170,3,0),(IF(K156&lt;$M$10,"Check",K156))))</f>
        <v>Non_sensitive</v>
      </c>
      <c r="O156" s="62" t="b">
        <f t="shared" si="48"/>
        <v>1</v>
      </c>
      <c r="P156" s="63" t="str">
        <f t="shared" si="49"/>
        <v>Liability</v>
      </c>
      <c r="Q156" s="25">
        <f t="shared" si="50"/>
        <v>0</v>
      </c>
      <c r="R156" s="25">
        <f t="shared" si="51"/>
        <v>0</v>
      </c>
      <c r="S156" s="25">
        <f t="shared" si="52"/>
        <v>0</v>
      </c>
      <c r="T156" s="25">
        <f t="shared" si="53"/>
        <v>0</v>
      </c>
      <c r="U156" s="25">
        <f t="shared" si="54"/>
        <v>0</v>
      </c>
      <c r="V156" s="25">
        <f t="shared" si="55"/>
        <v>0</v>
      </c>
      <c r="W156" s="25">
        <f t="shared" si="56"/>
        <v>0</v>
      </c>
      <c r="X156" s="64">
        <f t="shared" si="57"/>
        <v>0</v>
      </c>
      <c r="Y156" s="64">
        <f t="shared" si="58"/>
        <v>0</v>
      </c>
      <c r="Z156" s="64">
        <f t="shared" si="59"/>
        <v>0</v>
      </c>
      <c r="AA156" s="64">
        <f t="shared" si="60"/>
        <v>0</v>
      </c>
      <c r="AB156" s="64">
        <f t="shared" si="61"/>
        <v>0</v>
      </c>
      <c r="AC156" s="64">
        <f t="shared" si="62"/>
        <v>0</v>
      </c>
      <c r="AD156" s="64">
        <f t="shared" si="63"/>
        <v>0</v>
      </c>
      <c r="AE156" s="64">
        <f t="shared" si="64"/>
        <v>0</v>
      </c>
      <c r="AF156" s="64">
        <f t="shared" si="65"/>
        <v>0</v>
      </c>
      <c r="AG156" s="29">
        <f t="shared" si="66"/>
        <v>14026.02</v>
      </c>
    </row>
    <row r="157" spans="1:33" s="20" customFormat="1">
      <c r="A157" s="265">
        <v>10690001</v>
      </c>
      <c r="B157" s="265" t="s">
        <v>315</v>
      </c>
      <c r="C157" s="265" t="s">
        <v>651</v>
      </c>
      <c r="D157" s="265">
        <v>100000040</v>
      </c>
      <c r="E157" s="265" t="s">
        <v>636</v>
      </c>
      <c r="F157" s="265" t="s">
        <v>0</v>
      </c>
      <c r="G157" s="266">
        <v>-75285</v>
      </c>
      <c r="H157" s="266">
        <v>-75285</v>
      </c>
      <c r="I157" s="267"/>
      <c r="J157" s="267"/>
      <c r="K157" s="267"/>
      <c r="L157" s="224" t="str">
        <f t="shared" si="67"/>
        <v>10690001_AUD_100000040_DOWNER GROUP FINANCE PTY LIMITED</v>
      </c>
      <c r="M157" s="221">
        <f t="shared" si="47"/>
        <v>75285</v>
      </c>
      <c r="N157" s="24" t="str">
        <f>IF(OR(L157=$L$2,L157=$L$3),$M$10+1,IFERROR(VLOOKUP(A157,'Repricing Maturity Adj.'!$A$3:$C$170,3,0),(IF(K157&lt;$M$10,"Check",K157))))</f>
        <v>Non_sensitive</v>
      </c>
      <c r="O157" s="62" t="b">
        <f t="shared" si="48"/>
        <v>1</v>
      </c>
      <c r="P157" s="63" t="str">
        <f t="shared" si="49"/>
        <v>Liability</v>
      </c>
      <c r="Q157" s="25">
        <f t="shared" si="50"/>
        <v>0</v>
      </c>
      <c r="R157" s="25">
        <f t="shared" si="51"/>
        <v>0</v>
      </c>
      <c r="S157" s="25">
        <f t="shared" si="52"/>
        <v>0</v>
      </c>
      <c r="T157" s="25">
        <f t="shared" si="53"/>
        <v>0</v>
      </c>
      <c r="U157" s="25">
        <f t="shared" si="54"/>
        <v>0</v>
      </c>
      <c r="V157" s="25">
        <f t="shared" si="55"/>
        <v>0</v>
      </c>
      <c r="W157" s="25">
        <f t="shared" si="56"/>
        <v>0</v>
      </c>
      <c r="X157" s="64">
        <f t="shared" si="57"/>
        <v>0</v>
      </c>
      <c r="Y157" s="64">
        <f t="shared" si="58"/>
        <v>0</v>
      </c>
      <c r="Z157" s="64">
        <f t="shared" si="59"/>
        <v>0</v>
      </c>
      <c r="AA157" s="64">
        <f t="shared" si="60"/>
        <v>0</v>
      </c>
      <c r="AB157" s="64">
        <f t="shared" si="61"/>
        <v>0</v>
      </c>
      <c r="AC157" s="64">
        <f t="shared" si="62"/>
        <v>0</v>
      </c>
      <c r="AD157" s="64">
        <f t="shared" si="63"/>
        <v>0</v>
      </c>
      <c r="AE157" s="64">
        <f t="shared" si="64"/>
        <v>0</v>
      </c>
      <c r="AF157" s="64">
        <f t="shared" si="65"/>
        <v>0</v>
      </c>
      <c r="AG157" s="29">
        <f t="shared" si="66"/>
        <v>75285</v>
      </c>
    </row>
    <row r="158" spans="1:33" s="20" customFormat="1">
      <c r="A158" s="265">
        <v>10690001</v>
      </c>
      <c r="B158" s="265" t="s">
        <v>315</v>
      </c>
      <c r="C158" s="265" t="s">
        <v>652</v>
      </c>
      <c r="D158" s="265">
        <v>100000014</v>
      </c>
      <c r="E158" s="265" t="s">
        <v>278</v>
      </c>
      <c r="F158" s="265" t="s">
        <v>301</v>
      </c>
      <c r="G158" s="266">
        <v>-1562.96</v>
      </c>
      <c r="H158" s="266">
        <v>-2233.44</v>
      </c>
      <c r="I158" s="267"/>
      <c r="J158" s="267"/>
      <c r="K158" s="267"/>
      <c r="L158" s="224" t="str">
        <f t="shared" si="67"/>
        <v>10690001_USD_100000014_PERDAMAN CHEMICALS &amp; FERTILISERS (FINANCE)PTY LTD</v>
      </c>
      <c r="M158" s="221">
        <f t="shared" si="47"/>
        <v>2233.44</v>
      </c>
      <c r="N158" s="24" t="str">
        <f>IF(OR(L158=$L$2,L158=$L$3),$M$10+1,IFERROR(VLOOKUP(A158,'Repricing Maturity Adj.'!$A$3:$C$170,3,0),(IF(K158&lt;$M$10,"Check",K158))))</f>
        <v>Non_sensitive</v>
      </c>
      <c r="O158" s="62" t="b">
        <f t="shared" si="48"/>
        <v>1</v>
      </c>
      <c r="P158" s="63" t="str">
        <f t="shared" si="49"/>
        <v>Liability</v>
      </c>
      <c r="Q158" s="25">
        <f t="shared" si="50"/>
        <v>0</v>
      </c>
      <c r="R158" s="25">
        <f t="shared" si="51"/>
        <v>0</v>
      </c>
      <c r="S158" s="25">
        <f t="shared" si="52"/>
        <v>0</v>
      </c>
      <c r="T158" s="25">
        <f t="shared" si="53"/>
        <v>0</v>
      </c>
      <c r="U158" s="25">
        <f t="shared" si="54"/>
        <v>0</v>
      </c>
      <c r="V158" s="25">
        <f t="shared" si="55"/>
        <v>0</v>
      </c>
      <c r="W158" s="25">
        <f t="shared" si="56"/>
        <v>0</v>
      </c>
      <c r="X158" s="64">
        <f t="shared" si="57"/>
        <v>0</v>
      </c>
      <c r="Y158" s="64">
        <f t="shared" si="58"/>
        <v>0</v>
      </c>
      <c r="Z158" s="64">
        <f t="shared" si="59"/>
        <v>0</v>
      </c>
      <c r="AA158" s="64">
        <f t="shared" si="60"/>
        <v>0</v>
      </c>
      <c r="AB158" s="64">
        <f t="shared" si="61"/>
        <v>0</v>
      </c>
      <c r="AC158" s="64">
        <f t="shared" si="62"/>
        <v>0</v>
      </c>
      <c r="AD158" s="64">
        <f t="shared" si="63"/>
        <v>0</v>
      </c>
      <c r="AE158" s="64">
        <f t="shared" si="64"/>
        <v>0</v>
      </c>
      <c r="AF158" s="64">
        <f t="shared" si="65"/>
        <v>0</v>
      </c>
      <c r="AG158" s="29">
        <f t="shared" si="66"/>
        <v>2233.44</v>
      </c>
    </row>
    <row r="159" spans="1:33" s="20" customFormat="1">
      <c r="A159" s="265">
        <v>10690001</v>
      </c>
      <c r="B159" s="265" t="s">
        <v>315</v>
      </c>
      <c r="C159" s="265" t="s">
        <v>828</v>
      </c>
      <c r="D159" s="265">
        <v>100000014</v>
      </c>
      <c r="E159" s="265" t="s">
        <v>278</v>
      </c>
      <c r="F159" s="265" t="s">
        <v>301</v>
      </c>
      <c r="G159" s="266">
        <v>-14350.21</v>
      </c>
      <c r="H159" s="266">
        <v>-20506.16</v>
      </c>
      <c r="I159" s="267"/>
      <c r="J159" s="267"/>
      <c r="K159" s="267"/>
      <c r="L159" s="224" t="str">
        <f t="shared" si="67"/>
        <v>10690001_USD_100000014_PERDAMAN CHEMICALS &amp; FERTILISERS (FINANCE)PTY LTD</v>
      </c>
      <c r="M159" s="221">
        <f t="shared" si="47"/>
        <v>20506.16</v>
      </c>
      <c r="N159" s="24" t="str">
        <f>IF(OR(L159=$L$2,L159=$L$3),$M$10+1,IFERROR(VLOOKUP(A159,'Repricing Maturity Adj.'!$A$3:$C$170,3,0),(IF(K159&lt;$M$10,"Check",K159))))</f>
        <v>Non_sensitive</v>
      </c>
      <c r="O159" s="62" t="b">
        <f t="shared" si="48"/>
        <v>1</v>
      </c>
      <c r="P159" s="63" t="str">
        <f t="shared" si="49"/>
        <v>Liability</v>
      </c>
      <c r="Q159" s="25">
        <f t="shared" si="50"/>
        <v>0</v>
      </c>
      <c r="R159" s="25">
        <f t="shared" si="51"/>
        <v>0</v>
      </c>
      <c r="S159" s="25">
        <f t="shared" si="52"/>
        <v>0</v>
      </c>
      <c r="T159" s="25">
        <f t="shared" si="53"/>
        <v>0</v>
      </c>
      <c r="U159" s="25">
        <f t="shared" si="54"/>
        <v>0</v>
      </c>
      <c r="V159" s="25">
        <f t="shared" si="55"/>
        <v>0</v>
      </c>
      <c r="W159" s="25">
        <f t="shared" si="56"/>
        <v>0</v>
      </c>
      <c r="X159" s="64">
        <f t="shared" si="57"/>
        <v>0</v>
      </c>
      <c r="Y159" s="64">
        <f t="shared" si="58"/>
        <v>0</v>
      </c>
      <c r="Z159" s="64">
        <f t="shared" si="59"/>
        <v>0</v>
      </c>
      <c r="AA159" s="64">
        <f t="shared" si="60"/>
        <v>0</v>
      </c>
      <c r="AB159" s="64">
        <f t="shared" si="61"/>
        <v>0</v>
      </c>
      <c r="AC159" s="64">
        <f t="shared" si="62"/>
        <v>0</v>
      </c>
      <c r="AD159" s="64">
        <f t="shared" si="63"/>
        <v>0</v>
      </c>
      <c r="AE159" s="64">
        <f t="shared" si="64"/>
        <v>0</v>
      </c>
      <c r="AF159" s="64">
        <f t="shared" si="65"/>
        <v>0</v>
      </c>
      <c r="AG159" s="29">
        <f t="shared" si="66"/>
        <v>20506.16</v>
      </c>
    </row>
    <row r="160" spans="1:33" s="20" customFormat="1">
      <c r="A160" s="265">
        <v>10690001</v>
      </c>
      <c r="B160" s="265" t="s">
        <v>315</v>
      </c>
      <c r="C160" s="265" t="s">
        <v>829</v>
      </c>
      <c r="D160" s="265">
        <v>100000014</v>
      </c>
      <c r="E160" s="265" t="s">
        <v>278</v>
      </c>
      <c r="F160" s="265" t="s">
        <v>301</v>
      </c>
      <c r="G160" s="266">
        <v>-1477.5</v>
      </c>
      <c r="H160" s="266">
        <v>-2111.3200000000002</v>
      </c>
      <c r="I160" s="267"/>
      <c r="J160" s="267"/>
      <c r="K160" s="267"/>
      <c r="L160" s="224" t="str">
        <f t="shared" si="67"/>
        <v>10690001_USD_100000014_PERDAMAN CHEMICALS &amp; FERTILISERS (FINANCE)PTY LTD</v>
      </c>
      <c r="M160" s="221">
        <f t="shared" si="47"/>
        <v>2111.3200000000002</v>
      </c>
      <c r="N160" s="24" t="str">
        <f>IF(OR(L160=$L$2,L160=$L$3),$M$10+1,IFERROR(VLOOKUP(A160,'Repricing Maturity Adj.'!$A$3:$C$170,3,0),(IF(K160&lt;$M$10,"Check",K160))))</f>
        <v>Non_sensitive</v>
      </c>
      <c r="O160" s="62" t="b">
        <f t="shared" si="48"/>
        <v>1</v>
      </c>
      <c r="P160" s="63" t="str">
        <f t="shared" si="49"/>
        <v>Liability</v>
      </c>
      <c r="Q160" s="25">
        <f t="shared" si="50"/>
        <v>0</v>
      </c>
      <c r="R160" s="25">
        <f t="shared" si="51"/>
        <v>0</v>
      </c>
      <c r="S160" s="25">
        <f t="shared" si="52"/>
        <v>0</v>
      </c>
      <c r="T160" s="25">
        <f t="shared" si="53"/>
        <v>0</v>
      </c>
      <c r="U160" s="25">
        <f t="shared" si="54"/>
        <v>0</v>
      </c>
      <c r="V160" s="25">
        <f t="shared" si="55"/>
        <v>0</v>
      </c>
      <c r="W160" s="25">
        <f t="shared" si="56"/>
        <v>0</v>
      </c>
      <c r="X160" s="64">
        <f t="shared" si="57"/>
        <v>0</v>
      </c>
      <c r="Y160" s="64">
        <f t="shared" si="58"/>
        <v>0</v>
      </c>
      <c r="Z160" s="64">
        <f t="shared" si="59"/>
        <v>0</v>
      </c>
      <c r="AA160" s="64">
        <f t="shared" si="60"/>
        <v>0</v>
      </c>
      <c r="AB160" s="64">
        <f t="shared" si="61"/>
        <v>0</v>
      </c>
      <c r="AC160" s="64">
        <f t="shared" si="62"/>
        <v>0</v>
      </c>
      <c r="AD160" s="64">
        <f t="shared" si="63"/>
        <v>0</v>
      </c>
      <c r="AE160" s="64">
        <f t="shared" si="64"/>
        <v>0</v>
      </c>
      <c r="AF160" s="64">
        <f t="shared" si="65"/>
        <v>0</v>
      </c>
      <c r="AG160" s="29">
        <f t="shared" si="66"/>
        <v>2111.3200000000002</v>
      </c>
    </row>
    <row r="161" spans="1:33" s="20" customFormat="1">
      <c r="A161" s="265">
        <v>10690001</v>
      </c>
      <c r="B161" s="265" t="s">
        <v>315</v>
      </c>
      <c r="C161" s="265" t="s">
        <v>830</v>
      </c>
      <c r="D161" s="265">
        <v>100000014</v>
      </c>
      <c r="E161" s="265" t="s">
        <v>278</v>
      </c>
      <c r="F161" s="265" t="s">
        <v>301</v>
      </c>
      <c r="G161" s="266">
        <v>-16281.97</v>
      </c>
      <c r="H161" s="266">
        <v>-23266.6</v>
      </c>
      <c r="I161" s="267"/>
      <c r="J161" s="267"/>
      <c r="K161" s="267"/>
      <c r="L161" s="224" t="str">
        <f t="shared" si="67"/>
        <v>10690001_USD_100000014_PERDAMAN CHEMICALS &amp; FERTILISERS (FINANCE)PTY LTD</v>
      </c>
      <c r="M161" s="221">
        <f t="shared" si="47"/>
        <v>23266.6</v>
      </c>
      <c r="N161" s="24" t="str">
        <f>IF(OR(L161=$L$2,L161=$L$3),$M$10+1,IFERROR(VLOOKUP(A161,'Repricing Maturity Adj.'!$A$3:$C$170,3,0),(IF(K161&lt;$M$10,"Check",K161))))</f>
        <v>Non_sensitive</v>
      </c>
      <c r="O161" s="62" t="b">
        <f t="shared" si="48"/>
        <v>1</v>
      </c>
      <c r="P161" s="63" t="str">
        <f t="shared" si="49"/>
        <v>Liability</v>
      </c>
      <c r="Q161" s="25">
        <f t="shared" si="50"/>
        <v>0</v>
      </c>
      <c r="R161" s="25">
        <f t="shared" si="51"/>
        <v>0</v>
      </c>
      <c r="S161" s="25">
        <f t="shared" si="52"/>
        <v>0</v>
      </c>
      <c r="T161" s="25">
        <f t="shared" si="53"/>
        <v>0</v>
      </c>
      <c r="U161" s="25">
        <f t="shared" si="54"/>
        <v>0</v>
      </c>
      <c r="V161" s="25">
        <f t="shared" si="55"/>
        <v>0</v>
      </c>
      <c r="W161" s="25">
        <f t="shared" si="56"/>
        <v>0</v>
      </c>
      <c r="X161" s="64">
        <f t="shared" si="57"/>
        <v>0</v>
      </c>
      <c r="Y161" s="64">
        <f t="shared" si="58"/>
        <v>0</v>
      </c>
      <c r="Z161" s="64">
        <f t="shared" si="59"/>
        <v>0</v>
      </c>
      <c r="AA161" s="64">
        <f t="shared" si="60"/>
        <v>0</v>
      </c>
      <c r="AB161" s="64">
        <f t="shared" si="61"/>
        <v>0</v>
      </c>
      <c r="AC161" s="64">
        <f t="shared" si="62"/>
        <v>0</v>
      </c>
      <c r="AD161" s="64">
        <f t="shared" si="63"/>
        <v>0</v>
      </c>
      <c r="AE161" s="64">
        <f t="shared" si="64"/>
        <v>0</v>
      </c>
      <c r="AF161" s="64">
        <f t="shared" si="65"/>
        <v>0</v>
      </c>
      <c r="AG161" s="29">
        <f t="shared" si="66"/>
        <v>23266.6</v>
      </c>
    </row>
    <row r="162" spans="1:33" s="20" customFormat="1">
      <c r="A162" s="265">
        <v>10690001</v>
      </c>
      <c r="B162" s="265" t="s">
        <v>315</v>
      </c>
      <c r="C162" s="265" t="s">
        <v>831</v>
      </c>
      <c r="D162" s="265">
        <v>100000014</v>
      </c>
      <c r="E162" s="265" t="s">
        <v>278</v>
      </c>
      <c r="F162" s="265" t="s">
        <v>301</v>
      </c>
      <c r="G162" s="266">
        <v>-1602.98</v>
      </c>
      <c r="H162" s="266">
        <v>-2290.63</v>
      </c>
      <c r="I162" s="267"/>
      <c r="J162" s="267"/>
      <c r="K162" s="267"/>
      <c r="L162" s="224" t="str">
        <f t="shared" si="67"/>
        <v>10690001_USD_100000014_PERDAMAN CHEMICALS &amp; FERTILISERS (FINANCE)PTY LTD</v>
      </c>
      <c r="M162" s="221">
        <f t="shared" si="47"/>
        <v>2290.63</v>
      </c>
      <c r="N162" s="24" t="str">
        <f>IF(OR(L162=$L$2,L162=$L$3),$M$10+1,IFERROR(VLOOKUP(A162,'Repricing Maturity Adj.'!$A$3:$C$170,3,0),(IF(K162&lt;$M$10,"Check",K162))))</f>
        <v>Non_sensitive</v>
      </c>
      <c r="O162" s="62" t="b">
        <f t="shared" si="48"/>
        <v>1</v>
      </c>
      <c r="P162" s="63" t="str">
        <f t="shared" si="49"/>
        <v>Liability</v>
      </c>
      <c r="Q162" s="25">
        <f t="shared" si="50"/>
        <v>0</v>
      </c>
      <c r="R162" s="25">
        <f t="shared" si="51"/>
        <v>0</v>
      </c>
      <c r="S162" s="25">
        <f t="shared" si="52"/>
        <v>0</v>
      </c>
      <c r="T162" s="25">
        <f t="shared" si="53"/>
        <v>0</v>
      </c>
      <c r="U162" s="25">
        <f t="shared" si="54"/>
        <v>0</v>
      </c>
      <c r="V162" s="25">
        <f t="shared" si="55"/>
        <v>0</v>
      </c>
      <c r="W162" s="25">
        <f t="shared" si="56"/>
        <v>0</v>
      </c>
      <c r="X162" s="64">
        <f t="shared" si="57"/>
        <v>0</v>
      </c>
      <c r="Y162" s="64">
        <f t="shared" si="58"/>
        <v>0</v>
      </c>
      <c r="Z162" s="64">
        <f t="shared" si="59"/>
        <v>0</v>
      </c>
      <c r="AA162" s="64">
        <f t="shared" si="60"/>
        <v>0</v>
      </c>
      <c r="AB162" s="64">
        <f t="shared" si="61"/>
        <v>0</v>
      </c>
      <c r="AC162" s="64">
        <f t="shared" si="62"/>
        <v>0</v>
      </c>
      <c r="AD162" s="64">
        <f t="shared" si="63"/>
        <v>0</v>
      </c>
      <c r="AE162" s="64">
        <f t="shared" si="64"/>
        <v>0</v>
      </c>
      <c r="AF162" s="64">
        <f t="shared" si="65"/>
        <v>0</v>
      </c>
      <c r="AG162" s="29">
        <f t="shared" si="66"/>
        <v>2290.63</v>
      </c>
    </row>
    <row r="163" spans="1:33" s="20" customFormat="1">
      <c r="A163" s="265">
        <v>10690001</v>
      </c>
      <c r="B163" s="265" t="s">
        <v>315</v>
      </c>
      <c r="C163" s="265" t="s">
        <v>832</v>
      </c>
      <c r="D163" s="265">
        <v>100000039</v>
      </c>
      <c r="E163" s="265" t="s">
        <v>634</v>
      </c>
      <c r="F163" s="265" t="s">
        <v>0</v>
      </c>
      <c r="G163" s="266">
        <v>-10749.5</v>
      </c>
      <c r="H163" s="266">
        <v>-10749.5</v>
      </c>
      <c r="I163" s="267"/>
      <c r="J163" s="267"/>
      <c r="K163" s="267"/>
      <c r="L163" s="224" t="str">
        <f t="shared" si="67"/>
        <v>10690001_AUD_100000039_QANTAS AIRWAYS LIMITED</v>
      </c>
      <c r="M163" s="221">
        <f t="shared" si="47"/>
        <v>10749.5</v>
      </c>
      <c r="N163" s="24" t="str">
        <f>IF(OR(L163=$L$2,L163=$L$3),$M$10+1,IFERROR(VLOOKUP(A163,'Repricing Maturity Adj.'!$A$3:$C$170,3,0),(IF(K163&lt;$M$10,"Check",K163))))</f>
        <v>Non_sensitive</v>
      </c>
      <c r="O163" s="62" t="b">
        <f t="shared" si="48"/>
        <v>1</v>
      </c>
      <c r="P163" s="63" t="str">
        <f t="shared" si="49"/>
        <v>Liability</v>
      </c>
      <c r="Q163" s="25">
        <f t="shared" si="50"/>
        <v>0</v>
      </c>
      <c r="R163" s="25">
        <f t="shared" si="51"/>
        <v>0</v>
      </c>
      <c r="S163" s="25">
        <f t="shared" si="52"/>
        <v>0</v>
      </c>
      <c r="T163" s="25">
        <f t="shared" si="53"/>
        <v>0</v>
      </c>
      <c r="U163" s="25">
        <f t="shared" si="54"/>
        <v>0</v>
      </c>
      <c r="V163" s="25">
        <f t="shared" si="55"/>
        <v>0</v>
      </c>
      <c r="W163" s="25">
        <f t="shared" si="56"/>
        <v>0</v>
      </c>
      <c r="X163" s="64">
        <f t="shared" si="57"/>
        <v>0</v>
      </c>
      <c r="Y163" s="64">
        <f t="shared" si="58"/>
        <v>0</v>
      </c>
      <c r="Z163" s="64">
        <f t="shared" si="59"/>
        <v>0</v>
      </c>
      <c r="AA163" s="64">
        <f t="shared" si="60"/>
        <v>0</v>
      </c>
      <c r="AB163" s="64">
        <f t="shared" si="61"/>
        <v>0</v>
      </c>
      <c r="AC163" s="64">
        <f t="shared" si="62"/>
        <v>0</v>
      </c>
      <c r="AD163" s="64">
        <f t="shared" si="63"/>
        <v>0</v>
      </c>
      <c r="AE163" s="64">
        <f t="shared" si="64"/>
        <v>0</v>
      </c>
      <c r="AF163" s="64">
        <f t="shared" si="65"/>
        <v>0</v>
      </c>
      <c r="AG163" s="29">
        <f t="shared" si="66"/>
        <v>10749.5</v>
      </c>
    </row>
    <row r="164" spans="1:33" s="20" customFormat="1">
      <c r="A164" s="265">
        <v>10690001</v>
      </c>
      <c r="B164" s="265" t="s">
        <v>315</v>
      </c>
      <c r="C164" s="265" t="s">
        <v>833</v>
      </c>
      <c r="D164" s="265">
        <v>100000014</v>
      </c>
      <c r="E164" s="265" t="s">
        <v>278</v>
      </c>
      <c r="F164" s="265" t="s">
        <v>301</v>
      </c>
      <c r="G164" s="266">
        <v>-5102.74</v>
      </c>
      <c r="H164" s="266">
        <v>-7291.71</v>
      </c>
      <c r="I164" s="267"/>
      <c r="J164" s="267"/>
      <c r="K164" s="267"/>
      <c r="L164" s="224" t="str">
        <f t="shared" si="67"/>
        <v>10690001_USD_100000014_PERDAMAN CHEMICALS &amp; FERTILISERS (FINANCE)PTY LTD</v>
      </c>
      <c r="M164" s="221">
        <f t="shared" si="47"/>
        <v>7291.71</v>
      </c>
      <c r="N164" s="24" t="str">
        <f>IF(OR(L164=$L$2,L164=$L$3),$M$10+1,IFERROR(VLOOKUP(A164,'Repricing Maturity Adj.'!$A$3:$C$170,3,0),(IF(K164&lt;$M$10,"Check",K164))))</f>
        <v>Non_sensitive</v>
      </c>
      <c r="O164" s="62" t="b">
        <f t="shared" si="48"/>
        <v>1</v>
      </c>
      <c r="P164" s="63" t="str">
        <f t="shared" si="49"/>
        <v>Liability</v>
      </c>
      <c r="Q164" s="25">
        <f t="shared" si="50"/>
        <v>0</v>
      </c>
      <c r="R164" s="25">
        <f t="shared" si="51"/>
        <v>0</v>
      </c>
      <c r="S164" s="25">
        <f t="shared" si="52"/>
        <v>0</v>
      </c>
      <c r="T164" s="25">
        <f t="shared" si="53"/>
        <v>0</v>
      </c>
      <c r="U164" s="25">
        <f t="shared" si="54"/>
        <v>0</v>
      </c>
      <c r="V164" s="25">
        <f t="shared" si="55"/>
        <v>0</v>
      </c>
      <c r="W164" s="25">
        <f t="shared" si="56"/>
        <v>0</v>
      </c>
      <c r="X164" s="64">
        <f t="shared" si="57"/>
        <v>0</v>
      </c>
      <c r="Y164" s="64">
        <f t="shared" si="58"/>
        <v>0</v>
      </c>
      <c r="Z164" s="64">
        <f t="shared" si="59"/>
        <v>0</v>
      </c>
      <c r="AA164" s="64">
        <f t="shared" si="60"/>
        <v>0</v>
      </c>
      <c r="AB164" s="64">
        <f t="shared" si="61"/>
        <v>0</v>
      </c>
      <c r="AC164" s="64">
        <f t="shared" si="62"/>
        <v>0</v>
      </c>
      <c r="AD164" s="64">
        <f t="shared" si="63"/>
        <v>0</v>
      </c>
      <c r="AE164" s="64">
        <f t="shared" si="64"/>
        <v>0</v>
      </c>
      <c r="AF164" s="64">
        <f t="shared" si="65"/>
        <v>0</v>
      </c>
      <c r="AG164" s="29">
        <f t="shared" si="66"/>
        <v>7291.71</v>
      </c>
    </row>
    <row r="165" spans="1:33" s="20" customFormat="1">
      <c r="A165" s="265">
        <v>10690001</v>
      </c>
      <c r="B165" s="265" t="s">
        <v>315</v>
      </c>
      <c r="C165" s="265" t="s">
        <v>834</v>
      </c>
      <c r="D165" s="265">
        <v>100000014</v>
      </c>
      <c r="E165" s="265" t="s">
        <v>278</v>
      </c>
      <c r="F165" s="265" t="s">
        <v>301</v>
      </c>
      <c r="G165" s="266">
        <v>-1751.01</v>
      </c>
      <c r="H165" s="266">
        <v>-2502.16</v>
      </c>
      <c r="I165" s="267"/>
      <c r="J165" s="267"/>
      <c r="K165" s="267"/>
      <c r="L165" s="224" t="str">
        <f t="shared" si="67"/>
        <v>10690001_USD_100000014_PERDAMAN CHEMICALS &amp; FERTILISERS (FINANCE)PTY LTD</v>
      </c>
      <c r="M165" s="221">
        <f t="shared" si="47"/>
        <v>2502.16</v>
      </c>
      <c r="N165" s="24" t="str">
        <f>IF(OR(L165=$L$2,L165=$L$3),$M$10+1,IFERROR(VLOOKUP(A165,'Repricing Maturity Adj.'!$A$3:$C$170,3,0),(IF(K165&lt;$M$10,"Check",K165))))</f>
        <v>Non_sensitive</v>
      </c>
      <c r="O165" s="62" t="b">
        <f t="shared" si="48"/>
        <v>1</v>
      </c>
      <c r="P165" s="63" t="str">
        <f t="shared" si="49"/>
        <v>Liability</v>
      </c>
      <c r="Q165" s="25">
        <f t="shared" si="50"/>
        <v>0</v>
      </c>
      <c r="R165" s="25">
        <f t="shared" si="51"/>
        <v>0</v>
      </c>
      <c r="S165" s="25">
        <f t="shared" si="52"/>
        <v>0</v>
      </c>
      <c r="T165" s="25">
        <f t="shared" si="53"/>
        <v>0</v>
      </c>
      <c r="U165" s="25">
        <f t="shared" si="54"/>
        <v>0</v>
      </c>
      <c r="V165" s="25">
        <f t="shared" si="55"/>
        <v>0</v>
      </c>
      <c r="W165" s="25">
        <f t="shared" si="56"/>
        <v>0</v>
      </c>
      <c r="X165" s="64">
        <f t="shared" si="57"/>
        <v>0</v>
      </c>
      <c r="Y165" s="64">
        <f t="shared" si="58"/>
        <v>0</v>
      </c>
      <c r="Z165" s="64">
        <f t="shared" si="59"/>
        <v>0</v>
      </c>
      <c r="AA165" s="64">
        <f t="shared" si="60"/>
        <v>0</v>
      </c>
      <c r="AB165" s="64">
        <f t="shared" si="61"/>
        <v>0</v>
      </c>
      <c r="AC165" s="64">
        <f t="shared" si="62"/>
        <v>0</v>
      </c>
      <c r="AD165" s="64">
        <f t="shared" si="63"/>
        <v>0</v>
      </c>
      <c r="AE165" s="64">
        <f t="shared" si="64"/>
        <v>0</v>
      </c>
      <c r="AF165" s="64">
        <f t="shared" si="65"/>
        <v>0</v>
      </c>
      <c r="AG165" s="29">
        <f t="shared" si="66"/>
        <v>2502.16</v>
      </c>
    </row>
    <row r="166" spans="1:33" s="20" customFormat="1">
      <c r="A166" s="265">
        <v>10690001</v>
      </c>
      <c r="B166" s="265" t="s">
        <v>315</v>
      </c>
      <c r="C166" s="265" t="s">
        <v>853</v>
      </c>
      <c r="D166" s="265">
        <v>100000014</v>
      </c>
      <c r="E166" s="265" t="s">
        <v>278</v>
      </c>
      <c r="F166" s="265" t="s">
        <v>301</v>
      </c>
      <c r="G166" s="266">
        <v>-4687.25</v>
      </c>
      <c r="H166" s="266">
        <v>-6697.99</v>
      </c>
      <c r="I166" s="267"/>
      <c r="J166" s="267"/>
      <c r="K166" s="267"/>
      <c r="L166" s="224" t="str">
        <f t="shared" si="67"/>
        <v>10690001_USD_100000014_PERDAMAN CHEMICALS &amp; FERTILISERS (FINANCE)PTY LTD</v>
      </c>
      <c r="M166" s="221">
        <f t="shared" si="47"/>
        <v>6697.99</v>
      </c>
      <c r="N166" s="24" t="str">
        <f>IF(OR(L166=$L$2,L166=$L$3),$M$10+1,IFERROR(VLOOKUP(A166,'Repricing Maturity Adj.'!$A$3:$C$170,3,0),(IF(K166&lt;$M$10,"Check",K166))))</f>
        <v>Non_sensitive</v>
      </c>
      <c r="O166" s="62" t="b">
        <f t="shared" si="48"/>
        <v>1</v>
      </c>
      <c r="P166" s="63" t="str">
        <f t="shared" si="49"/>
        <v>Liability</v>
      </c>
      <c r="Q166" s="25">
        <f t="shared" si="50"/>
        <v>0</v>
      </c>
      <c r="R166" s="25">
        <f t="shared" si="51"/>
        <v>0</v>
      </c>
      <c r="S166" s="25">
        <f t="shared" si="52"/>
        <v>0</v>
      </c>
      <c r="T166" s="25">
        <f t="shared" si="53"/>
        <v>0</v>
      </c>
      <c r="U166" s="25">
        <f t="shared" si="54"/>
        <v>0</v>
      </c>
      <c r="V166" s="25">
        <f t="shared" si="55"/>
        <v>0</v>
      </c>
      <c r="W166" s="25">
        <f t="shared" si="56"/>
        <v>0</v>
      </c>
      <c r="X166" s="64">
        <f t="shared" si="57"/>
        <v>0</v>
      </c>
      <c r="Y166" s="64">
        <f t="shared" si="58"/>
        <v>0</v>
      </c>
      <c r="Z166" s="64">
        <f t="shared" si="59"/>
        <v>0</v>
      </c>
      <c r="AA166" s="64">
        <f t="shared" si="60"/>
        <v>0</v>
      </c>
      <c r="AB166" s="64">
        <f t="shared" si="61"/>
        <v>0</v>
      </c>
      <c r="AC166" s="64">
        <f t="shared" si="62"/>
        <v>0</v>
      </c>
      <c r="AD166" s="64">
        <f t="shared" si="63"/>
        <v>0</v>
      </c>
      <c r="AE166" s="64">
        <f t="shared" si="64"/>
        <v>0</v>
      </c>
      <c r="AF166" s="64">
        <f t="shared" si="65"/>
        <v>0</v>
      </c>
      <c r="AG166" s="29">
        <f t="shared" si="66"/>
        <v>6697.99</v>
      </c>
    </row>
    <row r="167" spans="1:33" s="20" customFormat="1">
      <c r="A167" s="265">
        <v>10690001</v>
      </c>
      <c r="B167" s="265" t="s">
        <v>315</v>
      </c>
      <c r="C167" s="265" t="s">
        <v>854</v>
      </c>
      <c r="D167" s="265">
        <v>100000014</v>
      </c>
      <c r="E167" s="265" t="s">
        <v>278</v>
      </c>
      <c r="F167" s="265" t="s">
        <v>301</v>
      </c>
      <c r="G167" s="266">
        <v>-1742.12</v>
      </c>
      <c r="H167" s="266">
        <v>-2489.4499999999998</v>
      </c>
      <c r="I167" s="267"/>
      <c r="J167" s="267"/>
      <c r="K167" s="267"/>
      <c r="L167" s="224" t="str">
        <f t="shared" si="67"/>
        <v>10690001_USD_100000014_PERDAMAN CHEMICALS &amp; FERTILISERS (FINANCE)PTY LTD</v>
      </c>
      <c r="M167" s="221">
        <f t="shared" si="47"/>
        <v>2489.4499999999998</v>
      </c>
      <c r="N167" s="24" t="str">
        <f>IF(OR(L167=$L$2,L167=$L$3),$M$10+1,IFERROR(VLOOKUP(A167,'Repricing Maturity Adj.'!$A$3:$C$170,3,0),(IF(K167&lt;$M$10,"Check",K167))))</f>
        <v>Non_sensitive</v>
      </c>
      <c r="O167" s="62" t="b">
        <f t="shared" si="48"/>
        <v>1</v>
      </c>
      <c r="P167" s="63" t="str">
        <f t="shared" si="49"/>
        <v>Liability</v>
      </c>
      <c r="Q167" s="25">
        <f t="shared" si="50"/>
        <v>0</v>
      </c>
      <c r="R167" s="25">
        <f t="shared" si="51"/>
        <v>0</v>
      </c>
      <c r="S167" s="25">
        <f t="shared" si="52"/>
        <v>0</v>
      </c>
      <c r="T167" s="25">
        <f t="shared" si="53"/>
        <v>0</v>
      </c>
      <c r="U167" s="25">
        <f t="shared" si="54"/>
        <v>0</v>
      </c>
      <c r="V167" s="25">
        <f t="shared" si="55"/>
        <v>0</v>
      </c>
      <c r="W167" s="25">
        <f t="shared" si="56"/>
        <v>0</v>
      </c>
      <c r="X167" s="64">
        <f t="shared" si="57"/>
        <v>0</v>
      </c>
      <c r="Y167" s="64">
        <f t="shared" si="58"/>
        <v>0</v>
      </c>
      <c r="Z167" s="64">
        <f t="shared" si="59"/>
        <v>0</v>
      </c>
      <c r="AA167" s="64">
        <f t="shared" si="60"/>
        <v>0</v>
      </c>
      <c r="AB167" s="64">
        <f t="shared" si="61"/>
        <v>0</v>
      </c>
      <c r="AC167" s="64">
        <f t="shared" si="62"/>
        <v>0</v>
      </c>
      <c r="AD167" s="64">
        <f t="shared" si="63"/>
        <v>0</v>
      </c>
      <c r="AE167" s="64">
        <f t="shared" si="64"/>
        <v>0</v>
      </c>
      <c r="AF167" s="64">
        <f t="shared" si="65"/>
        <v>0</v>
      </c>
      <c r="AG167" s="29">
        <f t="shared" si="66"/>
        <v>2489.4499999999998</v>
      </c>
    </row>
    <row r="168" spans="1:33" s="20" customFormat="1">
      <c r="A168" s="265">
        <v>10690001</v>
      </c>
      <c r="B168" s="265" t="s">
        <v>315</v>
      </c>
      <c r="C168" s="265" t="s">
        <v>864</v>
      </c>
      <c r="D168" s="265">
        <v>100000014</v>
      </c>
      <c r="E168" s="265" t="s">
        <v>278</v>
      </c>
      <c r="F168" s="265" t="s">
        <v>301</v>
      </c>
      <c r="G168" s="266">
        <v>-3859.39</v>
      </c>
      <c r="H168" s="266">
        <v>-5514.99</v>
      </c>
      <c r="I168" s="267"/>
      <c r="J168" s="267"/>
      <c r="K168" s="267"/>
      <c r="L168" s="224" t="str">
        <f t="shared" si="67"/>
        <v>10690001_USD_100000014_PERDAMAN CHEMICALS &amp; FERTILISERS (FINANCE)PTY LTD</v>
      </c>
      <c r="M168" s="221">
        <f t="shared" si="47"/>
        <v>5514.99</v>
      </c>
      <c r="N168" s="24" t="str">
        <f>IF(OR(L168=$L$2,L168=$L$3),$M$10+1,IFERROR(VLOOKUP(A168,'Repricing Maturity Adj.'!$A$3:$C$170,3,0),(IF(K168&lt;$M$10,"Check",K168))))</f>
        <v>Non_sensitive</v>
      </c>
      <c r="O168" s="62" t="b">
        <f t="shared" si="48"/>
        <v>1</v>
      </c>
      <c r="P168" s="63" t="str">
        <f t="shared" si="49"/>
        <v>Liability</v>
      </c>
      <c r="Q168" s="25">
        <f t="shared" si="50"/>
        <v>0</v>
      </c>
      <c r="R168" s="25">
        <f t="shared" si="51"/>
        <v>0</v>
      </c>
      <c r="S168" s="25">
        <f t="shared" si="52"/>
        <v>0</v>
      </c>
      <c r="T168" s="25">
        <f t="shared" si="53"/>
        <v>0</v>
      </c>
      <c r="U168" s="25">
        <f t="shared" si="54"/>
        <v>0</v>
      </c>
      <c r="V168" s="25">
        <f t="shared" si="55"/>
        <v>0</v>
      </c>
      <c r="W168" s="25">
        <f t="shared" si="56"/>
        <v>0</v>
      </c>
      <c r="X168" s="64">
        <f t="shared" si="57"/>
        <v>0</v>
      </c>
      <c r="Y168" s="64">
        <f t="shared" si="58"/>
        <v>0</v>
      </c>
      <c r="Z168" s="64">
        <f t="shared" si="59"/>
        <v>0</v>
      </c>
      <c r="AA168" s="64">
        <f t="shared" si="60"/>
        <v>0</v>
      </c>
      <c r="AB168" s="64">
        <f t="shared" si="61"/>
        <v>0</v>
      </c>
      <c r="AC168" s="64">
        <f t="shared" si="62"/>
        <v>0</v>
      </c>
      <c r="AD168" s="64">
        <f t="shared" si="63"/>
        <v>0</v>
      </c>
      <c r="AE168" s="64">
        <f t="shared" si="64"/>
        <v>0</v>
      </c>
      <c r="AF168" s="64">
        <f t="shared" si="65"/>
        <v>0</v>
      </c>
      <c r="AG168" s="29">
        <f t="shared" si="66"/>
        <v>5514.99</v>
      </c>
    </row>
    <row r="169" spans="1:33" s="20" customFormat="1">
      <c r="A169" s="265">
        <v>10690001</v>
      </c>
      <c r="B169" s="265" t="s">
        <v>315</v>
      </c>
      <c r="C169" s="265" t="s">
        <v>865</v>
      </c>
      <c r="D169" s="265">
        <v>100000033</v>
      </c>
      <c r="E169" s="265" t="s">
        <v>573</v>
      </c>
      <c r="F169" s="265" t="s">
        <v>301</v>
      </c>
      <c r="G169" s="266">
        <v>-6223</v>
      </c>
      <c r="H169" s="266">
        <v>-8892.5400000000009</v>
      </c>
      <c r="I169" s="267"/>
      <c r="J169" s="267"/>
      <c r="K169" s="267"/>
      <c r="L169" s="224" t="str">
        <f t="shared" si="67"/>
        <v>10690001_USD_100000033_MACQUARIE GROUP LIMITED</v>
      </c>
      <c r="M169" s="221">
        <f t="shared" si="47"/>
        <v>8892.5400000000009</v>
      </c>
      <c r="N169" s="24" t="str">
        <f>IF(OR(L169=$L$2,L169=$L$3),$M$10+1,IFERROR(VLOOKUP(A169,'Repricing Maturity Adj.'!$A$3:$C$170,3,0),(IF(K169&lt;$M$10,"Check",K169))))</f>
        <v>Non_sensitive</v>
      </c>
      <c r="O169" s="62" t="b">
        <f t="shared" si="48"/>
        <v>1</v>
      </c>
      <c r="P169" s="63" t="str">
        <f t="shared" si="49"/>
        <v>Liability</v>
      </c>
      <c r="Q169" s="25">
        <f t="shared" si="50"/>
        <v>0</v>
      </c>
      <c r="R169" s="25">
        <f t="shared" si="51"/>
        <v>0</v>
      </c>
      <c r="S169" s="25">
        <f t="shared" si="52"/>
        <v>0</v>
      </c>
      <c r="T169" s="25">
        <f t="shared" si="53"/>
        <v>0</v>
      </c>
      <c r="U169" s="25">
        <f t="shared" si="54"/>
        <v>0</v>
      </c>
      <c r="V169" s="25">
        <f t="shared" si="55"/>
        <v>0</v>
      </c>
      <c r="W169" s="25">
        <f t="shared" si="56"/>
        <v>0</v>
      </c>
      <c r="X169" s="64">
        <f t="shared" si="57"/>
        <v>0</v>
      </c>
      <c r="Y169" s="64">
        <f t="shared" si="58"/>
        <v>0</v>
      </c>
      <c r="Z169" s="64">
        <f t="shared" si="59"/>
        <v>0</v>
      </c>
      <c r="AA169" s="64">
        <f t="shared" si="60"/>
        <v>0</v>
      </c>
      <c r="AB169" s="64">
        <f t="shared" si="61"/>
        <v>0</v>
      </c>
      <c r="AC169" s="64">
        <f t="shared" si="62"/>
        <v>0</v>
      </c>
      <c r="AD169" s="64">
        <f t="shared" si="63"/>
        <v>0</v>
      </c>
      <c r="AE169" s="64">
        <f t="shared" si="64"/>
        <v>0</v>
      </c>
      <c r="AF169" s="64">
        <f t="shared" si="65"/>
        <v>0</v>
      </c>
      <c r="AG169" s="29">
        <f t="shared" si="66"/>
        <v>8892.5400000000009</v>
      </c>
    </row>
    <row r="170" spans="1:33" s="20" customFormat="1">
      <c r="A170" s="265">
        <v>10690001</v>
      </c>
      <c r="B170" s="265" t="s">
        <v>315</v>
      </c>
      <c r="C170" s="265" t="s">
        <v>866</v>
      </c>
      <c r="D170" s="265">
        <v>100000014</v>
      </c>
      <c r="E170" s="265" t="s">
        <v>278</v>
      </c>
      <c r="F170" s="265" t="s">
        <v>301</v>
      </c>
      <c r="G170" s="266">
        <v>-1746.81</v>
      </c>
      <c r="H170" s="266">
        <v>-2496.16</v>
      </c>
      <c r="I170" s="267"/>
      <c r="J170" s="267"/>
      <c r="K170" s="267"/>
      <c r="L170" s="224" t="str">
        <f t="shared" si="67"/>
        <v>10690001_USD_100000014_PERDAMAN CHEMICALS &amp; FERTILISERS (FINANCE)PTY LTD</v>
      </c>
      <c r="M170" s="221">
        <f t="shared" si="47"/>
        <v>2496.16</v>
      </c>
      <c r="N170" s="24" t="str">
        <f>IF(OR(L170=$L$2,L170=$L$3),$M$10+1,IFERROR(VLOOKUP(A170,'Repricing Maturity Adj.'!$A$3:$C$170,3,0),(IF(K170&lt;$M$10,"Check",K170))))</f>
        <v>Non_sensitive</v>
      </c>
      <c r="O170" s="62" t="b">
        <f t="shared" si="48"/>
        <v>1</v>
      </c>
      <c r="P170" s="63" t="str">
        <f t="shared" si="49"/>
        <v>Liability</v>
      </c>
      <c r="Q170" s="25">
        <f t="shared" si="50"/>
        <v>0</v>
      </c>
      <c r="R170" s="25">
        <f t="shared" si="51"/>
        <v>0</v>
      </c>
      <c r="S170" s="25">
        <f t="shared" si="52"/>
        <v>0</v>
      </c>
      <c r="T170" s="25">
        <f t="shared" si="53"/>
        <v>0</v>
      </c>
      <c r="U170" s="25">
        <f t="shared" si="54"/>
        <v>0</v>
      </c>
      <c r="V170" s="25">
        <f t="shared" si="55"/>
        <v>0</v>
      </c>
      <c r="W170" s="25">
        <f t="shared" si="56"/>
        <v>0</v>
      </c>
      <c r="X170" s="64">
        <f t="shared" si="57"/>
        <v>0</v>
      </c>
      <c r="Y170" s="64">
        <f t="shared" si="58"/>
        <v>0</v>
      </c>
      <c r="Z170" s="64">
        <f t="shared" si="59"/>
        <v>0</v>
      </c>
      <c r="AA170" s="64">
        <f t="shared" si="60"/>
        <v>0</v>
      </c>
      <c r="AB170" s="64">
        <f t="shared" si="61"/>
        <v>0</v>
      </c>
      <c r="AC170" s="64">
        <f t="shared" si="62"/>
        <v>0</v>
      </c>
      <c r="AD170" s="64">
        <f t="shared" si="63"/>
        <v>0</v>
      </c>
      <c r="AE170" s="64">
        <f t="shared" si="64"/>
        <v>0</v>
      </c>
      <c r="AF170" s="64">
        <f t="shared" si="65"/>
        <v>0</v>
      </c>
      <c r="AG170" s="29">
        <f t="shared" si="66"/>
        <v>2496.16</v>
      </c>
    </row>
    <row r="171" spans="1:33" s="20" customFormat="1">
      <c r="A171" s="265">
        <v>10690001</v>
      </c>
      <c r="B171" s="265" t="s">
        <v>315</v>
      </c>
      <c r="C171" s="265" t="s">
        <v>874</v>
      </c>
      <c r="D171" s="265">
        <v>100000014</v>
      </c>
      <c r="E171" s="265" t="s">
        <v>278</v>
      </c>
      <c r="F171" s="265" t="s">
        <v>301</v>
      </c>
      <c r="G171" s="266">
        <v>-3995.39</v>
      </c>
      <c r="H171" s="266">
        <v>-5709.33</v>
      </c>
      <c r="I171" s="267"/>
      <c r="J171" s="267"/>
      <c r="K171" s="267"/>
      <c r="L171" s="224" t="str">
        <f t="shared" si="67"/>
        <v>10690001_USD_100000014_PERDAMAN CHEMICALS &amp; FERTILISERS (FINANCE)PTY LTD</v>
      </c>
      <c r="M171" s="221">
        <f t="shared" si="47"/>
        <v>5709.33</v>
      </c>
      <c r="N171" s="24" t="str">
        <f>IF(OR(L171=$L$2,L171=$L$3),$M$10+1,IFERROR(VLOOKUP(A171,'Repricing Maturity Adj.'!$A$3:$C$170,3,0),(IF(K171&lt;$M$10,"Check",K171))))</f>
        <v>Non_sensitive</v>
      </c>
      <c r="O171" s="62" t="b">
        <f t="shared" si="48"/>
        <v>1</v>
      </c>
      <c r="P171" s="63" t="str">
        <f t="shared" si="49"/>
        <v>Liability</v>
      </c>
      <c r="Q171" s="25">
        <f t="shared" si="50"/>
        <v>0</v>
      </c>
      <c r="R171" s="25">
        <f t="shared" si="51"/>
        <v>0</v>
      </c>
      <c r="S171" s="25">
        <f t="shared" si="52"/>
        <v>0</v>
      </c>
      <c r="T171" s="25">
        <f t="shared" si="53"/>
        <v>0</v>
      </c>
      <c r="U171" s="25">
        <f t="shared" si="54"/>
        <v>0</v>
      </c>
      <c r="V171" s="25">
        <f t="shared" si="55"/>
        <v>0</v>
      </c>
      <c r="W171" s="25">
        <f t="shared" si="56"/>
        <v>0</v>
      </c>
      <c r="X171" s="64">
        <f t="shared" si="57"/>
        <v>0</v>
      </c>
      <c r="Y171" s="64">
        <f t="shared" si="58"/>
        <v>0</v>
      </c>
      <c r="Z171" s="64">
        <f t="shared" si="59"/>
        <v>0</v>
      </c>
      <c r="AA171" s="64">
        <f t="shared" si="60"/>
        <v>0</v>
      </c>
      <c r="AB171" s="64">
        <f t="shared" si="61"/>
        <v>0</v>
      </c>
      <c r="AC171" s="64">
        <f t="shared" si="62"/>
        <v>0</v>
      </c>
      <c r="AD171" s="64">
        <f t="shared" si="63"/>
        <v>0</v>
      </c>
      <c r="AE171" s="64">
        <f t="shared" si="64"/>
        <v>0</v>
      </c>
      <c r="AF171" s="64">
        <f t="shared" si="65"/>
        <v>0</v>
      </c>
      <c r="AG171" s="29">
        <f t="shared" si="66"/>
        <v>5709.33</v>
      </c>
    </row>
    <row r="172" spans="1:33" s="20" customFormat="1">
      <c r="A172" s="265">
        <v>10690001</v>
      </c>
      <c r="B172" s="265" t="s">
        <v>315</v>
      </c>
      <c r="C172" s="265" t="s">
        <v>875</v>
      </c>
      <c r="D172" s="265">
        <v>100000014</v>
      </c>
      <c r="E172" s="265" t="s">
        <v>278</v>
      </c>
      <c r="F172" s="265" t="s">
        <v>301</v>
      </c>
      <c r="G172" s="266">
        <v>-1614.03</v>
      </c>
      <c r="H172" s="266">
        <v>-2306.42</v>
      </c>
      <c r="I172" s="267"/>
      <c r="J172" s="267"/>
      <c r="K172" s="267"/>
      <c r="L172" s="224" t="str">
        <f t="shared" si="67"/>
        <v>10690001_USD_100000014_PERDAMAN CHEMICALS &amp; FERTILISERS (FINANCE)PTY LTD</v>
      </c>
      <c r="M172" s="221">
        <f t="shared" si="47"/>
        <v>2306.42</v>
      </c>
      <c r="N172" s="24" t="str">
        <f>IF(OR(L172=$L$2,L172=$L$3),$M$10+1,IFERROR(VLOOKUP(A172,'Repricing Maturity Adj.'!$A$3:$C$170,3,0),(IF(K172&lt;$M$10,"Check",K172))))</f>
        <v>Non_sensitive</v>
      </c>
      <c r="O172" s="62" t="b">
        <f t="shared" si="48"/>
        <v>1</v>
      </c>
      <c r="P172" s="63" t="str">
        <f t="shared" si="49"/>
        <v>Liability</v>
      </c>
      <c r="Q172" s="25">
        <f t="shared" si="50"/>
        <v>0</v>
      </c>
      <c r="R172" s="25">
        <f t="shared" si="51"/>
        <v>0</v>
      </c>
      <c r="S172" s="25">
        <f t="shared" si="52"/>
        <v>0</v>
      </c>
      <c r="T172" s="25">
        <f t="shared" si="53"/>
        <v>0</v>
      </c>
      <c r="U172" s="25">
        <f t="shared" si="54"/>
        <v>0</v>
      </c>
      <c r="V172" s="25">
        <f t="shared" si="55"/>
        <v>0</v>
      </c>
      <c r="W172" s="25">
        <f t="shared" si="56"/>
        <v>0</v>
      </c>
      <c r="X172" s="64">
        <f t="shared" si="57"/>
        <v>0</v>
      </c>
      <c r="Y172" s="64">
        <f t="shared" si="58"/>
        <v>0</v>
      </c>
      <c r="Z172" s="64">
        <f t="shared" si="59"/>
        <v>0</v>
      </c>
      <c r="AA172" s="64">
        <f t="shared" si="60"/>
        <v>0</v>
      </c>
      <c r="AB172" s="64">
        <f t="shared" si="61"/>
        <v>0</v>
      </c>
      <c r="AC172" s="64">
        <f t="shared" si="62"/>
        <v>0</v>
      </c>
      <c r="AD172" s="64">
        <f t="shared" si="63"/>
        <v>0</v>
      </c>
      <c r="AE172" s="64">
        <f t="shared" si="64"/>
        <v>0</v>
      </c>
      <c r="AF172" s="64">
        <f t="shared" si="65"/>
        <v>0</v>
      </c>
      <c r="AG172" s="29">
        <f t="shared" si="66"/>
        <v>2306.42</v>
      </c>
    </row>
    <row r="173" spans="1:33" s="20" customFormat="1">
      <c r="A173" s="265">
        <v>10690001</v>
      </c>
      <c r="B173" s="265" t="s">
        <v>315</v>
      </c>
      <c r="C173" s="265" t="s">
        <v>904</v>
      </c>
      <c r="D173" s="265">
        <v>100000014</v>
      </c>
      <c r="E173" s="265" t="s">
        <v>278</v>
      </c>
      <c r="F173" s="265" t="s">
        <v>301</v>
      </c>
      <c r="G173" s="266">
        <v>-1767.46</v>
      </c>
      <c r="H173" s="266">
        <v>-2525.66</v>
      </c>
      <c r="I173" s="267"/>
      <c r="J173" s="267"/>
      <c r="K173" s="267"/>
      <c r="L173" s="224" t="str">
        <f t="shared" si="67"/>
        <v>10690001_USD_100000014_PERDAMAN CHEMICALS &amp; FERTILISERS (FINANCE)PTY LTD</v>
      </c>
      <c r="M173" s="221">
        <f t="shared" si="47"/>
        <v>2525.66</v>
      </c>
      <c r="N173" s="24" t="str">
        <f>IF(OR(L173=$L$2,L173=$L$3),$M$10+1,IFERROR(VLOOKUP(A173,'Repricing Maturity Adj.'!$A$3:$C$170,3,0),(IF(K173&lt;$M$10,"Check",K173))))</f>
        <v>Non_sensitive</v>
      </c>
      <c r="O173" s="62" t="b">
        <f t="shared" si="48"/>
        <v>1</v>
      </c>
      <c r="P173" s="63" t="str">
        <f t="shared" si="49"/>
        <v>Liability</v>
      </c>
      <c r="Q173" s="25">
        <f t="shared" si="50"/>
        <v>0</v>
      </c>
      <c r="R173" s="25">
        <f t="shared" si="51"/>
        <v>0</v>
      </c>
      <c r="S173" s="25">
        <f t="shared" si="52"/>
        <v>0</v>
      </c>
      <c r="T173" s="25">
        <f t="shared" si="53"/>
        <v>0</v>
      </c>
      <c r="U173" s="25">
        <f t="shared" si="54"/>
        <v>0</v>
      </c>
      <c r="V173" s="25">
        <f t="shared" si="55"/>
        <v>0</v>
      </c>
      <c r="W173" s="25">
        <f t="shared" si="56"/>
        <v>0</v>
      </c>
      <c r="X173" s="64">
        <f t="shared" si="57"/>
        <v>0</v>
      </c>
      <c r="Y173" s="64">
        <f t="shared" si="58"/>
        <v>0</v>
      </c>
      <c r="Z173" s="64">
        <f t="shared" si="59"/>
        <v>0</v>
      </c>
      <c r="AA173" s="64">
        <f t="shared" si="60"/>
        <v>0</v>
      </c>
      <c r="AB173" s="64">
        <f t="shared" si="61"/>
        <v>0</v>
      </c>
      <c r="AC173" s="64">
        <f t="shared" si="62"/>
        <v>0</v>
      </c>
      <c r="AD173" s="64">
        <f t="shared" si="63"/>
        <v>0</v>
      </c>
      <c r="AE173" s="64">
        <f t="shared" si="64"/>
        <v>0</v>
      </c>
      <c r="AF173" s="64">
        <f t="shared" si="65"/>
        <v>0</v>
      </c>
      <c r="AG173" s="29">
        <f t="shared" si="66"/>
        <v>2525.66</v>
      </c>
    </row>
    <row r="174" spans="1:33" s="20" customFormat="1">
      <c r="A174" s="265">
        <v>10690007</v>
      </c>
      <c r="B174" s="265" t="s">
        <v>606</v>
      </c>
      <c r="C174" s="265" t="s">
        <v>876</v>
      </c>
      <c r="D174" s="265">
        <v>100000008</v>
      </c>
      <c r="E174" s="265" t="s">
        <v>305</v>
      </c>
      <c r="F174" s="265" t="s">
        <v>0</v>
      </c>
      <c r="G174" s="266">
        <v>-6260.75</v>
      </c>
      <c r="H174" s="266">
        <v>-6260.75</v>
      </c>
      <c r="I174" s="267"/>
      <c r="J174" s="267"/>
      <c r="K174" s="267"/>
      <c r="L174" s="224" t="str">
        <f t="shared" si="67"/>
        <v>10690007_AUD_100000008_E.SUN COMMERCIAL BANK LTD</v>
      </c>
      <c r="M174" s="221">
        <f t="shared" si="47"/>
        <v>6260.75</v>
      </c>
      <c r="N174" s="24" t="str">
        <f>IF(OR(L174=$L$2,L174=$L$3),$M$10+1,IFERROR(VLOOKUP(A174,'Repricing Maturity Adj.'!$A$3:$C$170,3,0),(IF(K174&lt;$M$10,"Check",K174))))</f>
        <v>Non_sensitive</v>
      </c>
      <c r="O174" s="62" t="b">
        <f t="shared" si="48"/>
        <v>1</v>
      </c>
      <c r="P174" s="63" t="str">
        <f t="shared" si="49"/>
        <v>Liability</v>
      </c>
      <c r="Q174" s="25">
        <f t="shared" si="50"/>
        <v>0</v>
      </c>
      <c r="R174" s="25">
        <f t="shared" si="51"/>
        <v>0</v>
      </c>
      <c r="S174" s="25">
        <f t="shared" si="52"/>
        <v>0</v>
      </c>
      <c r="T174" s="25">
        <f t="shared" si="53"/>
        <v>0</v>
      </c>
      <c r="U174" s="25">
        <f t="shared" si="54"/>
        <v>0</v>
      </c>
      <c r="V174" s="25">
        <f t="shared" si="55"/>
        <v>0</v>
      </c>
      <c r="W174" s="25">
        <f t="shared" si="56"/>
        <v>0</v>
      </c>
      <c r="X174" s="64">
        <f t="shared" si="57"/>
        <v>0</v>
      </c>
      <c r="Y174" s="64">
        <f t="shared" si="58"/>
        <v>0</v>
      </c>
      <c r="Z174" s="64">
        <f t="shared" si="59"/>
        <v>0</v>
      </c>
      <c r="AA174" s="64">
        <f t="shared" si="60"/>
        <v>0</v>
      </c>
      <c r="AB174" s="64">
        <f t="shared" si="61"/>
        <v>0</v>
      </c>
      <c r="AC174" s="64">
        <f t="shared" si="62"/>
        <v>0</v>
      </c>
      <c r="AD174" s="64">
        <f t="shared" si="63"/>
        <v>0</v>
      </c>
      <c r="AE174" s="64">
        <f t="shared" si="64"/>
        <v>0</v>
      </c>
      <c r="AF174" s="64">
        <f t="shared" si="65"/>
        <v>0</v>
      </c>
      <c r="AG174" s="29">
        <f t="shared" si="66"/>
        <v>6260.75</v>
      </c>
    </row>
    <row r="175" spans="1:33" s="20" customFormat="1">
      <c r="A175" s="265">
        <v>10690007</v>
      </c>
      <c r="B175" s="265" t="s">
        <v>606</v>
      </c>
      <c r="C175" s="265" t="s">
        <v>905</v>
      </c>
      <c r="D175" s="265">
        <v>100000008</v>
      </c>
      <c r="E175" s="265" t="s">
        <v>305</v>
      </c>
      <c r="F175" s="265" t="s">
        <v>0</v>
      </c>
      <c r="G175" s="266">
        <v>-1878.23</v>
      </c>
      <c r="H175" s="266">
        <v>-1878.23</v>
      </c>
      <c r="I175" s="267"/>
      <c r="J175" s="267"/>
      <c r="K175" s="267"/>
      <c r="L175" s="224" t="str">
        <f t="shared" si="67"/>
        <v>10690007_AUD_100000008_E.SUN COMMERCIAL BANK LTD</v>
      </c>
      <c r="M175" s="221">
        <f t="shared" si="47"/>
        <v>1878.23</v>
      </c>
      <c r="N175" s="24" t="str">
        <f>IF(OR(L175=$L$2,L175=$L$3),$M$10+1,IFERROR(VLOOKUP(A175,'Repricing Maturity Adj.'!$A$3:$C$170,3,0),(IF(K175&lt;$M$10,"Check",K175))))</f>
        <v>Non_sensitive</v>
      </c>
      <c r="O175" s="62" t="b">
        <f t="shared" si="48"/>
        <v>1</v>
      </c>
      <c r="P175" s="63" t="str">
        <f t="shared" si="49"/>
        <v>Liability</v>
      </c>
      <c r="Q175" s="25">
        <f t="shared" si="50"/>
        <v>0</v>
      </c>
      <c r="R175" s="25">
        <f t="shared" si="51"/>
        <v>0</v>
      </c>
      <c r="S175" s="25">
        <f t="shared" si="52"/>
        <v>0</v>
      </c>
      <c r="T175" s="25">
        <f t="shared" si="53"/>
        <v>0</v>
      </c>
      <c r="U175" s="25">
        <f t="shared" si="54"/>
        <v>0</v>
      </c>
      <c r="V175" s="25">
        <f t="shared" si="55"/>
        <v>0</v>
      </c>
      <c r="W175" s="25">
        <f t="shared" si="56"/>
        <v>0</v>
      </c>
      <c r="X175" s="64">
        <f t="shared" si="57"/>
        <v>0</v>
      </c>
      <c r="Y175" s="64">
        <f t="shared" si="58"/>
        <v>0</v>
      </c>
      <c r="Z175" s="64">
        <f t="shared" si="59"/>
        <v>0</v>
      </c>
      <c r="AA175" s="64">
        <f t="shared" si="60"/>
        <v>0</v>
      </c>
      <c r="AB175" s="64">
        <f t="shared" si="61"/>
        <v>0</v>
      </c>
      <c r="AC175" s="64">
        <f t="shared" si="62"/>
        <v>0</v>
      </c>
      <c r="AD175" s="64">
        <f t="shared" si="63"/>
        <v>0</v>
      </c>
      <c r="AE175" s="64">
        <f t="shared" si="64"/>
        <v>0</v>
      </c>
      <c r="AF175" s="64">
        <f t="shared" si="65"/>
        <v>0</v>
      </c>
      <c r="AG175" s="29">
        <f t="shared" si="66"/>
        <v>1878.23</v>
      </c>
    </row>
    <row r="176" spans="1:33" s="20" customFormat="1">
      <c r="A176" s="265">
        <v>10690007</v>
      </c>
      <c r="B176" s="265" t="s">
        <v>606</v>
      </c>
      <c r="C176" s="265" t="s">
        <v>906</v>
      </c>
      <c r="D176" s="265">
        <v>100000008</v>
      </c>
      <c r="E176" s="265" t="s">
        <v>305</v>
      </c>
      <c r="F176" s="265" t="s">
        <v>0</v>
      </c>
      <c r="G176" s="266">
        <v>-2504.3000000000002</v>
      </c>
      <c r="H176" s="266">
        <v>-2504.3000000000002</v>
      </c>
      <c r="I176" s="267"/>
      <c r="J176" s="267"/>
      <c r="K176" s="267"/>
      <c r="L176" s="224" t="str">
        <f t="shared" si="67"/>
        <v>10690007_AUD_100000008_E.SUN COMMERCIAL BANK LTD</v>
      </c>
      <c r="M176" s="221">
        <f t="shared" si="47"/>
        <v>2504.3000000000002</v>
      </c>
      <c r="N176" s="24" t="str">
        <f>IF(OR(L176=$L$2,L176=$L$3),$M$10+1,IFERROR(VLOOKUP(A176,'Repricing Maturity Adj.'!$A$3:$C$170,3,0),(IF(K176&lt;$M$10,"Check",K176))))</f>
        <v>Non_sensitive</v>
      </c>
      <c r="O176" s="62" t="b">
        <f t="shared" si="48"/>
        <v>1</v>
      </c>
      <c r="P176" s="63" t="str">
        <f t="shared" si="49"/>
        <v>Liability</v>
      </c>
      <c r="Q176" s="25">
        <f t="shared" si="50"/>
        <v>0</v>
      </c>
      <c r="R176" s="25">
        <f t="shared" si="51"/>
        <v>0</v>
      </c>
      <c r="S176" s="25">
        <f t="shared" si="52"/>
        <v>0</v>
      </c>
      <c r="T176" s="25">
        <f t="shared" si="53"/>
        <v>0</v>
      </c>
      <c r="U176" s="25">
        <f t="shared" si="54"/>
        <v>0</v>
      </c>
      <c r="V176" s="25">
        <f t="shared" si="55"/>
        <v>0</v>
      </c>
      <c r="W176" s="25">
        <f t="shared" si="56"/>
        <v>0</v>
      </c>
      <c r="X176" s="64">
        <f t="shared" si="57"/>
        <v>0</v>
      </c>
      <c r="Y176" s="64">
        <f t="shared" si="58"/>
        <v>0</v>
      </c>
      <c r="Z176" s="64">
        <f t="shared" si="59"/>
        <v>0</v>
      </c>
      <c r="AA176" s="64">
        <f t="shared" si="60"/>
        <v>0</v>
      </c>
      <c r="AB176" s="64">
        <f t="shared" si="61"/>
        <v>0</v>
      </c>
      <c r="AC176" s="64">
        <f t="shared" si="62"/>
        <v>0</v>
      </c>
      <c r="AD176" s="64">
        <f t="shared" si="63"/>
        <v>0</v>
      </c>
      <c r="AE176" s="64">
        <f t="shared" si="64"/>
        <v>0</v>
      </c>
      <c r="AF176" s="64">
        <f t="shared" si="65"/>
        <v>0</v>
      </c>
      <c r="AG176" s="29">
        <f t="shared" si="66"/>
        <v>2504.3000000000002</v>
      </c>
    </row>
    <row r="177" spans="1:33" s="20" customFormat="1">
      <c r="A177" s="265">
        <v>10910003</v>
      </c>
      <c r="B177" s="265" t="s">
        <v>902</v>
      </c>
      <c r="C177" s="265" t="s">
        <v>283</v>
      </c>
      <c r="D177" s="265">
        <v>100000003</v>
      </c>
      <c r="E177" s="265" t="s">
        <v>49</v>
      </c>
      <c r="F177" s="265" t="s">
        <v>0</v>
      </c>
      <c r="G177" s="266">
        <v>13126.44</v>
      </c>
      <c r="H177" s="266">
        <v>13126.44</v>
      </c>
      <c r="I177" s="268">
        <v>46046</v>
      </c>
      <c r="J177" s="268">
        <v>46136</v>
      </c>
      <c r="K177" s="268">
        <v>46136</v>
      </c>
      <c r="L177" s="224" t="str">
        <f t="shared" si="67"/>
        <v>10910003_AUD_100000003_COSMAX NBT AUSTRALIA PTY LTD</v>
      </c>
      <c r="M177" s="221">
        <f t="shared" si="47"/>
        <v>13126.44</v>
      </c>
      <c r="N177" s="24" t="str">
        <f>IF(OR(L177=$L$2,L177=$L$3),$M$10+1,IFERROR(VLOOKUP(A177,'Repricing Maturity Adj.'!$A$3:$C$170,3,0),(IF(K177&lt;$M$10,"Check",K177))))</f>
        <v>Non_sensitive</v>
      </c>
      <c r="O177" s="62" t="b">
        <f t="shared" si="48"/>
        <v>1</v>
      </c>
      <c r="P177" s="63" t="str">
        <f t="shared" si="49"/>
        <v>Asset</v>
      </c>
      <c r="Q177" s="25">
        <f t="shared" si="50"/>
        <v>0</v>
      </c>
      <c r="R177" s="25">
        <f t="shared" si="51"/>
        <v>0</v>
      </c>
      <c r="S177" s="25">
        <f t="shared" si="52"/>
        <v>0</v>
      </c>
      <c r="T177" s="25">
        <f t="shared" si="53"/>
        <v>0</v>
      </c>
      <c r="U177" s="25">
        <f t="shared" si="54"/>
        <v>0</v>
      </c>
      <c r="V177" s="25">
        <f t="shared" si="55"/>
        <v>0</v>
      </c>
      <c r="W177" s="25">
        <f t="shared" si="56"/>
        <v>0</v>
      </c>
      <c r="X177" s="64">
        <f t="shared" si="57"/>
        <v>0</v>
      </c>
      <c r="Y177" s="64">
        <f t="shared" si="58"/>
        <v>0</v>
      </c>
      <c r="Z177" s="64">
        <f t="shared" si="59"/>
        <v>0</v>
      </c>
      <c r="AA177" s="64">
        <f t="shared" si="60"/>
        <v>0</v>
      </c>
      <c r="AB177" s="64">
        <f t="shared" si="61"/>
        <v>0</v>
      </c>
      <c r="AC177" s="64">
        <f t="shared" si="62"/>
        <v>0</v>
      </c>
      <c r="AD177" s="64">
        <f t="shared" si="63"/>
        <v>0</v>
      </c>
      <c r="AE177" s="64">
        <f t="shared" si="64"/>
        <v>0</v>
      </c>
      <c r="AF177" s="64">
        <f t="shared" si="65"/>
        <v>0</v>
      </c>
      <c r="AG177" s="29">
        <f t="shared" si="66"/>
        <v>13126.44</v>
      </c>
    </row>
    <row r="178" spans="1:33" s="20" customFormat="1">
      <c r="A178" s="265">
        <v>10910006</v>
      </c>
      <c r="B178" s="265" t="s">
        <v>320</v>
      </c>
      <c r="C178" s="265" t="s">
        <v>277</v>
      </c>
      <c r="D178" s="265">
        <v>100000014</v>
      </c>
      <c r="E178" s="265" t="s">
        <v>278</v>
      </c>
      <c r="F178" s="265" t="s">
        <v>301</v>
      </c>
      <c r="G178" s="266">
        <v>656.8</v>
      </c>
      <c r="H178" s="266">
        <v>938.55</v>
      </c>
      <c r="I178" s="268">
        <v>46058</v>
      </c>
      <c r="J178" s="268">
        <v>46086</v>
      </c>
      <c r="K178" s="268">
        <v>46086</v>
      </c>
      <c r="L178" s="224" t="str">
        <f t="shared" si="67"/>
        <v>10910006_USD_100000014_PERDAMAN CHEMICALS &amp; FERTILISERS (FINANCE)PTY LTD</v>
      </c>
      <c r="M178" s="221">
        <f t="shared" si="47"/>
        <v>938.55</v>
      </c>
      <c r="N178" s="24" t="str">
        <f>IF(OR(L178=$L$2,L178=$L$3),$M$10+1,IFERROR(VLOOKUP(A178,'Repricing Maturity Adj.'!$A$3:$C$170,3,0),(IF(K178&lt;$M$10,"Check",K178))))</f>
        <v>Non_sensitive</v>
      </c>
      <c r="O178" s="62" t="b">
        <f t="shared" si="48"/>
        <v>1</v>
      </c>
      <c r="P178" s="63" t="str">
        <f t="shared" si="49"/>
        <v>Asset</v>
      </c>
      <c r="Q178" s="25">
        <f t="shared" si="50"/>
        <v>0</v>
      </c>
      <c r="R178" s="25">
        <f t="shared" si="51"/>
        <v>0</v>
      </c>
      <c r="S178" s="25">
        <f t="shared" si="52"/>
        <v>0</v>
      </c>
      <c r="T178" s="25">
        <f t="shared" si="53"/>
        <v>0</v>
      </c>
      <c r="U178" s="25">
        <f t="shared" si="54"/>
        <v>0</v>
      </c>
      <c r="V178" s="25">
        <f t="shared" si="55"/>
        <v>0</v>
      </c>
      <c r="W178" s="25">
        <f t="shared" si="56"/>
        <v>0</v>
      </c>
      <c r="X178" s="64">
        <f t="shared" si="57"/>
        <v>0</v>
      </c>
      <c r="Y178" s="64">
        <f t="shared" si="58"/>
        <v>0</v>
      </c>
      <c r="Z178" s="64">
        <f t="shared" si="59"/>
        <v>0</v>
      </c>
      <c r="AA178" s="64">
        <f t="shared" si="60"/>
        <v>0</v>
      </c>
      <c r="AB178" s="64">
        <f t="shared" si="61"/>
        <v>0</v>
      </c>
      <c r="AC178" s="64">
        <f t="shared" si="62"/>
        <v>0</v>
      </c>
      <c r="AD178" s="64">
        <f t="shared" si="63"/>
        <v>0</v>
      </c>
      <c r="AE178" s="64">
        <f t="shared" si="64"/>
        <v>0</v>
      </c>
      <c r="AF178" s="64">
        <f t="shared" si="65"/>
        <v>0</v>
      </c>
      <c r="AG178" s="29">
        <f t="shared" si="66"/>
        <v>938.55</v>
      </c>
    </row>
    <row r="179" spans="1:33" s="20" customFormat="1">
      <c r="A179" s="265">
        <v>10910006</v>
      </c>
      <c r="B179" s="265" t="s">
        <v>320</v>
      </c>
      <c r="C179" s="265" t="s">
        <v>279</v>
      </c>
      <c r="D179" s="265">
        <v>100000014</v>
      </c>
      <c r="E179" s="265" t="s">
        <v>278</v>
      </c>
      <c r="F179" s="265" t="s">
        <v>301</v>
      </c>
      <c r="G179" s="266">
        <v>24.48</v>
      </c>
      <c r="H179" s="266">
        <v>34.979999999999997</v>
      </c>
      <c r="I179" s="268">
        <v>46058</v>
      </c>
      <c r="J179" s="268">
        <v>46086</v>
      </c>
      <c r="K179" s="268">
        <v>46086</v>
      </c>
      <c r="L179" s="224" t="str">
        <f t="shared" si="67"/>
        <v>10910006_USD_100000014_PERDAMAN CHEMICALS &amp; FERTILISERS (FINANCE)PTY LTD</v>
      </c>
      <c r="M179" s="221">
        <f t="shared" si="47"/>
        <v>34.979999999999997</v>
      </c>
      <c r="N179" s="24" t="str">
        <f>IF(OR(L179=$L$2,L179=$L$3),$M$10+1,IFERROR(VLOOKUP(A179,'Repricing Maturity Adj.'!$A$3:$C$170,3,0),(IF(K179&lt;$M$10,"Check",K179))))</f>
        <v>Non_sensitive</v>
      </c>
      <c r="O179" s="62" t="b">
        <f t="shared" si="48"/>
        <v>1</v>
      </c>
      <c r="P179" s="63" t="str">
        <f t="shared" si="49"/>
        <v>Asset</v>
      </c>
      <c r="Q179" s="25">
        <f t="shared" si="50"/>
        <v>0</v>
      </c>
      <c r="R179" s="25">
        <f t="shared" si="51"/>
        <v>0</v>
      </c>
      <c r="S179" s="25">
        <f t="shared" si="52"/>
        <v>0</v>
      </c>
      <c r="T179" s="25">
        <f t="shared" si="53"/>
        <v>0</v>
      </c>
      <c r="U179" s="25">
        <f t="shared" si="54"/>
        <v>0</v>
      </c>
      <c r="V179" s="25">
        <f t="shared" si="55"/>
        <v>0</v>
      </c>
      <c r="W179" s="25">
        <f t="shared" si="56"/>
        <v>0</v>
      </c>
      <c r="X179" s="64">
        <f t="shared" si="57"/>
        <v>0</v>
      </c>
      <c r="Y179" s="64">
        <f t="shared" si="58"/>
        <v>0</v>
      </c>
      <c r="Z179" s="64">
        <f t="shared" si="59"/>
        <v>0</v>
      </c>
      <c r="AA179" s="64">
        <f t="shared" si="60"/>
        <v>0</v>
      </c>
      <c r="AB179" s="64">
        <f t="shared" si="61"/>
        <v>0</v>
      </c>
      <c r="AC179" s="64">
        <f t="shared" si="62"/>
        <v>0</v>
      </c>
      <c r="AD179" s="64">
        <f t="shared" si="63"/>
        <v>0</v>
      </c>
      <c r="AE179" s="64">
        <f t="shared" si="64"/>
        <v>0</v>
      </c>
      <c r="AF179" s="64">
        <f t="shared" si="65"/>
        <v>0</v>
      </c>
      <c r="AG179" s="29">
        <f t="shared" si="66"/>
        <v>34.979999999999997</v>
      </c>
    </row>
    <row r="180" spans="1:33" s="20" customFormat="1">
      <c r="A180" s="265">
        <v>10910006</v>
      </c>
      <c r="B180" s="265" t="s">
        <v>320</v>
      </c>
      <c r="C180" s="265" t="s">
        <v>309</v>
      </c>
      <c r="D180" s="265">
        <v>100000014</v>
      </c>
      <c r="E180" s="265" t="s">
        <v>278</v>
      </c>
      <c r="F180" s="265" t="s">
        <v>301</v>
      </c>
      <c r="G180" s="266">
        <v>337.46</v>
      </c>
      <c r="H180" s="266">
        <v>482.22</v>
      </c>
      <c r="I180" s="268">
        <v>46058</v>
      </c>
      <c r="J180" s="268">
        <v>46086</v>
      </c>
      <c r="K180" s="268">
        <v>46086</v>
      </c>
      <c r="L180" s="224" t="str">
        <f t="shared" si="67"/>
        <v>10910006_USD_100000014_PERDAMAN CHEMICALS &amp; FERTILISERS (FINANCE)PTY LTD</v>
      </c>
      <c r="M180" s="221">
        <f t="shared" si="47"/>
        <v>482.22</v>
      </c>
      <c r="N180" s="24" t="str">
        <f>IF(OR(L180=$L$2,L180=$L$3),$M$10+1,IFERROR(VLOOKUP(A180,'Repricing Maturity Adj.'!$A$3:$C$170,3,0),(IF(K180&lt;$M$10,"Check",K180))))</f>
        <v>Non_sensitive</v>
      </c>
      <c r="O180" s="62" t="b">
        <f t="shared" si="48"/>
        <v>1</v>
      </c>
      <c r="P180" s="63" t="str">
        <f t="shared" si="49"/>
        <v>Asset</v>
      </c>
      <c r="Q180" s="25">
        <f t="shared" si="50"/>
        <v>0</v>
      </c>
      <c r="R180" s="25">
        <f t="shared" si="51"/>
        <v>0</v>
      </c>
      <c r="S180" s="25">
        <f t="shared" si="52"/>
        <v>0</v>
      </c>
      <c r="T180" s="25">
        <f t="shared" si="53"/>
        <v>0</v>
      </c>
      <c r="U180" s="25">
        <f t="shared" si="54"/>
        <v>0</v>
      </c>
      <c r="V180" s="25">
        <f t="shared" si="55"/>
        <v>0</v>
      </c>
      <c r="W180" s="25">
        <f t="shared" si="56"/>
        <v>0</v>
      </c>
      <c r="X180" s="64">
        <f t="shared" si="57"/>
        <v>0</v>
      </c>
      <c r="Y180" s="64">
        <f t="shared" si="58"/>
        <v>0</v>
      </c>
      <c r="Z180" s="64">
        <f t="shared" si="59"/>
        <v>0</v>
      </c>
      <c r="AA180" s="64">
        <f t="shared" si="60"/>
        <v>0</v>
      </c>
      <c r="AB180" s="64">
        <f t="shared" si="61"/>
        <v>0</v>
      </c>
      <c r="AC180" s="64">
        <f t="shared" si="62"/>
        <v>0</v>
      </c>
      <c r="AD180" s="64">
        <f t="shared" si="63"/>
        <v>0</v>
      </c>
      <c r="AE180" s="64">
        <f t="shared" si="64"/>
        <v>0</v>
      </c>
      <c r="AF180" s="64">
        <f t="shared" si="65"/>
        <v>0</v>
      </c>
      <c r="AG180" s="29">
        <f t="shared" si="66"/>
        <v>482.22</v>
      </c>
    </row>
    <row r="181" spans="1:33" s="20" customFormat="1">
      <c r="A181" s="265">
        <v>10910006</v>
      </c>
      <c r="B181" s="265" t="s">
        <v>320</v>
      </c>
      <c r="C181" s="265" t="s">
        <v>310</v>
      </c>
      <c r="D181" s="265">
        <v>100000014</v>
      </c>
      <c r="E181" s="265" t="s">
        <v>278</v>
      </c>
      <c r="F181" s="265" t="s">
        <v>301</v>
      </c>
      <c r="G181" s="266">
        <v>18.600000000000001</v>
      </c>
      <c r="H181" s="266">
        <v>26.58</v>
      </c>
      <c r="I181" s="268">
        <v>46058</v>
      </c>
      <c r="J181" s="268">
        <v>46086</v>
      </c>
      <c r="K181" s="268">
        <v>46086</v>
      </c>
      <c r="L181" s="224" t="str">
        <f t="shared" si="67"/>
        <v>10910006_USD_100000014_PERDAMAN CHEMICALS &amp; FERTILISERS (FINANCE)PTY LTD</v>
      </c>
      <c r="M181" s="221">
        <f t="shared" si="47"/>
        <v>26.58</v>
      </c>
      <c r="N181" s="24" t="str">
        <f>IF(OR(L181=$L$2,L181=$L$3),$M$10+1,IFERROR(VLOOKUP(A181,'Repricing Maturity Adj.'!$A$3:$C$170,3,0),(IF(K181&lt;$M$10,"Check",K181))))</f>
        <v>Non_sensitive</v>
      </c>
      <c r="O181" s="62" t="b">
        <f t="shared" si="48"/>
        <v>1</v>
      </c>
      <c r="P181" s="63" t="str">
        <f t="shared" si="49"/>
        <v>Asset</v>
      </c>
      <c r="Q181" s="25">
        <f t="shared" si="50"/>
        <v>0</v>
      </c>
      <c r="R181" s="25">
        <f t="shared" si="51"/>
        <v>0</v>
      </c>
      <c r="S181" s="25">
        <f t="shared" si="52"/>
        <v>0</v>
      </c>
      <c r="T181" s="25">
        <f t="shared" si="53"/>
        <v>0</v>
      </c>
      <c r="U181" s="25">
        <f t="shared" si="54"/>
        <v>0</v>
      </c>
      <c r="V181" s="25">
        <f t="shared" si="55"/>
        <v>0</v>
      </c>
      <c r="W181" s="25">
        <f t="shared" si="56"/>
        <v>0</v>
      </c>
      <c r="X181" s="64">
        <f t="shared" si="57"/>
        <v>0</v>
      </c>
      <c r="Y181" s="64">
        <f t="shared" si="58"/>
        <v>0</v>
      </c>
      <c r="Z181" s="64">
        <f t="shared" si="59"/>
        <v>0</v>
      </c>
      <c r="AA181" s="64">
        <f t="shared" si="60"/>
        <v>0</v>
      </c>
      <c r="AB181" s="64">
        <f t="shared" si="61"/>
        <v>0</v>
      </c>
      <c r="AC181" s="64">
        <f t="shared" si="62"/>
        <v>0</v>
      </c>
      <c r="AD181" s="64">
        <f t="shared" si="63"/>
        <v>0</v>
      </c>
      <c r="AE181" s="64">
        <f t="shared" si="64"/>
        <v>0</v>
      </c>
      <c r="AF181" s="64">
        <f t="shared" si="65"/>
        <v>0</v>
      </c>
      <c r="AG181" s="29">
        <f t="shared" si="66"/>
        <v>26.58</v>
      </c>
    </row>
    <row r="182" spans="1:33" s="20" customFormat="1">
      <c r="A182" s="265">
        <v>10910006</v>
      </c>
      <c r="B182" s="265" t="s">
        <v>320</v>
      </c>
      <c r="C182" s="265" t="s">
        <v>311</v>
      </c>
      <c r="D182" s="265">
        <v>100000014</v>
      </c>
      <c r="E182" s="265" t="s">
        <v>278</v>
      </c>
      <c r="F182" s="265" t="s">
        <v>301</v>
      </c>
      <c r="G182" s="266">
        <v>88.47</v>
      </c>
      <c r="H182" s="266">
        <v>126.42</v>
      </c>
      <c r="I182" s="268">
        <v>46058</v>
      </c>
      <c r="J182" s="268">
        <v>46086</v>
      </c>
      <c r="K182" s="268">
        <v>46086</v>
      </c>
      <c r="L182" s="224" t="str">
        <f t="shared" si="67"/>
        <v>10910006_USD_100000014_PERDAMAN CHEMICALS &amp; FERTILISERS (FINANCE)PTY LTD</v>
      </c>
      <c r="M182" s="221">
        <f t="shared" si="47"/>
        <v>126.42</v>
      </c>
      <c r="N182" s="24" t="str">
        <f>IF(OR(L182=$L$2,L182=$L$3),$M$10+1,IFERROR(VLOOKUP(A182,'Repricing Maturity Adj.'!$A$3:$C$170,3,0),(IF(K182&lt;$M$10,"Check",K182))))</f>
        <v>Non_sensitive</v>
      </c>
      <c r="O182" s="62" t="b">
        <f t="shared" si="48"/>
        <v>1</v>
      </c>
      <c r="P182" s="63" t="str">
        <f t="shared" si="49"/>
        <v>Asset</v>
      </c>
      <c r="Q182" s="25">
        <f t="shared" si="50"/>
        <v>0</v>
      </c>
      <c r="R182" s="25">
        <f t="shared" si="51"/>
        <v>0</v>
      </c>
      <c r="S182" s="25">
        <f t="shared" si="52"/>
        <v>0</v>
      </c>
      <c r="T182" s="25">
        <f t="shared" si="53"/>
        <v>0</v>
      </c>
      <c r="U182" s="25">
        <f t="shared" si="54"/>
        <v>0</v>
      </c>
      <c r="V182" s="25">
        <f t="shared" si="55"/>
        <v>0</v>
      </c>
      <c r="W182" s="25">
        <f t="shared" si="56"/>
        <v>0</v>
      </c>
      <c r="X182" s="64">
        <f t="shared" si="57"/>
        <v>0</v>
      </c>
      <c r="Y182" s="64">
        <f t="shared" si="58"/>
        <v>0</v>
      </c>
      <c r="Z182" s="64">
        <f t="shared" si="59"/>
        <v>0</v>
      </c>
      <c r="AA182" s="64">
        <f t="shared" si="60"/>
        <v>0</v>
      </c>
      <c r="AB182" s="64">
        <f t="shared" si="61"/>
        <v>0</v>
      </c>
      <c r="AC182" s="64">
        <f t="shared" si="62"/>
        <v>0</v>
      </c>
      <c r="AD182" s="64">
        <f t="shared" si="63"/>
        <v>0</v>
      </c>
      <c r="AE182" s="64">
        <f t="shared" si="64"/>
        <v>0</v>
      </c>
      <c r="AF182" s="64">
        <f t="shared" si="65"/>
        <v>0</v>
      </c>
      <c r="AG182" s="29">
        <f t="shared" si="66"/>
        <v>126.42</v>
      </c>
    </row>
    <row r="183" spans="1:33" s="20" customFormat="1">
      <c r="A183" s="265">
        <v>10910006</v>
      </c>
      <c r="B183" s="265" t="s">
        <v>320</v>
      </c>
      <c r="C183" s="265" t="s">
        <v>312</v>
      </c>
      <c r="D183" s="265">
        <v>100000014</v>
      </c>
      <c r="E183" s="265" t="s">
        <v>278</v>
      </c>
      <c r="F183" s="265" t="s">
        <v>301</v>
      </c>
      <c r="G183" s="266">
        <v>21</v>
      </c>
      <c r="H183" s="266">
        <v>30.01</v>
      </c>
      <c r="I183" s="268">
        <v>46058</v>
      </c>
      <c r="J183" s="268">
        <v>46086</v>
      </c>
      <c r="K183" s="268">
        <v>46086</v>
      </c>
      <c r="L183" s="224" t="str">
        <f t="shared" si="67"/>
        <v>10910006_USD_100000014_PERDAMAN CHEMICALS &amp; FERTILISERS (FINANCE)PTY LTD</v>
      </c>
      <c r="M183" s="221">
        <f t="shared" si="47"/>
        <v>30.01</v>
      </c>
      <c r="N183" s="24" t="str">
        <f>IF(OR(L183=$L$2,L183=$L$3),$M$10+1,IFERROR(VLOOKUP(A183,'Repricing Maturity Adj.'!$A$3:$C$170,3,0),(IF(K183&lt;$M$10,"Check",K183))))</f>
        <v>Non_sensitive</v>
      </c>
      <c r="O183" s="62" t="b">
        <f t="shared" si="48"/>
        <v>1</v>
      </c>
      <c r="P183" s="63" t="str">
        <f t="shared" si="49"/>
        <v>Asset</v>
      </c>
      <c r="Q183" s="25">
        <f t="shared" si="50"/>
        <v>0</v>
      </c>
      <c r="R183" s="25">
        <f t="shared" si="51"/>
        <v>0</v>
      </c>
      <c r="S183" s="25">
        <f t="shared" si="52"/>
        <v>0</v>
      </c>
      <c r="T183" s="25">
        <f t="shared" si="53"/>
        <v>0</v>
      </c>
      <c r="U183" s="25">
        <f t="shared" si="54"/>
        <v>0</v>
      </c>
      <c r="V183" s="25">
        <f t="shared" si="55"/>
        <v>0</v>
      </c>
      <c r="W183" s="25">
        <f t="shared" si="56"/>
        <v>0</v>
      </c>
      <c r="X183" s="64">
        <f t="shared" si="57"/>
        <v>0</v>
      </c>
      <c r="Y183" s="64">
        <f t="shared" si="58"/>
        <v>0</v>
      </c>
      <c r="Z183" s="64">
        <f t="shared" si="59"/>
        <v>0</v>
      </c>
      <c r="AA183" s="64">
        <f t="shared" si="60"/>
        <v>0</v>
      </c>
      <c r="AB183" s="64">
        <f t="shared" si="61"/>
        <v>0</v>
      </c>
      <c r="AC183" s="64">
        <f t="shared" si="62"/>
        <v>0</v>
      </c>
      <c r="AD183" s="64">
        <f t="shared" si="63"/>
        <v>0</v>
      </c>
      <c r="AE183" s="64">
        <f t="shared" si="64"/>
        <v>0</v>
      </c>
      <c r="AF183" s="64">
        <f t="shared" si="65"/>
        <v>0</v>
      </c>
      <c r="AG183" s="29">
        <f t="shared" si="66"/>
        <v>30.01</v>
      </c>
    </row>
    <row r="184" spans="1:33" s="20" customFormat="1">
      <c r="A184" s="265">
        <v>10910006</v>
      </c>
      <c r="B184" s="265" t="s">
        <v>320</v>
      </c>
      <c r="C184" s="265" t="s">
        <v>313</v>
      </c>
      <c r="D184" s="265">
        <v>100000014</v>
      </c>
      <c r="E184" s="265" t="s">
        <v>278</v>
      </c>
      <c r="F184" s="265" t="s">
        <v>301</v>
      </c>
      <c r="G184" s="266">
        <v>303.5</v>
      </c>
      <c r="H184" s="266">
        <v>433.7</v>
      </c>
      <c r="I184" s="268">
        <v>46058</v>
      </c>
      <c r="J184" s="268">
        <v>46086</v>
      </c>
      <c r="K184" s="268">
        <v>46086</v>
      </c>
      <c r="L184" s="224" t="str">
        <f t="shared" si="67"/>
        <v>10910006_USD_100000014_PERDAMAN CHEMICALS &amp; FERTILISERS (FINANCE)PTY LTD</v>
      </c>
      <c r="M184" s="221">
        <f t="shared" si="47"/>
        <v>433.7</v>
      </c>
      <c r="N184" s="24" t="str">
        <f>IF(OR(L184=$L$2,L184=$L$3),$M$10+1,IFERROR(VLOOKUP(A184,'Repricing Maturity Adj.'!$A$3:$C$170,3,0),(IF(K184&lt;$M$10,"Check",K184))))</f>
        <v>Non_sensitive</v>
      </c>
      <c r="O184" s="62" t="b">
        <f t="shared" si="48"/>
        <v>1</v>
      </c>
      <c r="P184" s="63" t="str">
        <f t="shared" si="49"/>
        <v>Asset</v>
      </c>
      <c r="Q184" s="25">
        <f t="shared" si="50"/>
        <v>0</v>
      </c>
      <c r="R184" s="25">
        <f t="shared" si="51"/>
        <v>0</v>
      </c>
      <c r="S184" s="25">
        <f t="shared" si="52"/>
        <v>0</v>
      </c>
      <c r="T184" s="25">
        <f t="shared" si="53"/>
        <v>0</v>
      </c>
      <c r="U184" s="25">
        <f t="shared" si="54"/>
        <v>0</v>
      </c>
      <c r="V184" s="25">
        <f t="shared" si="55"/>
        <v>0</v>
      </c>
      <c r="W184" s="25">
        <f t="shared" si="56"/>
        <v>0</v>
      </c>
      <c r="X184" s="64">
        <f t="shared" si="57"/>
        <v>0</v>
      </c>
      <c r="Y184" s="64">
        <f t="shared" si="58"/>
        <v>0</v>
      </c>
      <c r="Z184" s="64">
        <f t="shared" si="59"/>
        <v>0</v>
      </c>
      <c r="AA184" s="64">
        <f t="shared" si="60"/>
        <v>0</v>
      </c>
      <c r="AB184" s="64">
        <f t="shared" si="61"/>
        <v>0</v>
      </c>
      <c r="AC184" s="64">
        <f t="shared" si="62"/>
        <v>0</v>
      </c>
      <c r="AD184" s="64">
        <f t="shared" si="63"/>
        <v>0</v>
      </c>
      <c r="AE184" s="64">
        <f t="shared" si="64"/>
        <v>0</v>
      </c>
      <c r="AF184" s="64">
        <f t="shared" si="65"/>
        <v>0</v>
      </c>
      <c r="AG184" s="29">
        <f t="shared" si="66"/>
        <v>433.7</v>
      </c>
    </row>
    <row r="185" spans="1:33" s="20" customFormat="1">
      <c r="A185" s="265">
        <v>10910006</v>
      </c>
      <c r="B185" s="265" t="s">
        <v>320</v>
      </c>
      <c r="C185" s="265" t="s">
        <v>314</v>
      </c>
      <c r="D185" s="265">
        <v>100000014</v>
      </c>
      <c r="E185" s="265" t="s">
        <v>278</v>
      </c>
      <c r="F185" s="265" t="s">
        <v>301</v>
      </c>
      <c r="G185" s="266">
        <v>19.55</v>
      </c>
      <c r="H185" s="266">
        <v>27.94</v>
      </c>
      <c r="I185" s="268">
        <v>46058</v>
      </c>
      <c r="J185" s="268">
        <v>46086</v>
      </c>
      <c r="K185" s="268">
        <v>46086</v>
      </c>
      <c r="L185" s="224" t="str">
        <f t="shared" si="67"/>
        <v>10910006_USD_100000014_PERDAMAN CHEMICALS &amp; FERTILISERS (FINANCE)PTY LTD</v>
      </c>
      <c r="M185" s="221">
        <f t="shared" si="47"/>
        <v>27.94</v>
      </c>
      <c r="N185" s="24" t="str">
        <f>IF(OR(L185=$L$2,L185=$L$3),$M$10+1,IFERROR(VLOOKUP(A185,'Repricing Maturity Adj.'!$A$3:$C$170,3,0),(IF(K185&lt;$M$10,"Check",K185))))</f>
        <v>Non_sensitive</v>
      </c>
      <c r="O185" s="62" t="b">
        <f t="shared" si="48"/>
        <v>1</v>
      </c>
      <c r="P185" s="63" t="str">
        <f t="shared" si="49"/>
        <v>Asset</v>
      </c>
      <c r="Q185" s="25">
        <f t="shared" si="50"/>
        <v>0</v>
      </c>
      <c r="R185" s="25">
        <f t="shared" si="51"/>
        <v>0</v>
      </c>
      <c r="S185" s="25">
        <f t="shared" si="52"/>
        <v>0</v>
      </c>
      <c r="T185" s="25">
        <f t="shared" si="53"/>
        <v>0</v>
      </c>
      <c r="U185" s="25">
        <f t="shared" si="54"/>
        <v>0</v>
      </c>
      <c r="V185" s="25">
        <f t="shared" si="55"/>
        <v>0</v>
      </c>
      <c r="W185" s="25">
        <f t="shared" si="56"/>
        <v>0</v>
      </c>
      <c r="X185" s="64">
        <f t="shared" si="57"/>
        <v>0</v>
      </c>
      <c r="Y185" s="64">
        <f t="shared" si="58"/>
        <v>0</v>
      </c>
      <c r="Z185" s="64">
        <f t="shared" si="59"/>
        <v>0</v>
      </c>
      <c r="AA185" s="64">
        <f t="shared" si="60"/>
        <v>0</v>
      </c>
      <c r="AB185" s="64">
        <f t="shared" si="61"/>
        <v>0</v>
      </c>
      <c r="AC185" s="64">
        <f t="shared" si="62"/>
        <v>0</v>
      </c>
      <c r="AD185" s="64">
        <f t="shared" si="63"/>
        <v>0</v>
      </c>
      <c r="AE185" s="64">
        <f t="shared" si="64"/>
        <v>0</v>
      </c>
      <c r="AF185" s="64">
        <f t="shared" si="65"/>
        <v>0</v>
      </c>
      <c r="AG185" s="29">
        <f t="shared" si="66"/>
        <v>27.94</v>
      </c>
    </row>
    <row r="186" spans="1:33" s="20" customFormat="1">
      <c r="A186" s="265">
        <v>10910006</v>
      </c>
      <c r="B186" s="265" t="s">
        <v>320</v>
      </c>
      <c r="C186" s="265" t="s">
        <v>505</v>
      </c>
      <c r="D186" s="265">
        <v>100000014</v>
      </c>
      <c r="E186" s="265" t="s">
        <v>278</v>
      </c>
      <c r="F186" s="265" t="s">
        <v>301</v>
      </c>
      <c r="G186" s="266">
        <v>22.76</v>
      </c>
      <c r="H186" s="266">
        <v>32.520000000000003</v>
      </c>
      <c r="I186" s="268">
        <v>46058</v>
      </c>
      <c r="J186" s="268">
        <v>46086</v>
      </c>
      <c r="K186" s="268">
        <v>46086</v>
      </c>
      <c r="L186" s="224" t="str">
        <f t="shared" si="67"/>
        <v>10910006_USD_100000014_PERDAMAN CHEMICALS &amp; FERTILISERS (FINANCE)PTY LTD</v>
      </c>
      <c r="M186" s="221">
        <f t="shared" si="47"/>
        <v>32.520000000000003</v>
      </c>
      <c r="N186" s="24" t="str">
        <f>IF(OR(L186=$L$2,L186=$L$3),$M$10+1,IFERROR(VLOOKUP(A186,'Repricing Maturity Adj.'!$A$3:$C$170,3,0),(IF(K186&lt;$M$10,"Check",K186))))</f>
        <v>Non_sensitive</v>
      </c>
      <c r="O186" s="62" t="b">
        <f t="shared" si="48"/>
        <v>1</v>
      </c>
      <c r="P186" s="63" t="str">
        <f t="shared" si="49"/>
        <v>Asset</v>
      </c>
      <c r="Q186" s="25">
        <f t="shared" si="50"/>
        <v>0</v>
      </c>
      <c r="R186" s="25">
        <f t="shared" si="51"/>
        <v>0</v>
      </c>
      <c r="S186" s="25">
        <f t="shared" si="52"/>
        <v>0</v>
      </c>
      <c r="T186" s="25">
        <f t="shared" si="53"/>
        <v>0</v>
      </c>
      <c r="U186" s="25">
        <f t="shared" si="54"/>
        <v>0</v>
      </c>
      <c r="V186" s="25">
        <f t="shared" si="55"/>
        <v>0</v>
      </c>
      <c r="W186" s="25">
        <f t="shared" si="56"/>
        <v>0</v>
      </c>
      <c r="X186" s="64">
        <f t="shared" si="57"/>
        <v>0</v>
      </c>
      <c r="Y186" s="64">
        <f t="shared" si="58"/>
        <v>0</v>
      </c>
      <c r="Z186" s="64">
        <f t="shared" si="59"/>
        <v>0</v>
      </c>
      <c r="AA186" s="64">
        <f t="shared" si="60"/>
        <v>0</v>
      </c>
      <c r="AB186" s="64">
        <f t="shared" si="61"/>
        <v>0</v>
      </c>
      <c r="AC186" s="64">
        <f t="shared" si="62"/>
        <v>0</v>
      </c>
      <c r="AD186" s="64">
        <f t="shared" si="63"/>
        <v>0</v>
      </c>
      <c r="AE186" s="64">
        <f t="shared" si="64"/>
        <v>0</v>
      </c>
      <c r="AF186" s="64">
        <f t="shared" si="65"/>
        <v>0</v>
      </c>
      <c r="AG186" s="29">
        <f t="shared" si="66"/>
        <v>32.520000000000003</v>
      </c>
    </row>
    <row r="187" spans="1:33" s="20" customFormat="1">
      <c r="A187" s="265">
        <v>10910006</v>
      </c>
      <c r="B187" s="265" t="s">
        <v>320</v>
      </c>
      <c r="C187" s="265" t="s">
        <v>506</v>
      </c>
      <c r="D187" s="265">
        <v>100000014</v>
      </c>
      <c r="E187" s="265" t="s">
        <v>278</v>
      </c>
      <c r="F187" s="265" t="s">
        <v>301</v>
      </c>
      <c r="G187" s="266">
        <v>209.07</v>
      </c>
      <c r="H187" s="266">
        <v>298.76</v>
      </c>
      <c r="I187" s="268">
        <v>46058</v>
      </c>
      <c r="J187" s="268">
        <v>46086</v>
      </c>
      <c r="K187" s="268">
        <v>46086</v>
      </c>
      <c r="L187" s="224" t="str">
        <f t="shared" si="67"/>
        <v>10910006_USD_100000014_PERDAMAN CHEMICALS &amp; FERTILISERS (FINANCE)PTY LTD</v>
      </c>
      <c r="M187" s="221">
        <f t="shared" si="47"/>
        <v>298.76</v>
      </c>
      <c r="N187" s="24" t="str">
        <f>IF(OR(L187=$L$2,L187=$L$3),$M$10+1,IFERROR(VLOOKUP(A187,'Repricing Maturity Adj.'!$A$3:$C$170,3,0),(IF(K187&lt;$M$10,"Check",K187))))</f>
        <v>Non_sensitive</v>
      </c>
      <c r="O187" s="62" t="b">
        <f t="shared" si="48"/>
        <v>1</v>
      </c>
      <c r="P187" s="63" t="str">
        <f t="shared" si="49"/>
        <v>Asset</v>
      </c>
      <c r="Q187" s="25">
        <f t="shared" si="50"/>
        <v>0</v>
      </c>
      <c r="R187" s="25">
        <f t="shared" si="51"/>
        <v>0</v>
      </c>
      <c r="S187" s="25">
        <f t="shared" si="52"/>
        <v>0</v>
      </c>
      <c r="T187" s="25">
        <f t="shared" si="53"/>
        <v>0</v>
      </c>
      <c r="U187" s="25">
        <f t="shared" si="54"/>
        <v>0</v>
      </c>
      <c r="V187" s="25">
        <f t="shared" si="55"/>
        <v>0</v>
      </c>
      <c r="W187" s="25">
        <f t="shared" si="56"/>
        <v>0</v>
      </c>
      <c r="X187" s="64">
        <f t="shared" si="57"/>
        <v>0</v>
      </c>
      <c r="Y187" s="64">
        <f t="shared" si="58"/>
        <v>0</v>
      </c>
      <c r="Z187" s="64">
        <f t="shared" si="59"/>
        <v>0</v>
      </c>
      <c r="AA187" s="64">
        <f t="shared" si="60"/>
        <v>0</v>
      </c>
      <c r="AB187" s="64">
        <f t="shared" si="61"/>
        <v>0</v>
      </c>
      <c r="AC187" s="64">
        <f t="shared" si="62"/>
        <v>0</v>
      </c>
      <c r="AD187" s="64">
        <f t="shared" si="63"/>
        <v>0</v>
      </c>
      <c r="AE187" s="64">
        <f t="shared" si="64"/>
        <v>0</v>
      </c>
      <c r="AF187" s="64">
        <f t="shared" si="65"/>
        <v>0</v>
      </c>
      <c r="AG187" s="29">
        <f t="shared" si="66"/>
        <v>298.76</v>
      </c>
    </row>
    <row r="188" spans="1:33" s="20" customFormat="1">
      <c r="A188" s="265">
        <v>10910006</v>
      </c>
      <c r="B188" s="265" t="s">
        <v>320</v>
      </c>
      <c r="C188" s="265" t="s">
        <v>504</v>
      </c>
      <c r="D188" s="265">
        <v>100000020</v>
      </c>
      <c r="E188" s="265" t="s">
        <v>503</v>
      </c>
      <c r="F188" s="265" t="s">
        <v>0</v>
      </c>
      <c r="G188" s="266">
        <v>113160.77</v>
      </c>
      <c r="H188" s="266">
        <v>113160.77</v>
      </c>
      <c r="I188" s="268">
        <v>45971</v>
      </c>
      <c r="J188" s="268">
        <v>46153</v>
      </c>
      <c r="K188" s="268">
        <v>46153</v>
      </c>
      <c r="L188" s="224" t="str">
        <f t="shared" si="67"/>
        <v>10910006_AUD_100000020_APA INFRASTRUCTURE LIMITED</v>
      </c>
      <c r="M188" s="221">
        <f t="shared" si="47"/>
        <v>113160.77</v>
      </c>
      <c r="N188" s="24" t="str">
        <f>IF(OR(L188=$L$2,L188=$L$3),$M$10+1,IFERROR(VLOOKUP(A188,'Repricing Maturity Adj.'!$A$3:$C$170,3,0),(IF(K188&lt;$M$10,"Check",K188))))</f>
        <v>Non_sensitive</v>
      </c>
      <c r="O188" s="62" t="b">
        <f t="shared" si="48"/>
        <v>1</v>
      </c>
      <c r="P188" s="63" t="str">
        <f t="shared" si="49"/>
        <v>Asset</v>
      </c>
      <c r="Q188" s="25">
        <f t="shared" si="50"/>
        <v>0</v>
      </c>
      <c r="R188" s="25">
        <f t="shared" si="51"/>
        <v>0</v>
      </c>
      <c r="S188" s="25">
        <f t="shared" si="52"/>
        <v>0</v>
      </c>
      <c r="T188" s="25">
        <f t="shared" si="53"/>
        <v>0</v>
      </c>
      <c r="U188" s="25">
        <f t="shared" si="54"/>
        <v>0</v>
      </c>
      <c r="V188" s="25">
        <f t="shared" si="55"/>
        <v>0</v>
      </c>
      <c r="W188" s="25">
        <f t="shared" si="56"/>
        <v>0</v>
      </c>
      <c r="X188" s="64">
        <f t="shared" si="57"/>
        <v>0</v>
      </c>
      <c r="Y188" s="64">
        <f t="shared" si="58"/>
        <v>0</v>
      </c>
      <c r="Z188" s="64">
        <f t="shared" si="59"/>
        <v>0</v>
      </c>
      <c r="AA188" s="64">
        <f t="shared" si="60"/>
        <v>0</v>
      </c>
      <c r="AB188" s="64">
        <f t="shared" si="61"/>
        <v>0</v>
      </c>
      <c r="AC188" s="64">
        <f t="shared" si="62"/>
        <v>0</v>
      </c>
      <c r="AD188" s="64">
        <f t="shared" si="63"/>
        <v>0</v>
      </c>
      <c r="AE188" s="64">
        <f t="shared" si="64"/>
        <v>0</v>
      </c>
      <c r="AF188" s="64">
        <f t="shared" si="65"/>
        <v>0</v>
      </c>
      <c r="AG188" s="29">
        <f t="shared" si="66"/>
        <v>113160.77</v>
      </c>
    </row>
    <row r="189" spans="1:33" s="20" customFormat="1">
      <c r="A189" s="265">
        <v>10910006</v>
      </c>
      <c r="B189" s="265" t="s">
        <v>320</v>
      </c>
      <c r="C189" s="265" t="s">
        <v>507</v>
      </c>
      <c r="D189" s="265">
        <v>100000014</v>
      </c>
      <c r="E189" s="265" t="s">
        <v>278</v>
      </c>
      <c r="F189" s="265" t="s">
        <v>301</v>
      </c>
      <c r="G189" s="266">
        <v>25.04</v>
      </c>
      <c r="H189" s="266">
        <v>35.78</v>
      </c>
      <c r="I189" s="268">
        <v>46058</v>
      </c>
      <c r="J189" s="268">
        <v>46086</v>
      </c>
      <c r="K189" s="268">
        <v>46086</v>
      </c>
      <c r="L189" s="224" t="str">
        <f t="shared" si="67"/>
        <v>10910006_USD_100000014_PERDAMAN CHEMICALS &amp; FERTILISERS (FINANCE)PTY LTD</v>
      </c>
      <c r="M189" s="221">
        <f t="shared" si="47"/>
        <v>35.78</v>
      </c>
      <c r="N189" s="24" t="str">
        <f>IF(OR(L189=$L$2,L189=$L$3),$M$10+1,IFERROR(VLOOKUP(A189,'Repricing Maturity Adj.'!$A$3:$C$170,3,0),(IF(K189&lt;$M$10,"Check",K189))))</f>
        <v>Non_sensitive</v>
      </c>
      <c r="O189" s="62" t="b">
        <f t="shared" si="48"/>
        <v>1</v>
      </c>
      <c r="P189" s="63" t="str">
        <f t="shared" si="49"/>
        <v>Asset</v>
      </c>
      <c r="Q189" s="25">
        <f t="shared" si="50"/>
        <v>0</v>
      </c>
      <c r="R189" s="25">
        <f t="shared" si="51"/>
        <v>0</v>
      </c>
      <c r="S189" s="25">
        <f t="shared" si="52"/>
        <v>0</v>
      </c>
      <c r="T189" s="25">
        <f t="shared" si="53"/>
        <v>0</v>
      </c>
      <c r="U189" s="25">
        <f t="shared" si="54"/>
        <v>0</v>
      </c>
      <c r="V189" s="25">
        <f t="shared" si="55"/>
        <v>0</v>
      </c>
      <c r="W189" s="25">
        <f t="shared" si="56"/>
        <v>0</v>
      </c>
      <c r="X189" s="64">
        <f t="shared" si="57"/>
        <v>0</v>
      </c>
      <c r="Y189" s="64">
        <f t="shared" si="58"/>
        <v>0</v>
      </c>
      <c r="Z189" s="64">
        <f t="shared" si="59"/>
        <v>0</v>
      </c>
      <c r="AA189" s="64">
        <f t="shared" si="60"/>
        <v>0</v>
      </c>
      <c r="AB189" s="64">
        <f t="shared" si="61"/>
        <v>0</v>
      </c>
      <c r="AC189" s="64">
        <f t="shared" si="62"/>
        <v>0</v>
      </c>
      <c r="AD189" s="64">
        <f t="shared" si="63"/>
        <v>0</v>
      </c>
      <c r="AE189" s="64">
        <f t="shared" si="64"/>
        <v>0</v>
      </c>
      <c r="AF189" s="64">
        <f t="shared" si="65"/>
        <v>0</v>
      </c>
      <c r="AG189" s="29">
        <f t="shared" si="66"/>
        <v>35.78</v>
      </c>
    </row>
    <row r="190" spans="1:33" s="20" customFormat="1">
      <c r="A190" s="265">
        <v>10910006</v>
      </c>
      <c r="B190" s="265" t="s">
        <v>320</v>
      </c>
      <c r="C190" s="265" t="s">
        <v>508</v>
      </c>
      <c r="D190" s="265">
        <v>100000014</v>
      </c>
      <c r="E190" s="265" t="s">
        <v>278</v>
      </c>
      <c r="F190" s="265" t="s">
        <v>301</v>
      </c>
      <c r="G190" s="266">
        <v>44.07</v>
      </c>
      <c r="H190" s="266">
        <v>62.98</v>
      </c>
      <c r="I190" s="268">
        <v>46058</v>
      </c>
      <c r="J190" s="268">
        <v>46086</v>
      </c>
      <c r="K190" s="268">
        <v>46086</v>
      </c>
      <c r="L190" s="224" t="str">
        <f t="shared" si="67"/>
        <v>10910006_USD_100000014_PERDAMAN CHEMICALS &amp; FERTILISERS (FINANCE)PTY LTD</v>
      </c>
      <c r="M190" s="221">
        <f t="shared" si="47"/>
        <v>62.98</v>
      </c>
      <c r="N190" s="24" t="str">
        <f>IF(OR(L190=$L$2,L190=$L$3),$M$10+1,IFERROR(VLOOKUP(A190,'Repricing Maturity Adj.'!$A$3:$C$170,3,0),(IF(K190&lt;$M$10,"Check",K190))))</f>
        <v>Non_sensitive</v>
      </c>
      <c r="O190" s="62" t="b">
        <f t="shared" si="48"/>
        <v>1</v>
      </c>
      <c r="P190" s="63" t="str">
        <f t="shared" si="49"/>
        <v>Asset</v>
      </c>
      <c r="Q190" s="25">
        <f t="shared" si="50"/>
        <v>0</v>
      </c>
      <c r="R190" s="25">
        <f t="shared" si="51"/>
        <v>0</v>
      </c>
      <c r="S190" s="25">
        <f t="shared" si="52"/>
        <v>0</v>
      </c>
      <c r="T190" s="25">
        <f t="shared" si="53"/>
        <v>0</v>
      </c>
      <c r="U190" s="25">
        <f t="shared" si="54"/>
        <v>0</v>
      </c>
      <c r="V190" s="25">
        <f t="shared" si="55"/>
        <v>0</v>
      </c>
      <c r="W190" s="25">
        <f t="shared" si="56"/>
        <v>0</v>
      </c>
      <c r="X190" s="64">
        <f t="shared" si="57"/>
        <v>0</v>
      </c>
      <c r="Y190" s="64">
        <f t="shared" si="58"/>
        <v>0</v>
      </c>
      <c r="Z190" s="64">
        <f t="shared" si="59"/>
        <v>0</v>
      </c>
      <c r="AA190" s="64">
        <f t="shared" si="60"/>
        <v>0</v>
      </c>
      <c r="AB190" s="64">
        <f t="shared" si="61"/>
        <v>0</v>
      </c>
      <c r="AC190" s="64">
        <f t="shared" si="62"/>
        <v>0</v>
      </c>
      <c r="AD190" s="64">
        <f t="shared" si="63"/>
        <v>0</v>
      </c>
      <c r="AE190" s="64">
        <f t="shared" si="64"/>
        <v>0</v>
      </c>
      <c r="AF190" s="64">
        <f t="shared" si="65"/>
        <v>0</v>
      </c>
      <c r="AG190" s="29">
        <f t="shared" si="66"/>
        <v>62.98</v>
      </c>
    </row>
    <row r="191" spans="1:33" s="20" customFormat="1">
      <c r="A191" s="265">
        <v>10910006</v>
      </c>
      <c r="B191" s="265" t="s">
        <v>320</v>
      </c>
      <c r="C191" s="265" t="s">
        <v>509</v>
      </c>
      <c r="D191" s="265">
        <v>100000014</v>
      </c>
      <c r="E191" s="265" t="s">
        <v>278</v>
      </c>
      <c r="F191" s="265" t="s">
        <v>301</v>
      </c>
      <c r="G191" s="266">
        <v>24.81</v>
      </c>
      <c r="H191" s="266">
        <v>35.450000000000003</v>
      </c>
      <c r="I191" s="268">
        <v>46058</v>
      </c>
      <c r="J191" s="268">
        <v>46086</v>
      </c>
      <c r="K191" s="268">
        <v>46086</v>
      </c>
      <c r="L191" s="224" t="str">
        <f t="shared" si="67"/>
        <v>10910006_USD_100000014_PERDAMAN CHEMICALS &amp; FERTILISERS (FINANCE)PTY LTD</v>
      </c>
      <c r="M191" s="221">
        <f t="shared" ref="M191:M254" si="68">IF(COUNTIF($A$2:$A$8,A191)&gt;0,-H191,H191)</f>
        <v>35.450000000000003</v>
      </c>
      <c r="N191" s="24" t="str">
        <f>IF(OR(L191=$L$2,L191=$L$3),$M$10+1,IFERROR(VLOOKUP(A191,'Repricing Maturity Adj.'!$A$3:$C$170,3,0),(IF(K191&lt;$M$10,"Check",K191))))</f>
        <v>Non_sensitive</v>
      </c>
      <c r="O191" s="62" t="b">
        <f t="shared" ref="O191:O254" si="69">M191=SUM(Q191:AG191)</f>
        <v>1</v>
      </c>
      <c r="P191" s="63" t="str">
        <f t="shared" ref="P191:P254" si="70">IF(A191="","N/A",IF(COUNTIF($A$2:$A$7,A191)&gt;0,"Liability",IF(COUNTIF($A$8,A191)&gt;0,"Asset",IF(A191&lt;20000000,"Asset",IF(AND(A191&gt;20000000,A191&lt;28800000),"Liability",IF(A191&gt;28800000,"Equity",""))))))</f>
        <v>Asset</v>
      </c>
      <c r="Q191" s="25">
        <f t="shared" ref="Q191:Q254" si="71">IF(AND(N191&gt;$Q$9,N191&lt;$Q$10),M191,IF(N191=$Q$10,M191,0))</f>
        <v>0</v>
      </c>
      <c r="R191" s="25">
        <f t="shared" ref="R191:R254" si="72">IF(AND(N191&gt;$R$9,N191&lt;$R$10),M191,IF(N191=$R$10,M191,0))</f>
        <v>0</v>
      </c>
      <c r="S191" s="25">
        <f t="shared" ref="S191:S254" si="73">IF(AND(N191&gt;$S$9,N191&lt;$S$10),M191,IF(N191=$S$10,M191,0))</f>
        <v>0</v>
      </c>
      <c r="T191" s="25">
        <f t="shared" ref="T191:T254" si="74">IF(AND(N191&gt;$T$9,N191&lt;$T$10),M191,IF(N191=$T$10,M191,0))</f>
        <v>0</v>
      </c>
      <c r="U191" s="25">
        <f t="shared" ref="U191:U254" si="75">IF(AND(N191&gt;$U$9,N191&lt;$U$10),M191,IF(N191=$U$10,M191,0))</f>
        <v>0</v>
      </c>
      <c r="V191" s="25">
        <f t="shared" ref="V191:V254" si="76">IF(AND(N191&gt;$V$9,N191&lt;$V$10),M191,IF(N191=$V$10,M191,0))</f>
        <v>0</v>
      </c>
      <c r="W191" s="25">
        <f t="shared" ref="W191:W254" si="77">IF(AND(N191&gt;$W$9,N191&lt;$W$10),M191,IF(N191=$W$10,M191,0))</f>
        <v>0</v>
      </c>
      <c r="X191" s="64">
        <f t="shared" ref="X191:X254" si="78">IF(AND(N191&gt;$X$9,N191&lt;$X$10),M191,IF(N191=$X$10,M191,0))</f>
        <v>0</v>
      </c>
      <c r="Y191" s="64">
        <f t="shared" ref="Y191:Y254" si="79">IF(AND(N191&gt;$Y$9,N191&lt;$Y$10),M191,IF(N191=$Y$10,M191,0))</f>
        <v>0</v>
      </c>
      <c r="Z191" s="64">
        <f t="shared" ref="Z191:Z254" si="80">IF(AND(N191&gt;$Z$9,N191&lt;$Z$10),M191,IF(N191=$Z$10,M191,0))</f>
        <v>0</v>
      </c>
      <c r="AA191" s="64">
        <f t="shared" ref="AA191:AA254" si="81">IF(AND(N191&gt;$AA$9,N191&lt;$AA$10),M191,IF(N191=$AA$10,M191,0))</f>
        <v>0</v>
      </c>
      <c r="AB191" s="64">
        <f t="shared" ref="AB191:AB254" si="82">IF(AND(N191&gt;$AB$9,N191&lt;$AB$10),M191,IF(N191=$AB$10,M191,0))</f>
        <v>0</v>
      </c>
      <c r="AC191" s="64">
        <f t="shared" ref="AC191:AC254" si="83">IF(AND(N191&gt;$AC$9,N191&lt;$AC$10),M191,IF(N191=$AC$10,M191,0))</f>
        <v>0</v>
      </c>
      <c r="AD191" s="64">
        <f t="shared" ref="AD191:AD254" si="84">IF(AND(N191&gt;$AD$9,N191&lt;$AD$10),M191,IF(N191=$AD$10,M191,0))</f>
        <v>0</v>
      </c>
      <c r="AE191" s="64">
        <f t="shared" ref="AE191:AE254" si="85">IF(AND(N191&gt;$AE$9,N191&lt;$AE$10),M191,IF(N191=$AE$10,M191,0))</f>
        <v>0</v>
      </c>
      <c r="AF191" s="64">
        <f t="shared" ref="AF191:AF254" si="86">IF(AND(N191&gt;$AF$9,N191&lt;$AF$10),M191,IF(N191=$AF$10,M191,0))</f>
        <v>0</v>
      </c>
      <c r="AG191" s="29">
        <f t="shared" ref="AG191:AG254" si="87">IF(N191=$AG$9,M191,0)</f>
        <v>35.450000000000003</v>
      </c>
    </row>
    <row r="192" spans="1:33" s="20" customFormat="1">
      <c r="A192" s="265">
        <v>10910006</v>
      </c>
      <c r="B192" s="265" t="s">
        <v>320</v>
      </c>
      <c r="C192" s="265" t="s">
        <v>510</v>
      </c>
      <c r="D192" s="265">
        <v>100000014</v>
      </c>
      <c r="E192" s="265" t="s">
        <v>278</v>
      </c>
      <c r="F192" s="265" t="s">
        <v>301</v>
      </c>
      <c r="G192" s="266">
        <v>182.68</v>
      </c>
      <c r="H192" s="266">
        <v>261.05</v>
      </c>
      <c r="I192" s="268">
        <v>46058</v>
      </c>
      <c r="J192" s="268">
        <v>46086</v>
      </c>
      <c r="K192" s="268">
        <v>46086</v>
      </c>
      <c r="L192" s="224" t="str">
        <f t="shared" ref="L192:L255" si="88">A192&amp;"_"&amp;F192&amp;"_"&amp;D192&amp;"_"&amp;E192</f>
        <v>10910006_USD_100000014_PERDAMAN CHEMICALS &amp; FERTILISERS (FINANCE)PTY LTD</v>
      </c>
      <c r="M192" s="221">
        <f t="shared" si="68"/>
        <v>261.05</v>
      </c>
      <c r="N192" s="24" t="str">
        <f>IF(OR(L192=$L$2,L192=$L$3),$M$10+1,IFERROR(VLOOKUP(A192,'Repricing Maturity Adj.'!$A$3:$C$170,3,0),(IF(K192&lt;$M$10,"Check",K192))))</f>
        <v>Non_sensitive</v>
      </c>
      <c r="O192" s="62" t="b">
        <f t="shared" si="69"/>
        <v>1</v>
      </c>
      <c r="P192" s="63" t="str">
        <f t="shared" si="70"/>
        <v>Asset</v>
      </c>
      <c r="Q192" s="25">
        <f t="shared" si="71"/>
        <v>0</v>
      </c>
      <c r="R192" s="25">
        <f t="shared" si="72"/>
        <v>0</v>
      </c>
      <c r="S192" s="25">
        <f t="shared" si="73"/>
        <v>0</v>
      </c>
      <c r="T192" s="25">
        <f t="shared" si="74"/>
        <v>0</v>
      </c>
      <c r="U192" s="25">
        <f t="shared" si="75"/>
        <v>0</v>
      </c>
      <c r="V192" s="25">
        <f t="shared" si="76"/>
        <v>0</v>
      </c>
      <c r="W192" s="25">
        <f t="shared" si="77"/>
        <v>0</v>
      </c>
      <c r="X192" s="64">
        <f t="shared" si="78"/>
        <v>0</v>
      </c>
      <c r="Y192" s="64">
        <f t="shared" si="79"/>
        <v>0</v>
      </c>
      <c r="Z192" s="64">
        <f t="shared" si="80"/>
        <v>0</v>
      </c>
      <c r="AA192" s="64">
        <f t="shared" si="81"/>
        <v>0</v>
      </c>
      <c r="AB192" s="64">
        <f t="shared" si="82"/>
        <v>0</v>
      </c>
      <c r="AC192" s="64">
        <f t="shared" si="83"/>
        <v>0</v>
      </c>
      <c r="AD192" s="64">
        <f t="shared" si="84"/>
        <v>0</v>
      </c>
      <c r="AE192" s="64">
        <f t="shared" si="85"/>
        <v>0</v>
      </c>
      <c r="AF192" s="64">
        <f t="shared" si="86"/>
        <v>0</v>
      </c>
      <c r="AG192" s="29">
        <f t="shared" si="87"/>
        <v>261.05</v>
      </c>
    </row>
    <row r="193" spans="1:33" s="20" customFormat="1">
      <c r="A193" s="265">
        <v>10910006</v>
      </c>
      <c r="B193" s="265" t="s">
        <v>320</v>
      </c>
      <c r="C193" s="265" t="s">
        <v>534</v>
      </c>
      <c r="D193" s="265">
        <v>100000014</v>
      </c>
      <c r="E193" s="265" t="s">
        <v>278</v>
      </c>
      <c r="F193" s="265" t="s">
        <v>301</v>
      </c>
      <c r="G193" s="266">
        <v>25.16</v>
      </c>
      <c r="H193" s="266">
        <v>35.950000000000003</v>
      </c>
      <c r="I193" s="268">
        <v>46058</v>
      </c>
      <c r="J193" s="268">
        <v>46086</v>
      </c>
      <c r="K193" s="268">
        <v>46086</v>
      </c>
      <c r="L193" s="224" t="str">
        <f t="shared" si="88"/>
        <v>10910006_USD_100000014_PERDAMAN CHEMICALS &amp; FERTILISERS (FINANCE)PTY LTD</v>
      </c>
      <c r="M193" s="221">
        <f t="shared" si="68"/>
        <v>35.950000000000003</v>
      </c>
      <c r="N193" s="24" t="str">
        <f>IF(OR(L193=$L$2,L193=$L$3),$M$10+1,IFERROR(VLOOKUP(A193,'Repricing Maturity Adj.'!$A$3:$C$170,3,0),(IF(K193&lt;$M$10,"Check",K193))))</f>
        <v>Non_sensitive</v>
      </c>
      <c r="O193" s="62" t="b">
        <f t="shared" si="69"/>
        <v>1</v>
      </c>
      <c r="P193" s="63" t="str">
        <f t="shared" si="70"/>
        <v>Asset</v>
      </c>
      <c r="Q193" s="25">
        <f t="shared" si="71"/>
        <v>0</v>
      </c>
      <c r="R193" s="25">
        <f t="shared" si="72"/>
        <v>0</v>
      </c>
      <c r="S193" s="25">
        <f t="shared" si="73"/>
        <v>0</v>
      </c>
      <c r="T193" s="25">
        <f t="shared" si="74"/>
        <v>0</v>
      </c>
      <c r="U193" s="25">
        <f t="shared" si="75"/>
        <v>0</v>
      </c>
      <c r="V193" s="25">
        <f t="shared" si="76"/>
        <v>0</v>
      </c>
      <c r="W193" s="25">
        <f t="shared" si="77"/>
        <v>0</v>
      </c>
      <c r="X193" s="64">
        <f t="shared" si="78"/>
        <v>0</v>
      </c>
      <c r="Y193" s="64">
        <f t="shared" si="79"/>
        <v>0</v>
      </c>
      <c r="Z193" s="64">
        <f t="shared" si="80"/>
        <v>0</v>
      </c>
      <c r="AA193" s="64">
        <f t="shared" si="81"/>
        <v>0</v>
      </c>
      <c r="AB193" s="64">
        <f t="shared" si="82"/>
        <v>0</v>
      </c>
      <c r="AC193" s="64">
        <f t="shared" si="83"/>
        <v>0</v>
      </c>
      <c r="AD193" s="64">
        <f t="shared" si="84"/>
        <v>0</v>
      </c>
      <c r="AE193" s="64">
        <f t="shared" si="85"/>
        <v>0</v>
      </c>
      <c r="AF193" s="64">
        <f t="shared" si="86"/>
        <v>0</v>
      </c>
      <c r="AG193" s="29">
        <f t="shared" si="87"/>
        <v>35.950000000000003</v>
      </c>
    </row>
    <row r="194" spans="1:33" s="20" customFormat="1">
      <c r="A194" s="265">
        <v>10910006</v>
      </c>
      <c r="B194" s="265" t="s">
        <v>320</v>
      </c>
      <c r="C194" s="265" t="s">
        <v>535</v>
      </c>
      <c r="D194" s="265">
        <v>100000014</v>
      </c>
      <c r="E194" s="265" t="s">
        <v>278</v>
      </c>
      <c r="F194" s="265" t="s">
        <v>301</v>
      </c>
      <c r="G194" s="266">
        <v>314.62</v>
      </c>
      <c r="H194" s="266">
        <v>449.59</v>
      </c>
      <c r="I194" s="268">
        <v>46058</v>
      </c>
      <c r="J194" s="268">
        <v>46086</v>
      </c>
      <c r="K194" s="268">
        <v>46086</v>
      </c>
      <c r="L194" s="224" t="str">
        <f t="shared" si="88"/>
        <v>10910006_USD_100000014_PERDAMAN CHEMICALS &amp; FERTILISERS (FINANCE)PTY LTD</v>
      </c>
      <c r="M194" s="221">
        <f t="shared" si="68"/>
        <v>449.59</v>
      </c>
      <c r="N194" s="24" t="str">
        <f>IF(OR(L194=$L$2,L194=$L$3),$M$10+1,IFERROR(VLOOKUP(A194,'Repricing Maturity Adj.'!$A$3:$C$170,3,0),(IF(K194&lt;$M$10,"Check",K194))))</f>
        <v>Non_sensitive</v>
      </c>
      <c r="O194" s="62" t="b">
        <f t="shared" si="69"/>
        <v>1</v>
      </c>
      <c r="P194" s="63" t="str">
        <f t="shared" si="70"/>
        <v>Asset</v>
      </c>
      <c r="Q194" s="25">
        <f t="shared" si="71"/>
        <v>0</v>
      </c>
      <c r="R194" s="25">
        <f t="shared" si="72"/>
        <v>0</v>
      </c>
      <c r="S194" s="25">
        <f t="shared" si="73"/>
        <v>0</v>
      </c>
      <c r="T194" s="25">
        <f t="shared" si="74"/>
        <v>0</v>
      </c>
      <c r="U194" s="25">
        <f t="shared" si="75"/>
        <v>0</v>
      </c>
      <c r="V194" s="25">
        <f t="shared" si="76"/>
        <v>0</v>
      </c>
      <c r="W194" s="25">
        <f t="shared" si="77"/>
        <v>0</v>
      </c>
      <c r="X194" s="64">
        <f t="shared" si="78"/>
        <v>0</v>
      </c>
      <c r="Y194" s="64">
        <f t="shared" si="79"/>
        <v>0</v>
      </c>
      <c r="Z194" s="64">
        <f t="shared" si="80"/>
        <v>0</v>
      </c>
      <c r="AA194" s="64">
        <f t="shared" si="81"/>
        <v>0</v>
      </c>
      <c r="AB194" s="64">
        <f t="shared" si="82"/>
        <v>0</v>
      </c>
      <c r="AC194" s="64">
        <f t="shared" si="83"/>
        <v>0</v>
      </c>
      <c r="AD194" s="64">
        <f t="shared" si="84"/>
        <v>0</v>
      </c>
      <c r="AE194" s="64">
        <f t="shared" si="85"/>
        <v>0</v>
      </c>
      <c r="AF194" s="64">
        <f t="shared" si="86"/>
        <v>0</v>
      </c>
      <c r="AG194" s="29">
        <f t="shared" si="87"/>
        <v>449.59</v>
      </c>
    </row>
    <row r="195" spans="1:33" s="20" customFormat="1">
      <c r="A195" s="265">
        <v>10910006</v>
      </c>
      <c r="B195" s="265" t="s">
        <v>320</v>
      </c>
      <c r="C195" s="265" t="s">
        <v>536</v>
      </c>
      <c r="D195" s="265">
        <v>100000014</v>
      </c>
      <c r="E195" s="265" t="s">
        <v>278</v>
      </c>
      <c r="F195" s="265" t="s">
        <v>301</v>
      </c>
      <c r="G195" s="266">
        <v>168.79</v>
      </c>
      <c r="H195" s="266">
        <v>241.2</v>
      </c>
      <c r="I195" s="268">
        <v>46058</v>
      </c>
      <c r="J195" s="268">
        <v>46086</v>
      </c>
      <c r="K195" s="268">
        <v>46086</v>
      </c>
      <c r="L195" s="224" t="str">
        <f t="shared" si="88"/>
        <v>10910006_USD_100000014_PERDAMAN CHEMICALS &amp; FERTILISERS (FINANCE)PTY LTD</v>
      </c>
      <c r="M195" s="221">
        <f t="shared" si="68"/>
        <v>241.2</v>
      </c>
      <c r="N195" s="24" t="str">
        <f>IF(OR(L195=$L$2,L195=$L$3),$M$10+1,IFERROR(VLOOKUP(A195,'Repricing Maturity Adj.'!$A$3:$C$170,3,0),(IF(K195&lt;$M$10,"Check",K195))))</f>
        <v>Non_sensitive</v>
      </c>
      <c r="O195" s="62" t="b">
        <f t="shared" si="69"/>
        <v>1</v>
      </c>
      <c r="P195" s="63" t="str">
        <f t="shared" si="70"/>
        <v>Asset</v>
      </c>
      <c r="Q195" s="25">
        <f t="shared" si="71"/>
        <v>0</v>
      </c>
      <c r="R195" s="25">
        <f t="shared" si="72"/>
        <v>0</v>
      </c>
      <c r="S195" s="25">
        <f t="shared" si="73"/>
        <v>0</v>
      </c>
      <c r="T195" s="25">
        <f t="shared" si="74"/>
        <v>0</v>
      </c>
      <c r="U195" s="25">
        <f t="shared" si="75"/>
        <v>0</v>
      </c>
      <c r="V195" s="25">
        <f t="shared" si="76"/>
        <v>0</v>
      </c>
      <c r="W195" s="25">
        <f t="shared" si="77"/>
        <v>0</v>
      </c>
      <c r="X195" s="64">
        <f t="shared" si="78"/>
        <v>0</v>
      </c>
      <c r="Y195" s="64">
        <f t="shared" si="79"/>
        <v>0</v>
      </c>
      <c r="Z195" s="64">
        <f t="shared" si="80"/>
        <v>0</v>
      </c>
      <c r="AA195" s="64">
        <f t="shared" si="81"/>
        <v>0</v>
      </c>
      <c r="AB195" s="64">
        <f t="shared" si="82"/>
        <v>0</v>
      </c>
      <c r="AC195" s="64">
        <f t="shared" si="83"/>
        <v>0</v>
      </c>
      <c r="AD195" s="64">
        <f t="shared" si="84"/>
        <v>0</v>
      </c>
      <c r="AE195" s="64">
        <f t="shared" si="85"/>
        <v>0</v>
      </c>
      <c r="AF195" s="64">
        <f t="shared" si="86"/>
        <v>0</v>
      </c>
      <c r="AG195" s="29">
        <f t="shared" si="87"/>
        <v>241.2</v>
      </c>
    </row>
    <row r="196" spans="1:33" s="20" customFormat="1">
      <c r="A196" s="265">
        <v>10910006</v>
      </c>
      <c r="B196" s="265" t="s">
        <v>320</v>
      </c>
      <c r="C196" s="265" t="s">
        <v>537</v>
      </c>
      <c r="D196" s="265">
        <v>100000014</v>
      </c>
      <c r="E196" s="265" t="s">
        <v>278</v>
      </c>
      <c r="F196" s="265" t="s">
        <v>301</v>
      </c>
      <c r="G196" s="266">
        <v>26.84</v>
      </c>
      <c r="H196" s="266">
        <v>38.35</v>
      </c>
      <c r="I196" s="268">
        <v>46058</v>
      </c>
      <c r="J196" s="268">
        <v>46086</v>
      </c>
      <c r="K196" s="268">
        <v>46086</v>
      </c>
      <c r="L196" s="224" t="str">
        <f t="shared" si="88"/>
        <v>10910006_USD_100000014_PERDAMAN CHEMICALS &amp; FERTILISERS (FINANCE)PTY LTD</v>
      </c>
      <c r="M196" s="221">
        <f t="shared" si="68"/>
        <v>38.35</v>
      </c>
      <c r="N196" s="24" t="str">
        <f>IF(OR(L196=$L$2,L196=$L$3),$M$10+1,IFERROR(VLOOKUP(A196,'Repricing Maturity Adj.'!$A$3:$C$170,3,0),(IF(K196&lt;$M$10,"Check",K196))))</f>
        <v>Non_sensitive</v>
      </c>
      <c r="O196" s="62" t="b">
        <f t="shared" si="69"/>
        <v>1</v>
      </c>
      <c r="P196" s="63" t="str">
        <f t="shared" si="70"/>
        <v>Asset</v>
      </c>
      <c r="Q196" s="25">
        <f t="shared" si="71"/>
        <v>0</v>
      </c>
      <c r="R196" s="25">
        <f t="shared" si="72"/>
        <v>0</v>
      </c>
      <c r="S196" s="25">
        <f t="shared" si="73"/>
        <v>0</v>
      </c>
      <c r="T196" s="25">
        <f t="shared" si="74"/>
        <v>0</v>
      </c>
      <c r="U196" s="25">
        <f t="shared" si="75"/>
        <v>0</v>
      </c>
      <c r="V196" s="25">
        <f t="shared" si="76"/>
        <v>0</v>
      </c>
      <c r="W196" s="25">
        <f t="shared" si="77"/>
        <v>0</v>
      </c>
      <c r="X196" s="64">
        <f t="shared" si="78"/>
        <v>0</v>
      </c>
      <c r="Y196" s="64">
        <f t="shared" si="79"/>
        <v>0</v>
      </c>
      <c r="Z196" s="64">
        <f t="shared" si="80"/>
        <v>0</v>
      </c>
      <c r="AA196" s="64">
        <f t="shared" si="81"/>
        <v>0</v>
      </c>
      <c r="AB196" s="64">
        <f t="shared" si="82"/>
        <v>0</v>
      </c>
      <c r="AC196" s="64">
        <f t="shared" si="83"/>
        <v>0</v>
      </c>
      <c r="AD196" s="64">
        <f t="shared" si="84"/>
        <v>0</v>
      </c>
      <c r="AE196" s="64">
        <f t="shared" si="85"/>
        <v>0</v>
      </c>
      <c r="AF196" s="64">
        <f t="shared" si="86"/>
        <v>0</v>
      </c>
      <c r="AG196" s="29">
        <f t="shared" si="87"/>
        <v>38.35</v>
      </c>
    </row>
    <row r="197" spans="1:33" s="20" customFormat="1">
      <c r="A197" s="265">
        <v>10910006</v>
      </c>
      <c r="B197" s="265" t="s">
        <v>320</v>
      </c>
      <c r="C197" s="265" t="s">
        <v>538</v>
      </c>
      <c r="D197" s="265">
        <v>100000014</v>
      </c>
      <c r="E197" s="265" t="s">
        <v>278</v>
      </c>
      <c r="F197" s="265" t="s">
        <v>301</v>
      </c>
      <c r="G197" s="266">
        <v>27.36</v>
      </c>
      <c r="H197" s="266">
        <v>39.1</v>
      </c>
      <c r="I197" s="268">
        <v>46058</v>
      </c>
      <c r="J197" s="268">
        <v>46086</v>
      </c>
      <c r="K197" s="268">
        <v>46086</v>
      </c>
      <c r="L197" s="224" t="str">
        <f t="shared" si="88"/>
        <v>10910006_USD_100000014_PERDAMAN CHEMICALS &amp; FERTILISERS (FINANCE)PTY LTD</v>
      </c>
      <c r="M197" s="221">
        <f t="shared" si="68"/>
        <v>39.1</v>
      </c>
      <c r="N197" s="24" t="str">
        <f>IF(OR(L197=$L$2,L197=$L$3),$M$10+1,IFERROR(VLOOKUP(A197,'Repricing Maturity Adj.'!$A$3:$C$170,3,0),(IF(K197&lt;$M$10,"Check",K197))))</f>
        <v>Non_sensitive</v>
      </c>
      <c r="O197" s="62" t="b">
        <f t="shared" si="69"/>
        <v>1</v>
      </c>
      <c r="P197" s="63" t="str">
        <f t="shared" si="70"/>
        <v>Asset</v>
      </c>
      <c r="Q197" s="25">
        <f t="shared" si="71"/>
        <v>0</v>
      </c>
      <c r="R197" s="25">
        <f t="shared" si="72"/>
        <v>0</v>
      </c>
      <c r="S197" s="25">
        <f t="shared" si="73"/>
        <v>0</v>
      </c>
      <c r="T197" s="25">
        <f t="shared" si="74"/>
        <v>0</v>
      </c>
      <c r="U197" s="25">
        <f t="shared" si="75"/>
        <v>0</v>
      </c>
      <c r="V197" s="25">
        <f t="shared" si="76"/>
        <v>0</v>
      </c>
      <c r="W197" s="25">
        <f t="shared" si="77"/>
        <v>0</v>
      </c>
      <c r="X197" s="64">
        <f t="shared" si="78"/>
        <v>0</v>
      </c>
      <c r="Y197" s="64">
        <f t="shared" si="79"/>
        <v>0</v>
      </c>
      <c r="Z197" s="64">
        <f t="shared" si="80"/>
        <v>0</v>
      </c>
      <c r="AA197" s="64">
        <f t="shared" si="81"/>
        <v>0</v>
      </c>
      <c r="AB197" s="64">
        <f t="shared" si="82"/>
        <v>0</v>
      </c>
      <c r="AC197" s="64">
        <f t="shared" si="83"/>
        <v>0</v>
      </c>
      <c r="AD197" s="64">
        <f t="shared" si="84"/>
        <v>0</v>
      </c>
      <c r="AE197" s="64">
        <f t="shared" si="85"/>
        <v>0</v>
      </c>
      <c r="AF197" s="64">
        <f t="shared" si="86"/>
        <v>0</v>
      </c>
      <c r="AG197" s="29">
        <f t="shared" si="87"/>
        <v>39.1</v>
      </c>
    </row>
    <row r="198" spans="1:33" s="20" customFormat="1">
      <c r="A198" s="265">
        <v>10910006</v>
      </c>
      <c r="B198" s="265" t="s">
        <v>320</v>
      </c>
      <c r="C198" s="265" t="s">
        <v>539</v>
      </c>
      <c r="D198" s="265">
        <v>100000014</v>
      </c>
      <c r="E198" s="265" t="s">
        <v>278</v>
      </c>
      <c r="F198" s="265" t="s">
        <v>301</v>
      </c>
      <c r="G198" s="266">
        <v>138.03</v>
      </c>
      <c r="H198" s="266">
        <v>197.24</v>
      </c>
      <c r="I198" s="268">
        <v>46058</v>
      </c>
      <c r="J198" s="268">
        <v>46086</v>
      </c>
      <c r="K198" s="268">
        <v>46086</v>
      </c>
      <c r="L198" s="224" t="str">
        <f t="shared" si="88"/>
        <v>10910006_USD_100000014_PERDAMAN CHEMICALS &amp; FERTILISERS (FINANCE)PTY LTD</v>
      </c>
      <c r="M198" s="221">
        <f t="shared" si="68"/>
        <v>197.24</v>
      </c>
      <c r="N198" s="24" t="str">
        <f>IF(OR(L198=$L$2,L198=$L$3),$M$10+1,IFERROR(VLOOKUP(A198,'Repricing Maturity Adj.'!$A$3:$C$170,3,0),(IF(K198&lt;$M$10,"Check",K198))))</f>
        <v>Non_sensitive</v>
      </c>
      <c r="O198" s="62" t="b">
        <f t="shared" si="69"/>
        <v>1</v>
      </c>
      <c r="P198" s="63" t="str">
        <f t="shared" si="70"/>
        <v>Asset</v>
      </c>
      <c r="Q198" s="25">
        <f t="shared" si="71"/>
        <v>0</v>
      </c>
      <c r="R198" s="25">
        <f t="shared" si="72"/>
        <v>0</v>
      </c>
      <c r="S198" s="25">
        <f t="shared" si="73"/>
        <v>0</v>
      </c>
      <c r="T198" s="25">
        <f t="shared" si="74"/>
        <v>0</v>
      </c>
      <c r="U198" s="25">
        <f t="shared" si="75"/>
        <v>0</v>
      </c>
      <c r="V198" s="25">
        <f t="shared" si="76"/>
        <v>0</v>
      </c>
      <c r="W198" s="25">
        <f t="shared" si="77"/>
        <v>0</v>
      </c>
      <c r="X198" s="64">
        <f t="shared" si="78"/>
        <v>0</v>
      </c>
      <c r="Y198" s="64">
        <f t="shared" si="79"/>
        <v>0</v>
      </c>
      <c r="Z198" s="64">
        <f t="shared" si="80"/>
        <v>0</v>
      </c>
      <c r="AA198" s="64">
        <f t="shared" si="81"/>
        <v>0</v>
      </c>
      <c r="AB198" s="64">
        <f t="shared" si="82"/>
        <v>0</v>
      </c>
      <c r="AC198" s="64">
        <f t="shared" si="83"/>
        <v>0</v>
      </c>
      <c r="AD198" s="64">
        <f t="shared" si="84"/>
        <v>0</v>
      </c>
      <c r="AE198" s="64">
        <f t="shared" si="85"/>
        <v>0</v>
      </c>
      <c r="AF198" s="64">
        <f t="shared" si="86"/>
        <v>0</v>
      </c>
      <c r="AG198" s="29">
        <f t="shared" si="87"/>
        <v>197.24</v>
      </c>
    </row>
    <row r="199" spans="1:33" s="20" customFormat="1">
      <c r="A199" s="265">
        <v>10910006</v>
      </c>
      <c r="B199" s="265" t="s">
        <v>320</v>
      </c>
      <c r="C199" s="265" t="s">
        <v>554</v>
      </c>
      <c r="D199" s="265">
        <v>100000014</v>
      </c>
      <c r="E199" s="265" t="s">
        <v>278</v>
      </c>
      <c r="F199" s="265" t="s">
        <v>301</v>
      </c>
      <c r="G199" s="266">
        <v>31.14</v>
      </c>
      <c r="H199" s="266">
        <v>44.5</v>
      </c>
      <c r="I199" s="268">
        <v>46058</v>
      </c>
      <c r="J199" s="268">
        <v>46086</v>
      </c>
      <c r="K199" s="268">
        <v>46086</v>
      </c>
      <c r="L199" s="224" t="str">
        <f t="shared" si="88"/>
        <v>10910006_USD_100000014_PERDAMAN CHEMICALS &amp; FERTILISERS (FINANCE)PTY LTD</v>
      </c>
      <c r="M199" s="221">
        <f t="shared" si="68"/>
        <v>44.5</v>
      </c>
      <c r="N199" s="24" t="str">
        <f>IF(OR(L199=$L$2,L199=$L$3),$M$10+1,IFERROR(VLOOKUP(A199,'Repricing Maturity Adj.'!$A$3:$C$170,3,0),(IF(K199&lt;$M$10,"Check",K199))))</f>
        <v>Non_sensitive</v>
      </c>
      <c r="O199" s="62" t="b">
        <f t="shared" si="69"/>
        <v>1</v>
      </c>
      <c r="P199" s="63" t="str">
        <f t="shared" si="70"/>
        <v>Asset</v>
      </c>
      <c r="Q199" s="25">
        <f t="shared" si="71"/>
        <v>0</v>
      </c>
      <c r="R199" s="25">
        <f t="shared" si="72"/>
        <v>0</v>
      </c>
      <c r="S199" s="25">
        <f t="shared" si="73"/>
        <v>0</v>
      </c>
      <c r="T199" s="25">
        <f t="shared" si="74"/>
        <v>0</v>
      </c>
      <c r="U199" s="25">
        <f t="shared" si="75"/>
        <v>0</v>
      </c>
      <c r="V199" s="25">
        <f t="shared" si="76"/>
        <v>0</v>
      </c>
      <c r="W199" s="25">
        <f t="shared" si="77"/>
        <v>0</v>
      </c>
      <c r="X199" s="64">
        <f t="shared" si="78"/>
        <v>0</v>
      </c>
      <c r="Y199" s="64">
        <f t="shared" si="79"/>
        <v>0</v>
      </c>
      <c r="Z199" s="64">
        <f t="shared" si="80"/>
        <v>0</v>
      </c>
      <c r="AA199" s="64">
        <f t="shared" si="81"/>
        <v>0</v>
      </c>
      <c r="AB199" s="64">
        <f t="shared" si="82"/>
        <v>0</v>
      </c>
      <c r="AC199" s="64">
        <f t="shared" si="83"/>
        <v>0</v>
      </c>
      <c r="AD199" s="64">
        <f t="shared" si="84"/>
        <v>0</v>
      </c>
      <c r="AE199" s="64">
        <f t="shared" si="85"/>
        <v>0</v>
      </c>
      <c r="AF199" s="64">
        <f t="shared" si="86"/>
        <v>0</v>
      </c>
      <c r="AG199" s="29">
        <f t="shared" si="87"/>
        <v>44.5</v>
      </c>
    </row>
    <row r="200" spans="1:33" s="20" customFormat="1">
      <c r="A200" s="265">
        <v>10910006</v>
      </c>
      <c r="B200" s="265" t="s">
        <v>320</v>
      </c>
      <c r="C200" s="265" t="s">
        <v>555</v>
      </c>
      <c r="D200" s="265">
        <v>100000014</v>
      </c>
      <c r="E200" s="265" t="s">
        <v>278</v>
      </c>
      <c r="F200" s="265" t="s">
        <v>301</v>
      </c>
      <c r="G200" s="266">
        <v>48.72</v>
      </c>
      <c r="H200" s="266">
        <v>69.62</v>
      </c>
      <c r="I200" s="268">
        <v>46058</v>
      </c>
      <c r="J200" s="268">
        <v>46086</v>
      </c>
      <c r="K200" s="268">
        <v>46086</v>
      </c>
      <c r="L200" s="224" t="str">
        <f t="shared" si="88"/>
        <v>10910006_USD_100000014_PERDAMAN CHEMICALS &amp; FERTILISERS (FINANCE)PTY LTD</v>
      </c>
      <c r="M200" s="221">
        <f t="shared" si="68"/>
        <v>69.62</v>
      </c>
      <c r="N200" s="24" t="str">
        <f>IF(OR(L200=$L$2,L200=$L$3),$M$10+1,IFERROR(VLOOKUP(A200,'Repricing Maturity Adj.'!$A$3:$C$170,3,0),(IF(K200&lt;$M$10,"Check",K200))))</f>
        <v>Non_sensitive</v>
      </c>
      <c r="O200" s="62" t="b">
        <f t="shared" si="69"/>
        <v>1</v>
      </c>
      <c r="P200" s="63" t="str">
        <f t="shared" si="70"/>
        <v>Asset</v>
      </c>
      <c r="Q200" s="25">
        <f t="shared" si="71"/>
        <v>0</v>
      </c>
      <c r="R200" s="25">
        <f t="shared" si="72"/>
        <v>0</v>
      </c>
      <c r="S200" s="25">
        <f t="shared" si="73"/>
        <v>0</v>
      </c>
      <c r="T200" s="25">
        <f t="shared" si="74"/>
        <v>0</v>
      </c>
      <c r="U200" s="25">
        <f t="shared" si="75"/>
        <v>0</v>
      </c>
      <c r="V200" s="25">
        <f t="shared" si="76"/>
        <v>0</v>
      </c>
      <c r="W200" s="25">
        <f t="shared" si="77"/>
        <v>0</v>
      </c>
      <c r="X200" s="64">
        <f t="shared" si="78"/>
        <v>0</v>
      </c>
      <c r="Y200" s="64">
        <f t="shared" si="79"/>
        <v>0</v>
      </c>
      <c r="Z200" s="64">
        <f t="shared" si="80"/>
        <v>0</v>
      </c>
      <c r="AA200" s="64">
        <f t="shared" si="81"/>
        <v>0</v>
      </c>
      <c r="AB200" s="64">
        <f t="shared" si="82"/>
        <v>0</v>
      </c>
      <c r="AC200" s="64">
        <f t="shared" si="83"/>
        <v>0</v>
      </c>
      <c r="AD200" s="64">
        <f t="shared" si="84"/>
        <v>0</v>
      </c>
      <c r="AE200" s="64">
        <f t="shared" si="85"/>
        <v>0</v>
      </c>
      <c r="AF200" s="64">
        <f t="shared" si="86"/>
        <v>0</v>
      </c>
      <c r="AG200" s="29">
        <f t="shared" si="87"/>
        <v>69.62</v>
      </c>
    </row>
    <row r="201" spans="1:33" s="20" customFormat="1">
      <c r="A201" s="265">
        <v>10910006</v>
      </c>
      <c r="B201" s="265" t="s">
        <v>320</v>
      </c>
      <c r="C201" s="265" t="s">
        <v>556</v>
      </c>
      <c r="D201" s="265">
        <v>100000014</v>
      </c>
      <c r="E201" s="265" t="s">
        <v>278</v>
      </c>
      <c r="F201" s="265" t="s">
        <v>301</v>
      </c>
      <c r="G201" s="266">
        <v>115.7</v>
      </c>
      <c r="H201" s="266">
        <v>165.33</v>
      </c>
      <c r="I201" s="268">
        <v>46058</v>
      </c>
      <c r="J201" s="268">
        <v>46086</v>
      </c>
      <c r="K201" s="268">
        <v>46086</v>
      </c>
      <c r="L201" s="224" t="str">
        <f t="shared" si="88"/>
        <v>10910006_USD_100000014_PERDAMAN CHEMICALS &amp; FERTILISERS (FINANCE)PTY LTD</v>
      </c>
      <c r="M201" s="221">
        <f t="shared" si="68"/>
        <v>165.33</v>
      </c>
      <c r="N201" s="24" t="str">
        <f>IF(OR(L201=$L$2,L201=$L$3),$M$10+1,IFERROR(VLOOKUP(A201,'Repricing Maturity Adj.'!$A$3:$C$170,3,0),(IF(K201&lt;$M$10,"Check",K201))))</f>
        <v>Non_sensitive</v>
      </c>
      <c r="O201" s="62" t="b">
        <f t="shared" si="69"/>
        <v>1</v>
      </c>
      <c r="P201" s="63" t="str">
        <f t="shared" si="70"/>
        <v>Asset</v>
      </c>
      <c r="Q201" s="25">
        <f t="shared" si="71"/>
        <v>0</v>
      </c>
      <c r="R201" s="25">
        <f t="shared" si="72"/>
        <v>0</v>
      </c>
      <c r="S201" s="25">
        <f t="shared" si="73"/>
        <v>0</v>
      </c>
      <c r="T201" s="25">
        <f t="shared" si="74"/>
        <v>0</v>
      </c>
      <c r="U201" s="25">
        <f t="shared" si="75"/>
        <v>0</v>
      </c>
      <c r="V201" s="25">
        <f t="shared" si="76"/>
        <v>0</v>
      </c>
      <c r="W201" s="25">
        <f t="shared" si="77"/>
        <v>0</v>
      </c>
      <c r="X201" s="64">
        <f t="shared" si="78"/>
        <v>0</v>
      </c>
      <c r="Y201" s="64">
        <f t="shared" si="79"/>
        <v>0</v>
      </c>
      <c r="Z201" s="64">
        <f t="shared" si="80"/>
        <v>0</v>
      </c>
      <c r="AA201" s="64">
        <f t="shared" si="81"/>
        <v>0</v>
      </c>
      <c r="AB201" s="64">
        <f t="shared" si="82"/>
        <v>0</v>
      </c>
      <c r="AC201" s="64">
        <f t="shared" si="83"/>
        <v>0</v>
      </c>
      <c r="AD201" s="64">
        <f t="shared" si="84"/>
        <v>0</v>
      </c>
      <c r="AE201" s="64">
        <f t="shared" si="85"/>
        <v>0</v>
      </c>
      <c r="AF201" s="64">
        <f t="shared" si="86"/>
        <v>0</v>
      </c>
      <c r="AG201" s="29">
        <f t="shared" si="87"/>
        <v>165.33</v>
      </c>
    </row>
    <row r="202" spans="1:33" s="20" customFormat="1">
      <c r="A202" s="265">
        <v>10910006</v>
      </c>
      <c r="B202" s="265" t="s">
        <v>320</v>
      </c>
      <c r="C202" s="265" t="s">
        <v>557</v>
      </c>
      <c r="D202" s="265">
        <v>100000014</v>
      </c>
      <c r="E202" s="265" t="s">
        <v>278</v>
      </c>
      <c r="F202" s="265" t="s">
        <v>301</v>
      </c>
      <c r="G202" s="266">
        <v>30.68</v>
      </c>
      <c r="H202" s="266">
        <v>43.84</v>
      </c>
      <c r="I202" s="268">
        <v>46058</v>
      </c>
      <c r="J202" s="268">
        <v>46086</v>
      </c>
      <c r="K202" s="268">
        <v>46086</v>
      </c>
      <c r="L202" s="224" t="str">
        <f t="shared" si="88"/>
        <v>10910006_USD_100000014_PERDAMAN CHEMICALS &amp; FERTILISERS (FINANCE)PTY LTD</v>
      </c>
      <c r="M202" s="221">
        <f t="shared" si="68"/>
        <v>43.84</v>
      </c>
      <c r="N202" s="24" t="str">
        <f>IF(OR(L202=$L$2,L202=$L$3),$M$10+1,IFERROR(VLOOKUP(A202,'Repricing Maturity Adj.'!$A$3:$C$170,3,0),(IF(K202&lt;$M$10,"Check",K202))))</f>
        <v>Non_sensitive</v>
      </c>
      <c r="O202" s="62" t="b">
        <f t="shared" si="69"/>
        <v>1</v>
      </c>
      <c r="P202" s="63" t="str">
        <f t="shared" si="70"/>
        <v>Asset</v>
      </c>
      <c r="Q202" s="25">
        <f t="shared" si="71"/>
        <v>0</v>
      </c>
      <c r="R202" s="25">
        <f t="shared" si="72"/>
        <v>0</v>
      </c>
      <c r="S202" s="25">
        <f t="shared" si="73"/>
        <v>0</v>
      </c>
      <c r="T202" s="25">
        <f t="shared" si="74"/>
        <v>0</v>
      </c>
      <c r="U202" s="25">
        <f t="shared" si="75"/>
        <v>0</v>
      </c>
      <c r="V202" s="25">
        <f t="shared" si="76"/>
        <v>0</v>
      </c>
      <c r="W202" s="25">
        <f t="shared" si="77"/>
        <v>0</v>
      </c>
      <c r="X202" s="64">
        <f t="shared" si="78"/>
        <v>0</v>
      </c>
      <c r="Y202" s="64">
        <f t="shared" si="79"/>
        <v>0</v>
      </c>
      <c r="Z202" s="64">
        <f t="shared" si="80"/>
        <v>0</v>
      </c>
      <c r="AA202" s="64">
        <f t="shared" si="81"/>
        <v>0</v>
      </c>
      <c r="AB202" s="64">
        <f t="shared" si="82"/>
        <v>0</v>
      </c>
      <c r="AC202" s="64">
        <f t="shared" si="83"/>
        <v>0</v>
      </c>
      <c r="AD202" s="64">
        <f t="shared" si="84"/>
        <v>0</v>
      </c>
      <c r="AE202" s="64">
        <f t="shared" si="85"/>
        <v>0</v>
      </c>
      <c r="AF202" s="64">
        <f t="shared" si="86"/>
        <v>0</v>
      </c>
      <c r="AG202" s="29">
        <f t="shared" si="87"/>
        <v>43.84</v>
      </c>
    </row>
    <row r="203" spans="1:33" s="20" customFormat="1">
      <c r="A203" s="265">
        <v>10910006</v>
      </c>
      <c r="B203" s="265" t="s">
        <v>320</v>
      </c>
      <c r="C203" s="265" t="s">
        <v>552</v>
      </c>
      <c r="D203" s="265">
        <v>100000031</v>
      </c>
      <c r="E203" s="265" t="s">
        <v>553</v>
      </c>
      <c r="F203" s="265" t="s">
        <v>0</v>
      </c>
      <c r="G203" s="266">
        <v>72407.78</v>
      </c>
      <c r="H203" s="266">
        <v>72407.78</v>
      </c>
      <c r="I203" s="268">
        <v>46013</v>
      </c>
      <c r="J203" s="268">
        <v>46195</v>
      </c>
      <c r="K203" s="268">
        <v>46195</v>
      </c>
      <c r="L203" s="224" t="str">
        <f t="shared" si="88"/>
        <v>10910006_AUD_100000031_ORIGIN ENERGY LIMITED</v>
      </c>
      <c r="M203" s="221">
        <f t="shared" si="68"/>
        <v>72407.78</v>
      </c>
      <c r="N203" s="24" t="str">
        <f>IF(OR(L203=$L$2,L203=$L$3),$M$10+1,IFERROR(VLOOKUP(A203,'Repricing Maturity Adj.'!$A$3:$C$170,3,0),(IF(K203&lt;$M$10,"Check",K203))))</f>
        <v>Non_sensitive</v>
      </c>
      <c r="O203" s="62" t="b">
        <f t="shared" si="69"/>
        <v>1</v>
      </c>
      <c r="P203" s="63" t="str">
        <f t="shared" si="70"/>
        <v>Asset</v>
      </c>
      <c r="Q203" s="25">
        <f t="shared" si="71"/>
        <v>0</v>
      </c>
      <c r="R203" s="25">
        <f t="shared" si="72"/>
        <v>0</v>
      </c>
      <c r="S203" s="25">
        <f t="shared" si="73"/>
        <v>0</v>
      </c>
      <c r="T203" s="25">
        <f t="shared" si="74"/>
        <v>0</v>
      </c>
      <c r="U203" s="25">
        <f t="shared" si="75"/>
        <v>0</v>
      </c>
      <c r="V203" s="25">
        <f t="shared" si="76"/>
        <v>0</v>
      </c>
      <c r="W203" s="25">
        <f t="shared" si="77"/>
        <v>0</v>
      </c>
      <c r="X203" s="64">
        <f t="shared" si="78"/>
        <v>0</v>
      </c>
      <c r="Y203" s="64">
        <f t="shared" si="79"/>
        <v>0</v>
      </c>
      <c r="Z203" s="64">
        <f t="shared" si="80"/>
        <v>0</v>
      </c>
      <c r="AA203" s="64">
        <f t="shared" si="81"/>
        <v>0</v>
      </c>
      <c r="AB203" s="64">
        <f t="shared" si="82"/>
        <v>0</v>
      </c>
      <c r="AC203" s="64">
        <f t="shared" si="83"/>
        <v>0</v>
      </c>
      <c r="AD203" s="64">
        <f t="shared" si="84"/>
        <v>0</v>
      </c>
      <c r="AE203" s="64">
        <f t="shared" si="85"/>
        <v>0</v>
      </c>
      <c r="AF203" s="64">
        <f t="shared" si="86"/>
        <v>0</v>
      </c>
      <c r="AG203" s="29">
        <f t="shared" si="87"/>
        <v>72407.78</v>
      </c>
    </row>
    <row r="204" spans="1:33" s="20" customFormat="1">
      <c r="A204" s="265">
        <v>10910006</v>
      </c>
      <c r="B204" s="265" t="s">
        <v>320</v>
      </c>
      <c r="C204" s="265" t="s">
        <v>558</v>
      </c>
      <c r="D204" s="265">
        <v>100000014</v>
      </c>
      <c r="E204" s="265" t="s">
        <v>278</v>
      </c>
      <c r="F204" s="265" t="s">
        <v>301</v>
      </c>
      <c r="G204" s="266">
        <v>117.73</v>
      </c>
      <c r="H204" s="266">
        <v>168.23</v>
      </c>
      <c r="I204" s="268">
        <v>46058</v>
      </c>
      <c r="J204" s="268">
        <v>46086</v>
      </c>
      <c r="K204" s="268">
        <v>46086</v>
      </c>
      <c r="L204" s="224" t="str">
        <f t="shared" si="88"/>
        <v>10910006_USD_100000014_PERDAMAN CHEMICALS &amp; FERTILISERS (FINANCE)PTY LTD</v>
      </c>
      <c r="M204" s="221">
        <f t="shared" si="68"/>
        <v>168.23</v>
      </c>
      <c r="N204" s="24" t="str">
        <f>IF(OR(L204=$L$2,L204=$L$3),$M$10+1,IFERROR(VLOOKUP(A204,'Repricing Maturity Adj.'!$A$3:$C$170,3,0),(IF(K204&lt;$M$10,"Check",K204))))</f>
        <v>Non_sensitive</v>
      </c>
      <c r="O204" s="62" t="b">
        <f t="shared" si="69"/>
        <v>1</v>
      </c>
      <c r="P204" s="63" t="str">
        <f t="shared" si="70"/>
        <v>Asset</v>
      </c>
      <c r="Q204" s="25">
        <f t="shared" si="71"/>
        <v>0</v>
      </c>
      <c r="R204" s="25">
        <f t="shared" si="72"/>
        <v>0</v>
      </c>
      <c r="S204" s="25">
        <f t="shared" si="73"/>
        <v>0</v>
      </c>
      <c r="T204" s="25">
        <f t="shared" si="74"/>
        <v>0</v>
      </c>
      <c r="U204" s="25">
        <f t="shared" si="75"/>
        <v>0</v>
      </c>
      <c r="V204" s="25">
        <f t="shared" si="76"/>
        <v>0</v>
      </c>
      <c r="W204" s="25">
        <f t="shared" si="77"/>
        <v>0</v>
      </c>
      <c r="X204" s="64">
        <f t="shared" si="78"/>
        <v>0</v>
      </c>
      <c r="Y204" s="64">
        <f t="shared" si="79"/>
        <v>0</v>
      </c>
      <c r="Z204" s="64">
        <f t="shared" si="80"/>
        <v>0</v>
      </c>
      <c r="AA204" s="64">
        <f t="shared" si="81"/>
        <v>0</v>
      </c>
      <c r="AB204" s="64">
        <f t="shared" si="82"/>
        <v>0</v>
      </c>
      <c r="AC204" s="64">
        <f t="shared" si="83"/>
        <v>0</v>
      </c>
      <c r="AD204" s="64">
        <f t="shared" si="84"/>
        <v>0</v>
      </c>
      <c r="AE204" s="64">
        <f t="shared" si="85"/>
        <v>0</v>
      </c>
      <c r="AF204" s="64">
        <f t="shared" si="86"/>
        <v>0</v>
      </c>
      <c r="AG204" s="29">
        <f t="shared" si="87"/>
        <v>168.23</v>
      </c>
    </row>
    <row r="205" spans="1:33" s="20" customFormat="1">
      <c r="A205" s="265">
        <v>10910006</v>
      </c>
      <c r="B205" s="265" t="s">
        <v>320</v>
      </c>
      <c r="C205" s="265" t="s">
        <v>559</v>
      </c>
      <c r="D205" s="265">
        <v>100000014</v>
      </c>
      <c r="E205" s="265" t="s">
        <v>278</v>
      </c>
      <c r="F205" s="265" t="s">
        <v>301</v>
      </c>
      <c r="G205" s="266">
        <v>31.67</v>
      </c>
      <c r="H205" s="266">
        <v>45.26</v>
      </c>
      <c r="I205" s="268">
        <v>46058</v>
      </c>
      <c r="J205" s="268">
        <v>46086</v>
      </c>
      <c r="K205" s="268">
        <v>46086</v>
      </c>
      <c r="L205" s="224" t="str">
        <f t="shared" si="88"/>
        <v>10910006_USD_100000014_PERDAMAN CHEMICALS &amp; FERTILISERS (FINANCE)PTY LTD</v>
      </c>
      <c r="M205" s="221">
        <f t="shared" si="68"/>
        <v>45.26</v>
      </c>
      <c r="N205" s="24" t="str">
        <f>IF(OR(L205=$L$2,L205=$L$3),$M$10+1,IFERROR(VLOOKUP(A205,'Repricing Maturity Adj.'!$A$3:$C$170,3,0),(IF(K205&lt;$M$10,"Check",K205))))</f>
        <v>Non_sensitive</v>
      </c>
      <c r="O205" s="62" t="b">
        <f t="shared" si="69"/>
        <v>1</v>
      </c>
      <c r="P205" s="63" t="str">
        <f t="shared" si="70"/>
        <v>Asset</v>
      </c>
      <c r="Q205" s="25">
        <f t="shared" si="71"/>
        <v>0</v>
      </c>
      <c r="R205" s="25">
        <f t="shared" si="72"/>
        <v>0</v>
      </c>
      <c r="S205" s="25">
        <f t="shared" si="73"/>
        <v>0</v>
      </c>
      <c r="T205" s="25">
        <f t="shared" si="74"/>
        <v>0</v>
      </c>
      <c r="U205" s="25">
        <f t="shared" si="75"/>
        <v>0</v>
      </c>
      <c r="V205" s="25">
        <f t="shared" si="76"/>
        <v>0</v>
      </c>
      <c r="W205" s="25">
        <f t="shared" si="77"/>
        <v>0</v>
      </c>
      <c r="X205" s="64">
        <f t="shared" si="78"/>
        <v>0</v>
      </c>
      <c r="Y205" s="64">
        <f t="shared" si="79"/>
        <v>0</v>
      </c>
      <c r="Z205" s="64">
        <f t="shared" si="80"/>
        <v>0</v>
      </c>
      <c r="AA205" s="64">
        <f t="shared" si="81"/>
        <v>0</v>
      </c>
      <c r="AB205" s="64">
        <f t="shared" si="82"/>
        <v>0</v>
      </c>
      <c r="AC205" s="64">
        <f t="shared" si="83"/>
        <v>0</v>
      </c>
      <c r="AD205" s="64">
        <f t="shared" si="84"/>
        <v>0</v>
      </c>
      <c r="AE205" s="64">
        <f t="shared" si="85"/>
        <v>0</v>
      </c>
      <c r="AF205" s="64">
        <f t="shared" si="86"/>
        <v>0</v>
      </c>
      <c r="AG205" s="29">
        <f t="shared" si="87"/>
        <v>45.26</v>
      </c>
    </row>
    <row r="206" spans="1:33" s="20" customFormat="1">
      <c r="A206" s="265">
        <v>10910006</v>
      </c>
      <c r="B206" s="265" t="s">
        <v>320</v>
      </c>
      <c r="C206" s="265" t="s">
        <v>574</v>
      </c>
      <c r="D206" s="265">
        <v>100000014</v>
      </c>
      <c r="E206" s="265" t="s">
        <v>278</v>
      </c>
      <c r="F206" s="265" t="s">
        <v>301</v>
      </c>
      <c r="G206" s="266">
        <v>30.42</v>
      </c>
      <c r="H206" s="266">
        <v>43.47</v>
      </c>
      <c r="I206" s="268">
        <v>46058</v>
      </c>
      <c r="J206" s="268">
        <v>46086</v>
      </c>
      <c r="K206" s="268">
        <v>46086</v>
      </c>
      <c r="L206" s="224" t="str">
        <f t="shared" si="88"/>
        <v>10910006_USD_100000014_PERDAMAN CHEMICALS &amp; FERTILISERS (FINANCE)PTY LTD</v>
      </c>
      <c r="M206" s="221">
        <f t="shared" si="68"/>
        <v>43.47</v>
      </c>
      <c r="N206" s="24" t="str">
        <f>IF(OR(L206=$L$2,L206=$L$3),$M$10+1,IFERROR(VLOOKUP(A206,'Repricing Maturity Adj.'!$A$3:$C$170,3,0),(IF(K206&lt;$M$10,"Check",K206))))</f>
        <v>Non_sensitive</v>
      </c>
      <c r="O206" s="62" t="b">
        <f t="shared" si="69"/>
        <v>1</v>
      </c>
      <c r="P206" s="63" t="str">
        <f t="shared" si="70"/>
        <v>Asset</v>
      </c>
      <c r="Q206" s="25">
        <f t="shared" si="71"/>
        <v>0</v>
      </c>
      <c r="R206" s="25">
        <f t="shared" si="72"/>
        <v>0</v>
      </c>
      <c r="S206" s="25">
        <f t="shared" si="73"/>
        <v>0</v>
      </c>
      <c r="T206" s="25">
        <f t="shared" si="74"/>
        <v>0</v>
      </c>
      <c r="U206" s="25">
        <f t="shared" si="75"/>
        <v>0</v>
      </c>
      <c r="V206" s="25">
        <f t="shared" si="76"/>
        <v>0</v>
      </c>
      <c r="W206" s="25">
        <f t="shared" si="77"/>
        <v>0</v>
      </c>
      <c r="X206" s="64">
        <f t="shared" si="78"/>
        <v>0</v>
      </c>
      <c r="Y206" s="64">
        <f t="shared" si="79"/>
        <v>0</v>
      </c>
      <c r="Z206" s="64">
        <f t="shared" si="80"/>
        <v>0</v>
      </c>
      <c r="AA206" s="64">
        <f t="shared" si="81"/>
        <v>0</v>
      </c>
      <c r="AB206" s="64">
        <f t="shared" si="82"/>
        <v>0</v>
      </c>
      <c r="AC206" s="64">
        <f t="shared" si="83"/>
        <v>0</v>
      </c>
      <c r="AD206" s="64">
        <f t="shared" si="84"/>
        <v>0</v>
      </c>
      <c r="AE206" s="64">
        <f t="shared" si="85"/>
        <v>0</v>
      </c>
      <c r="AF206" s="64">
        <f t="shared" si="86"/>
        <v>0</v>
      </c>
      <c r="AG206" s="29">
        <f t="shared" si="87"/>
        <v>43.47</v>
      </c>
    </row>
    <row r="207" spans="1:33" s="20" customFormat="1">
      <c r="A207" s="265">
        <v>10910006</v>
      </c>
      <c r="B207" s="265" t="s">
        <v>320</v>
      </c>
      <c r="C207" s="265" t="s">
        <v>575</v>
      </c>
      <c r="D207" s="265">
        <v>100000014</v>
      </c>
      <c r="E207" s="265" t="s">
        <v>278</v>
      </c>
      <c r="F207" s="265" t="s">
        <v>301</v>
      </c>
      <c r="G207" s="266">
        <v>123.82</v>
      </c>
      <c r="H207" s="266">
        <v>176.94</v>
      </c>
      <c r="I207" s="268">
        <v>46058</v>
      </c>
      <c r="J207" s="268">
        <v>46086</v>
      </c>
      <c r="K207" s="268">
        <v>46086</v>
      </c>
      <c r="L207" s="224" t="str">
        <f t="shared" si="88"/>
        <v>10910006_USD_100000014_PERDAMAN CHEMICALS &amp; FERTILISERS (FINANCE)PTY LTD</v>
      </c>
      <c r="M207" s="221">
        <f t="shared" si="68"/>
        <v>176.94</v>
      </c>
      <c r="N207" s="24" t="str">
        <f>IF(OR(L207=$L$2,L207=$L$3),$M$10+1,IFERROR(VLOOKUP(A207,'Repricing Maturity Adj.'!$A$3:$C$170,3,0),(IF(K207&lt;$M$10,"Check",K207))))</f>
        <v>Non_sensitive</v>
      </c>
      <c r="O207" s="62" t="b">
        <f t="shared" si="69"/>
        <v>1</v>
      </c>
      <c r="P207" s="63" t="str">
        <f t="shared" si="70"/>
        <v>Asset</v>
      </c>
      <c r="Q207" s="25">
        <f t="shared" si="71"/>
        <v>0</v>
      </c>
      <c r="R207" s="25">
        <f t="shared" si="72"/>
        <v>0</v>
      </c>
      <c r="S207" s="25">
        <f t="shared" si="73"/>
        <v>0</v>
      </c>
      <c r="T207" s="25">
        <f t="shared" si="74"/>
        <v>0</v>
      </c>
      <c r="U207" s="25">
        <f t="shared" si="75"/>
        <v>0</v>
      </c>
      <c r="V207" s="25">
        <f t="shared" si="76"/>
        <v>0</v>
      </c>
      <c r="W207" s="25">
        <f t="shared" si="77"/>
        <v>0</v>
      </c>
      <c r="X207" s="64">
        <f t="shared" si="78"/>
        <v>0</v>
      </c>
      <c r="Y207" s="64">
        <f t="shared" si="79"/>
        <v>0</v>
      </c>
      <c r="Z207" s="64">
        <f t="shared" si="80"/>
        <v>0</v>
      </c>
      <c r="AA207" s="64">
        <f t="shared" si="81"/>
        <v>0</v>
      </c>
      <c r="AB207" s="64">
        <f t="shared" si="82"/>
        <v>0</v>
      </c>
      <c r="AC207" s="64">
        <f t="shared" si="83"/>
        <v>0</v>
      </c>
      <c r="AD207" s="64">
        <f t="shared" si="84"/>
        <v>0</v>
      </c>
      <c r="AE207" s="64">
        <f t="shared" si="85"/>
        <v>0</v>
      </c>
      <c r="AF207" s="64">
        <f t="shared" si="86"/>
        <v>0</v>
      </c>
      <c r="AG207" s="29">
        <f t="shared" si="87"/>
        <v>176.94</v>
      </c>
    </row>
    <row r="208" spans="1:33" s="20" customFormat="1">
      <c r="A208" s="265">
        <v>10910006</v>
      </c>
      <c r="B208" s="265" t="s">
        <v>320</v>
      </c>
      <c r="C208" s="265" t="s">
        <v>576</v>
      </c>
      <c r="D208" s="265">
        <v>100000014</v>
      </c>
      <c r="E208" s="265" t="s">
        <v>278</v>
      </c>
      <c r="F208" s="265" t="s">
        <v>301</v>
      </c>
      <c r="G208" s="266">
        <v>34.4</v>
      </c>
      <c r="H208" s="266">
        <v>49.16</v>
      </c>
      <c r="I208" s="268">
        <v>46058</v>
      </c>
      <c r="J208" s="268">
        <v>46086</v>
      </c>
      <c r="K208" s="268">
        <v>46086</v>
      </c>
      <c r="L208" s="224" t="str">
        <f t="shared" si="88"/>
        <v>10910006_USD_100000014_PERDAMAN CHEMICALS &amp; FERTILISERS (FINANCE)PTY LTD</v>
      </c>
      <c r="M208" s="221">
        <f t="shared" si="68"/>
        <v>49.16</v>
      </c>
      <c r="N208" s="24" t="str">
        <f>IF(OR(L208=$L$2,L208=$L$3),$M$10+1,IFERROR(VLOOKUP(A208,'Repricing Maturity Adj.'!$A$3:$C$170,3,0),(IF(K208&lt;$M$10,"Check",K208))))</f>
        <v>Non_sensitive</v>
      </c>
      <c r="O208" s="62" t="b">
        <f t="shared" si="69"/>
        <v>1</v>
      </c>
      <c r="P208" s="63" t="str">
        <f t="shared" si="70"/>
        <v>Asset</v>
      </c>
      <c r="Q208" s="25">
        <f t="shared" si="71"/>
        <v>0</v>
      </c>
      <c r="R208" s="25">
        <f t="shared" si="72"/>
        <v>0</v>
      </c>
      <c r="S208" s="25">
        <f t="shared" si="73"/>
        <v>0</v>
      </c>
      <c r="T208" s="25">
        <f t="shared" si="74"/>
        <v>0</v>
      </c>
      <c r="U208" s="25">
        <f t="shared" si="75"/>
        <v>0</v>
      </c>
      <c r="V208" s="25">
        <f t="shared" si="76"/>
        <v>0</v>
      </c>
      <c r="W208" s="25">
        <f t="shared" si="77"/>
        <v>0</v>
      </c>
      <c r="X208" s="64">
        <f t="shared" si="78"/>
        <v>0</v>
      </c>
      <c r="Y208" s="64">
        <f t="shared" si="79"/>
        <v>0</v>
      </c>
      <c r="Z208" s="64">
        <f t="shared" si="80"/>
        <v>0</v>
      </c>
      <c r="AA208" s="64">
        <f t="shared" si="81"/>
        <v>0</v>
      </c>
      <c r="AB208" s="64">
        <f t="shared" si="82"/>
        <v>0</v>
      </c>
      <c r="AC208" s="64">
        <f t="shared" si="83"/>
        <v>0</v>
      </c>
      <c r="AD208" s="64">
        <f t="shared" si="84"/>
        <v>0</v>
      </c>
      <c r="AE208" s="64">
        <f t="shared" si="85"/>
        <v>0</v>
      </c>
      <c r="AF208" s="64">
        <f t="shared" si="86"/>
        <v>0</v>
      </c>
      <c r="AG208" s="29">
        <f t="shared" si="87"/>
        <v>49.16</v>
      </c>
    </row>
    <row r="209" spans="1:33" s="20" customFormat="1">
      <c r="A209" s="265">
        <v>10910006</v>
      </c>
      <c r="B209" s="265" t="s">
        <v>320</v>
      </c>
      <c r="C209" s="265" t="s">
        <v>577</v>
      </c>
      <c r="D209" s="265">
        <v>100000014</v>
      </c>
      <c r="E209" s="265" t="s">
        <v>278</v>
      </c>
      <c r="F209" s="265" t="s">
        <v>301</v>
      </c>
      <c r="G209" s="266">
        <v>255.75</v>
      </c>
      <c r="H209" s="266">
        <v>365.46</v>
      </c>
      <c r="I209" s="268">
        <v>46058</v>
      </c>
      <c r="J209" s="268">
        <v>46086</v>
      </c>
      <c r="K209" s="268">
        <v>46086</v>
      </c>
      <c r="L209" s="224" t="str">
        <f t="shared" si="88"/>
        <v>10910006_USD_100000014_PERDAMAN CHEMICALS &amp; FERTILISERS (FINANCE)PTY LTD</v>
      </c>
      <c r="M209" s="221">
        <f t="shared" si="68"/>
        <v>365.46</v>
      </c>
      <c r="N209" s="24" t="str">
        <f>IF(OR(L209=$L$2,L209=$L$3),$M$10+1,IFERROR(VLOOKUP(A209,'Repricing Maturity Adj.'!$A$3:$C$170,3,0),(IF(K209&lt;$M$10,"Check",K209))))</f>
        <v>Non_sensitive</v>
      </c>
      <c r="O209" s="62" t="b">
        <f t="shared" si="69"/>
        <v>1</v>
      </c>
      <c r="P209" s="63" t="str">
        <f t="shared" si="70"/>
        <v>Asset</v>
      </c>
      <c r="Q209" s="25">
        <f t="shared" si="71"/>
        <v>0</v>
      </c>
      <c r="R209" s="25">
        <f t="shared" si="72"/>
        <v>0</v>
      </c>
      <c r="S209" s="25">
        <f t="shared" si="73"/>
        <v>0</v>
      </c>
      <c r="T209" s="25">
        <f t="shared" si="74"/>
        <v>0</v>
      </c>
      <c r="U209" s="25">
        <f t="shared" si="75"/>
        <v>0</v>
      </c>
      <c r="V209" s="25">
        <f t="shared" si="76"/>
        <v>0</v>
      </c>
      <c r="W209" s="25">
        <f t="shared" si="77"/>
        <v>0</v>
      </c>
      <c r="X209" s="64">
        <f t="shared" si="78"/>
        <v>0</v>
      </c>
      <c r="Y209" s="64">
        <f t="shared" si="79"/>
        <v>0</v>
      </c>
      <c r="Z209" s="64">
        <f t="shared" si="80"/>
        <v>0</v>
      </c>
      <c r="AA209" s="64">
        <f t="shared" si="81"/>
        <v>0</v>
      </c>
      <c r="AB209" s="64">
        <f t="shared" si="82"/>
        <v>0</v>
      </c>
      <c r="AC209" s="64">
        <f t="shared" si="83"/>
        <v>0</v>
      </c>
      <c r="AD209" s="64">
        <f t="shared" si="84"/>
        <v>0</v>
      </c>
      <c r="AE209" s="64">
        <f t="shared" si="85"/>
        <v>0</v>
      </c>
      <c r="AF209" s="64">
        <f t="shared" si="86"/>
        <v>0</v>
      </c>
      <c r="AG209" s="29">
        <f t="shared" si="87"/>
        <v>365.46</v>
      </c>
    </row>
    <row r="210" spans="1:33" s="20" customFormat="1">
      <c r="A210" s="265">
        <v>10910006</v>
      </c>
      <c r="B210" s="265" t="s">
        <v>320</v>
      </c>
      <c r="C210" s="265" t="s">
        <v>578</v>
      </c>
      <c r="D210" s="265">
        <v>100000014</v>
      </c>
      <c r="E210" s="265" t="s">
        <v>278</v>
      </c>
      <c r="F210" s="265" t="s">
        <v>301</v>
      </c>
      <c r="G210" s="266">
        <v>35.909999999999997</v>
      </c>
      <c r="H210" s="266">
        <v>51.31</v>
      </c>
      <c r="I210" s="268">
        <v>46058</v>
      </c>
      <c r="J210" s="268">
        <v>46086</v>
      </c>
      <c r="K210" s="268">
        <v>46086</v>
      </c>
      <c r="L210" s="224" t="str">
        <f t="shared" si="88"/>
        <v>10910006_USD_100000014_PERDAMAN CHEMICALS &amp; FERTILISERS (FINANCE)PTY LTD</v>
      </c>
      <c r="M210" s="221">
        <f t="shared" si="68"/>
        <v>51.31</v>
      </c>
      <c r="N210" s="24" t="str">
        <f>IF(OR(L210=$L$2,L210=$L$3),$M$10+1,IFERROR(VLOOKUP(A210,'Repricing Maturity Adj.'!$A$3:$C$170,3,0),(IF(K210&lt;$M$10,"Check",K210))))</f>
        <v>Non_sensitive</v>
      </c>
      <c r="O210" s="62" t="b">
        <f t="shared" si="69"/>
        <v>1</v>
      </c>
      <c r="P210" s="63" t="str">
        <f t="shared" si="70"/>
        <v>Asset</v>
      </c>
      <c r="Q210" s="25">
        <f t="shared" si="71"/>
        <v>0</v>
      </c>
      <c r="R210" s="25">
        <f t="shared" si="72"/>
        <v>0</v>
      </c>
      <c r="S210" s="25">
        <f t="shared" si="73"/>
        <v>0</v>
      </c>
      <c r="T210" s="25">
        <f t="shared" si="74"/>
        <v>0</v>
      </c>
      <c r="U210" s="25">
        <f t="shared" si="75"/>
        <v>0</v>
      </c>
      <c r="V210" s="25">
        <f t="shared" si="76"/>
        <v>0</v>
      </c>
      <c r="W210" s="25">
        <f t="shared" si="77"/>
        <v>0</v>
      </c>
      <c r="X210" s="64">
        <f t="shared" si="78"/>
        <v>0</v>
      </c>
      <c r="Y210" s="64">
        <f t="shared" si="79"/>
        <v>0</v>
      </c>
      <c r="Z210" s="64">
        <f t="shared" si="80"/>
        <v>0</v>
      </c>
      <c r="AA210" s="64">
        <f t="shared" si="81"/>
        <v>0</v>
      </c>
      <c r="AB210" s="64">
        <f t="shared" si="82"/>
        <v>0</v>
      </c>
      <c r="AC210" s="64">
        <f t="shared" si="83"/>
        <v>0</v>
      </c>
      <c r="AD210" s="64">
        <f t="shared" si="84"/>
        <v>0</v>
      </c>
      <c r="AE210" s="64">
        <f t="shared" si="85"/>
        <v>0</v>
      </c>
      <c r="AF210" s="64">
        <f t="shared" si="86"/>
        <v>0</v>
      </c>
      <c r="AG210" s="29">
        <f t="shared" si="87"/>
        <v>51.31</v>
      </c>
    </row>
    <row r="211" spans="1:33" s="20" customFormat="1">
      <c r="A211" s="265">
        <v>10910006</v>
      </c>
      <c r="B211" s="265" t="s">
        <v>320</v>
      </c>
      <c r="C211" s="265" t="s">
        <v>579</v>
      </c>
      <c r="D211" s="265">
        <v>100000014</v>
      </c>
      <c r="E211" s="265" t="s">
        <v>278</v>
      </c>
      <c r="F211" s="265" t="s">
        <v>301</v>
      </c>
      <c r="G211" s="266">
        <v>198.92</v>
      </c>
      <c r="H211" s="266">
        <v>284.25</v>
      </c>
      <c r="I211" s="268">
        <v>46058</v>
      </c>
      <c r="J211" s="268">
        <v>46086</v>
      </c>
      <c r="K211" s="268">
        <v>46086</v>
      </c>
      <c r="L211" s="224" t="str">
        <f t="shared" si="88"/>
        <v>10910006_USD_100000014_PERDAMAN CHEMICALS &amp; FERTILISERS (FINANCE)PTY LTD</v>
      </c>
      <c r="M211" s="221">
        <f t="shared" si="68"/>
        <v>284.25</v>
      </c>
      <c r="N211" s="24" t="str">
        <f>IF(OR(L211=$L$2,L211=$L$3),$M$10+1,IFERROR(VLOOKUP(A211,'Repricing Maturity Adj.'!$A$3:$C$170,3,0),(IF(K211&lt;$M$10,"Check",K211))))</f>
        <v>Non_sensitive</v>
      </c>
      <c r="O211" s="62" t="b">
        <f t="shared" si="69"/>
        <v>1</v>
      </c>
      <c r="P211" s="63" t="str">
        <f t="shared" si="70"/>
        <v>Asset</v>
      </c>
      <c r="Q211" s="25">
        <f t="shared" si="71"/>
        <v>0</v>
      </c>
      <c r="R211" s="25">
        <f t="shared" si="72"/>
        <v>0</v>
      </c>
      <c r="S211" s="25">
        <f t="shared" si="73"/>
        <v>0</v>
      </c>
      <c r="T211" s="25">
        <f t="shared" si="74"/>
        <v>0</v>
      </c>
      <c r="U211" s="25">
        <f t="shared" si="75"/>
        <v>0</v>
      </c>
      <c r="V211" s="25">
        <f t="shared" si="76"/>
        <v>0</v>
      </c>
      <c r="W211" s="25">
        <f t="shared" si="77"/>
        <v>0</v>
      </c>
      <c r="X211" s="64">
        <f t="shared" si="78"/>
        <v>0</v>
      </c>
      <c r="Y211" s="64">
        <f t="shared" si="79"/>
        <v>0</v>
      </c>
      <c r="Z211" s="64">
        <f t="shared" si="80"/>
        <v>0</v>
      </c>
      <c r="AA211" s="64">
        <f t="shared" si="81"/>
        <v>0</v>
      </c>
      <c r="AB211" s="64">
        <f t="shared" si="82"/>
        <v>0</v>
      </c>
      <c r="AC211" s="64">
        <f t="shared" si="83"/>
        <v>0</v>
      </c>
      <c r="AD211" s="64">
        <f t="shared" si="84"/>
        <v>0</v>
      </c>
      <c r="AE211" s="64">
        <f t="shared" si="85"/>
        <v>0</v>
      </c>
      <c r="AF211" s="64">
        <f t="shared" si="86"/>
        <v>0</v>
      </c>
      <c r="AG211" s="29">
        <f t="shared" si="87"/>
        <v>284.25</v>
      </c>
    </row>
    <row r="212" spans="1:33" s="20" customFormat="1">
      <c r="A212" s="265">
        <v>10910006</v>
      </c>
      <c r="B212" s="265" t="s">
        <v>320</v>
      </c>
      <c r="C212" s="265" t="s">
        <v>572</v>
      </c>
      <c r="D212" s="265">
        <v>100000033</v>
      </c>
      <c r="E212" s="265" t="s">
        <v>573</v>
      </c>
      <c r="F212" s="265" t="s">
        <v>301</v>
      </c>
      <c r="G212" s="266">
        <v>29070.42</v>
      </c>
      <c r="H212" s="266">
        <v>41541.040000000001</v>
      </c>
      <c r="I212" s="268">
        <v>46052</v>
      </c>
      <c r="J212" s="268">
        <v>46079</v>
      </c>
      <c r="K212" s="268">
        <v>46079</v>
      </c>
      <c r="L212" s="224" t="str">
        <f t="shared" si="88"/>
        <v>10910006_USD_100000033_MACQUARIE GROUP LIMITED</v>
      </c>
      <c r="M212" s="221">
        <f t="shared" si="68"/>
        <v>41541.040000000001</v>
      </c>
      <c r="N212" s="24" t="str">
        <f>IF(OR(L212=$L$2,L212=$L$3),$M$10+1,IFERROR(VLOOKUP(A212,'Repricing Maturity Adj.'!$A$3:$C$170,3,0),(IF(K212&lt;$M$10,"Check",K212))))</f>
        <v>Non_sensitive</v>
      </c>
      <c r="O212" s="62" t="b">
        <f t="shared" si="69"/>
        <v>1</v>
      </c>
      <c r="P212" s="63" t="str">
        <f t="shared" si="70"/>
        <v>Asset</v>
      </c>
      <c r="Q212" s="25">
        <f t="shared" si="71"/>
        <v>0</v>
      </c>
      <c r="R212" s="25">
        <f t="shared" si="72"/>
        <v>0</v>
      </c>
      <c r="S212" s="25">
        <f t="shared" si="73"/>
        <v>0</v>
      </c>
      <c r="T212" s="25">
        <f t="shared" si="74"/>
        <v>0</v>
      </c>
      <c r="U212" s="25">
        <f t="shared" si="75"/>
        <v>0</v>
      </c>
      <c r="V212" s="25">
        <f t="shared" si="76"/>
        <v>0</v>
      </c>
      <c r="W212" s="25">
        <f t="shared" si="77"/>
        <v>0</v>
      </c>
      <c r="X212" s="64">
        <f t="shared" si="78"/>
        <v>0</v>
      </c>
      <c r="Y212" s="64">
        <f t="shared" si="79"/>
        <v>0</v>
      </c>
      <c r="Z212" s="64">
        <f t="shared" si="80"/>
        <v>0</v>
      </c>
      <c r="AA212" s="64">
        <f t="shared" si="81"/>
        <v>0</v>
      </c>
      <c r="AB212" s="64">
        <f t="shared" si="82"/>
        <v>0</v>
      </c>
      <c r="AC212" s="64">
        <f t="shared" si="83"/>
        <v>0</v>
      </c>
      <c r="AD212" s="64">
        <f t="shared" si="84"/>
        <v>0</v>
      </c>
      <c r="AE212" s="64">
        <f t="shared" si="85"/>
        <v>0</v>
      </c>
      <c r="AF212" s="64">
        <f t="shared" si="86"/>
        <v>0</v>
      </c>
      <c r="AG212" s="29">
        <f t="shared" si="87"/>
        <v>41541.040000000001</v>
      </c>
    </row>
    <row r="213" spans="1:33" s="20" customFormat="1">
      <c r="A213" s="265">
        <v>10910006</v>
      </c>
      <c r="B213" s="265" t="s">
        <v>320</v>
      </c>
      <c r="C213" s="265" t="s">
        <v>595</v>
      </c>
      <c r="D213" s="265">
        <v>100000014</v>
      </c>
      <c r="E213" s="265" t="s">
        <v>278</v>
      </c>
      <c r="F213" s="265" t="s">
        <v>301</v>
      </c>
      <c r="G213" s="266">
        <v>33.75</v>
      </c>
      <c r="H213" s="266">
        <v>48.23</v>
      </c>
      <c r="I213" s="268">
        <v>46058</v>
      </c>
      <c r="J213" s="268">
        <v>46086</v>
      </c>
      <c r="K213" s="268">
        <v>46086</v>
      </c>
      <c r="L213" s="224" t="str">
        <f t="shared" si="88"/>
        <v>10910006_USD_100000014_PERDAMAN CHEMICALS &amp; FERTILISERS (FINANCE)PTY LTD</v>
      </c>
      <c r="M213" s="221">
        <f t="shared" si="68"/>
        <v>48.23</v>
      </c>
      <c r="N213" s="24" t="str">
        <f>IF(OR(L213=$L$2,L213=$L$3),$M$10+1,IFERROR(VLOOKUP(A213,'Repricing Maturity Adj.'!$A$3:$C$170,3,0),(IF(K213&lt;$M$10,"Check",K213))))</f>
        <v>Non_sensitive</v>
      </c>
      <c r="O213" s="62" t="b">
        <f t="shared" si="69"/>
        <v>1</v>
      </c>
      <c r="P213" s="63" t="str">
        <f t="shared" si="70"/>
        <v>Asset</v>
      </c>
      <c r="Q213" s="25">
        <f t="shared" si="71"/>
        <v>0</v>
      </c>
      <c r="R213" s="25">
        <f t="shared" si="72"/>
        <v>0</v>
      </c>
      <c r="S213" s="25">
        <f t="shared" si="73"/>
        <v>0</v>
      </c>
      <c r="T213" s="25">
        <f t="shared" si="74"/>
        <v>0</v>
      </c>
      <c r="U213" s="25">
        <f t="shared" si="75"/>
        <v>0</v>
      </c>
      <c r="V213" s="25">
        <f t="shared" si="76"/>
        <v>0</v>
      </c>
      <c r="W213" s="25">
        <f t="shared" si="77"/>
        <v>0</v>
      </c>
      <c r="X213" s="64">
        <f t="shared" si="78"/>
        <v>0</v>
      </c>
      <c r="Y213" s="64">
        <f t="shared" si="79"/>
        <v>0</v>
      </c>
      <c r="Z213" s="64">
        <f t="shared" si="80"/>
        <v>0</v>
      </c>
      <c r="AA213" s="64">
        <f t="shared" si="81"/>
        <v>0</v>
      </c>
      <c r="AB213" s="64">
        <f t="shared" si="82"/>
        <v>0</v>
      </c>
      <c r="AC213" s="64">
        <f t="shared" si="83"/>
        <v>0</v>
      </c>
      <c r="AD213" s="64">
        <f t="shared" si="84"/>
        <v>0</v>
      </c>
      <c r="AE213" s="64">
        <f t="shared" si="85"/>
        <v>0</v>
      </c>
      <c r="AF213" s="64">
        <f t="shared" si="86"/>
        <v>0</v>
      </c>
      <c r="AG213" s="29">
        <f t="shared" si="87"/>
        <v>48.23</v>
      </c>
    </row>
    <row r="214" spans="1:33" s="20" customFormat="1">
      <c r="A214" s="265">
        <v>10910006</v>
      </c>
      <c r="B214" s="265" t="s">
        <v>320</v>
      </c>
      <c r="C214" s="265" t="s">
        <v>596</v>
      </c>
      <c r="D214" s="265">
        <v>100000014</v>
      </c>
      <c r="E214" s="265" t="s">
        <v>278</v>
      </c>
      <c r="F214" s="265" t="s">
        <v>301</v>
      </c>
      <c r="G214" s="266">
        <v>32.700000000000003</v>
      </c>
      <c r="H214" s="266">
        <v>46.73</v>
      </c>
      <c r="I214" s="268">
        <v>46058</v>
      </c>
      <c r="J214" s="268">
        <v>46086</v>
      </c>
      <c r="K214" s="268">
        <v>46086</v>
      </c>
      <c r="L214" s="224" t="str">
        <f t="shared" si="88"/>
        <v>10910006_USD_100000014_PERDAMAN CHEMICALS &amp; FERTILISERS (FINANCE)PTY LTD</v>
      </c>
      <c r="M214" s="221">
        <f t="shared" si="68"/>
        <v>46.73</v>
      </c>
      <c r="N214" s="24" t="str">
        <f>IF(OR(L214=$L$2,L214=$L$3),$M$10+1,IFERROR(VLOOKUP(A214,'Repricing Maturity Adj.'!$A$3:$C$170,3,0),(IF(K214&lt;$M$10,"Check",K214))))</f>
        <v>Non_sensitive</v>
      </c>
      <c r="O214" s="62" t="b">
        <f t="shared" si="69"/>
        <v>1</v>
      </c>
      <c r="P214" s="63" t="str">
        <f t="shared" si="70"/>
        <v>Asset</v>
      </c>
      <c r="Q214" s="25">
        <f t="shared" si="71"/>
        <v>0</v>
      </c>
      <c r="R214" s="25">
        <f t="shared" si="72"/>
        <v>0</v>
      </c>
      <c r="S214" s="25">
        <f t="shared" si="73"/>
        <v>0</v>
      </c>
      <c r="T214" s="25">
        <f t="shared" si="74"/>
        <v>0</v>
      </c>
      <c r="U214" s="25">
        <f t="shared" si="75"/>
        <v>0</v>
      </c>
      <c r="V214" s="25">
        <f t="shared" si="76"/>
        <v>0</v>
      </c>
      <c r="W214" s="25">
        <f t="shared" si="77"/>
        <v>0</v>
      </c>
      <c r="X214" s="64">
        <f t="shared" si="78"/>
        <v>0</v>
      </c>
      <c r="Y214" s="64">
        <f t="shared" si="79"/>
        <v>0</v>
      </c>
      <c r="Z214" s="64">
        <f t="shared" si="80"/>
        <v>0</v>
      </c>
      <c r="AA214" s="64">
        <f t="shared" si="81"/>
        <v>0</v>
      </c>
      <c r="AB214" s="64">
        <f t="shared" si="82"/>
        <v>0</v>
      </c>
      <c r="AC214" s="64">
        <f t="shared" si="83"/>
        <v>0</v>
      </c>
      <c r="AD214" s="64">
        <f t="shared" si="84"/>
        <v>0</v>
      </c>
      <c r="AE214" s="64">
        <f t="shared" si="85"/>
        <v>0</v>
      </c>
      <c r="AF214" s="64">
        <f t="shared" si="86"/>
        <v>0</v>
      </c>
      <c r="AG214" s="29">
        <f t="shared" si="87"/>
        <v>46.73</v>
      </c>
    </row>
    <row r="215" spans="1:33" s="20" customFormat="1">
      <c r="A215" s="265">
        <v>10910006</v>
      </c>
      <c r="B215" s="265" t="s">
        <v>320</v>
      </c>
      <c r="C215" s="265" t="s">
        <v>597</v>
      </c>
      <c r="D215" s="265">
        <v>100000014</v>
      </c>
      <c r="E215" s="265" t="s">
        <v>278</v>
      </c>
      <c r="F215" s="265" t="s">
        <v>301</v>
      </c>
      <c r="G215" s="266">
        <v>56.83</v>
      </c>
      <c r="H215" s="266">
        <v>81.209999999999994</v>
      </c>
      <c r="I215" s="268">
        <v>46058</v>
      </c>
      <c r="J215" s="268">
        <v>46086</v>
      </c>
      <c r="K215" s="268">
        <v>46086</v>
      </c>
      <c r="L215" s="224" t="str">
        <f t="shared" si="88"/>
        <v>10910006_USD_100000014_PERDAMAN CHEMICALS &amp; FERTILISERS (FINANCE)PTY LTD</v>
      </c>
      <c r="M215" s="221">
        <f t="shared" si="68"/>
        <v>81.209999999999994</v>
      </c>
      <c r="N215" s="24" t="str">
        <f>IF(OR(L215=$L$2,L215=$L$3),$M$10+1,IFERROR(VLOOKUP(A215,'Repricing Maturity Adj.'!$A$3:$C$170,3,0),(IF(K215&lt;$M$10,"Check",K215))))</f>
        <v>Non_sensitive</v>
      </c>
      <c r="O215" s="62" t="b">
        <f t="shared" si="69"/>
        <v>1</v>
      </c>
      <c r="P215" s="63" t="str">
        <f t="shared" si="70"/>
        <v>Asset</v>
      </c>
      <c r="Q215" s="25">
        <f t="shared" si="71"/>
        <v>0</v>
      </c>
      <c r="R215" s="25">
        <f t="shared" si="72"/>
        <v>0</v>
      </c>
      <c r="S215" s="25">
        <f t="shared" si="73"/>
        <v>0</v>
      </c>
      <c r="T215" s="25">
        <f t="shared" si="74"/>
        <v>0</v>
      </c>
      <c r="U215" s="25">
        <f t="shared" si="75"/>
        <v>0</v>
      </c>
      <c r="V215" s="25">
        <f t="shared" si="76"/>
        <v>0</v>
      </c>
      <c r="W215" s="25">
        <f t="shared" si="77"/>
        <v>0</v>
      </c>
      <c r="X215" s="64">
        <f t="shared" si="78"/>
        <v>0</v>
      </c>
      <c r="Y215" s="64">
        <f t="shared" si="79"/>
        <v>0</v>
      </c>
      <c r="Z215" s="64">
        <f t="shared" si="80"/>
        <v>0</v>
      </c>
      <c r="AA215" s="64">
        <f t="shared" si="81"/>
        <v>0</v>
      </c>
      <c r="AB215" s="64">
        <f t="shared" si="82"/>
        <v>0</v>
      </c>
      <c r="AC215" s="64">
        <f t="shared" si="83"/>
        <v>0</v>
      </c>
      <c r="AD215" s="64">
        <f t="shared" si="84"/>
        <v>0</v>
      </c>
      <c r="AE215" s="64">
        <f t="shared" si="85"/>
        <v>0</v>
      </c>
      <c r="AF215" s="64">
        <f t="shared" si="86"/>
        <v>0</v>
      </c>
      <c r="AG215" s="29">
        <f t="shared" si="87"/>
        <v>81.209999999999994</v>
      </c>
    </row>
    <row r="216" spans="1:33" s="20" customFormat="1">
      <c r="A216" s="265">
        <v>10910006</v>
      </c>
      <c r="B216" s="265" t="s">
        <v>320</v>
      </c>
      <c r="C216" s="265" t="s">
        <v>593</v>
      </c>
      <c r="D216" s="265">
        <v>100000035</v>
      </c>
      <c r="E216" s="265" t="s">
        <v>594</v>
      </c>
      <c r="F216" s="265" t="s">
        <v>0</v>
      </c>
      <c r="G216" s="266">
        <v>194764.93</v>
      </c>
      <c r="H216" s="266">
        <v>194764.93</v>
      </c>
      <c r="I216" s="268">
        <v>45994</v>
      </c>
      <c r="J216" s="268">
        <v>46084</v>
      </c>
      <c r="K216" s="268">
        <v>46084</v>
      </c>
      <c r="L216" s="224" t="str">
        <f t="shared" si="88"/>
        <v>10910006_AUD_100000035_NEXTDC LIMITED</v>
      </c>
      <c r="M216" s="221">
        <f t="shared" si="68"/>
        <v>194764.93</v>
      </c>
      <c r="N216" s="24" t="str">
        <f>IF(OR(L216=$L$2,L216=$L$3),$M$10+1,IFERROR(VLOOKUP(A216,'Repricing Maturity Adj.'!$A$3:$C$170,3,0),(IF(K216&lt;$M$10,"Check",K216))))</f>
        <v>Non_sensitive</v>
      </c>
      <c r="O216" s="62" t="b">
        <f t="shared" si="69"/>
        <v>1</v>
      </c>
      <c r="P216" s="63" t="str">
        <f t="shared" si="70"/>
        <v>Asset</v>
      </c>
      <c r="Q216" s="25">
        <f t="shared" si="71"/>
        <v>0</v>
      </c>
      <c r="R216" s="25">
        <f t="shared" si="72"/>
        <v>0</v>
      </c>
      <c r="S216" s="25">
        <f t="shared" si="73"/>
        <v>0</v>
      </c>
      <c r="T216" s="25">
        <f t="shared" si="74"/>
        <v>0</v>
      </c>
      <c r="U216" s="25">
        <f t="shared" si="75"/>
        <v>0</v>
      </c>
      <c r="V216" s="25">
        <f t="shared" si="76"/>
        <v>0</v>
      </c>
      <c r="W216" s="25">
        <f t="shared" si="77"/>
        <v>0</v>
      </c>
      <c r="X216" s="64">
        <f t="shared" si="78"/>
        <v>0</v>
      </c>
      <c r="Y216" s="64">
        <f t="shared" si="79"/>
        <v>0</v>
      </c>
      <c r="Z216" s="64">
        <f t="shared" si="80"/>
        <v>0</v>
      </c>
      <c r="AA216" s="64">
        <f t="shared" si="81"/>
        <v>0</v>
      </c>
      <c r="AB216" s="64">
        <f t="shared" si="82"/>
        <v>0</v>
      </c>
      <c r="AC216" s="64">
        <f t="shared" si="83"/>
        <v>0</v>
      </c>
      <c r="AD216" s="64">
        <f t="shared" si="84"/>
        <v>0</v>
      </c>
      <c r="AE216" s="64">
        <f t="shared" si="85"/>
        <v>0</v>
      </c>
      <c r="AF216" s="64">
        <f t="shared" si="86"/>
        <v>0</v>
      </c>
      <c r="AG216" s="29">
        <f t="shared" si="87"/>
        <v>194764.93</v>
      </c>
    </row>
    <row r="217" spans="1:33" s="20" customFormat="1">
      <c r="A217" s="265">
        <v>10910006</v>
      </c>
      <c r="B217" s="265" t="s">
        <v>320</v>
      </c>
      <c r="C217" s="265" t="s">
        <v>598</v>
      </c>
      <c r="D217" s="265">
        <v>100000014</v>
      </c>
      <c r="E217" s="265" t="s">
        <v>278</v>
      </c>
      <c r="F217" s="265" t="s">
        <v>301</v>
      </c>
      <c r="G217" s="266">
        <v>32.200000000000003</v>
      </c>
      <c r="H217" s="266">
        <v>46.01</v>
      </c>
      <c r="I217" s="268">
        <v>46058</v>
      </c>
      <c r="J217" s="268">
        <v>46086</v>
      </c>
      <c r="K217" s="268">
        <v>46086</v>
      </c>
      <c r="L217" s="224" t="str">
        <f t="shared" si="88"/>
        <v>10910006_USD_100000014_PERDAMAN CHEMICALS &amp; FERTILISERS (FINANCE)PTY LTD</v>
      </c>
      <c r="M217" s="221">
        <f t="shared" si="68"/>
        <v>46.01</v>
      </c>
      <c r="N217" s="24" t="str">
        <f>IF(OR(L217=$L$2,L217=$L$3),$M$10+1,IFERROR(VLOOKUP(A217,'Repricing Maturity Adj.'!$A$3:$C$170,3,0),(IF(K217&lt;$M$10,"Check",K217))))</f>
        <v>Non_sensitive</v>
      </c>
      <c r="O217" s="62" t="b">
        <f t="shared" si="69"/>
        <v>1</v>
      </c>
      <c r="P217" s="63" t="str">
        <f t="shared" si="70"/>
        <v>Asset</v>
      </c>
      <c r="Q217" s="25">
        <f t="shared" si="71"/>
        <v>0</v>
      </c>
      <c r="R217" s="25">
        <f t="shared" si="72"/>
        <v>0</v>
      </c>
      <c r="S217" s="25">
        <f t="shared" si="73"/>
        <v>0</v>
      </c>
      <c r="T217" s="25">
        <f t="shared" si="74"/>
        <v>0</v>
      </c>
      <c r="U217" s="25">
        <f t="shared" si="75"/>
        <v>0</v>
      </c>
      <c r="V217" s="25">
        <f t="shared" si="76"/>
        <v>0</v>
      </c>
      <c r="W217" s="25">
        <f t="shared" si="77"/>
        <v>0</v>
      </c>
      <c r="X217" s="64">
        <f t="shared" si="78"/>
        <v>0</v>
      </c>
      <c r="Y217" s="64">
        <f t="shared" si="79"/>
        <v>0</v>
      </c>
      <c r="Z217" s="64">
        <f t="shared" si="80"/>
        <v>0</v>
      </c>
      <c r="AA217" s="64">
        <f t="shared" si="81"/>
        <v>0</v>
      </c>
      <c r="AB217" s="64">
        <f t="shared" si="82"/>
        <v>0</v>
      </c>
      <c r="AC217" s="64">
        <f t="shared" si="83"/>
        <v>0</v>
      </c>
      <c r="AD217" s="64">
        <f t="shared" si="84"/>
        <v>0</v>
      </c>
      <c r="AE217" s="64">
        <f t="shared" si="85"/>
        <v>0</v>
      </c>
      <c r="AF217" s="64">
        <f t="shared" si="86"/>
        <v>0</v>
      </c>
      <c r="AG217" s="29">
        <f t="shared" si="87"/>
        <v>46.01</v>
      </c>
    </row>
    <row r="218" spans="1:33" s="20" customFormat="1">
      <c r="A218" s="265">
        <v>10910006</v>
      </c>
      <c r="B218" s="265" t="s">
        <v>320</v>
      </c>
      <c r="C218" s="265" t="s">
        <v>599</v>
      </c>
      <c r="D218" s="265">
        <v>100000014</v>
      </c>
      <c r="E218" s="265" t="s">
        <v>278</v>
      </c>
      <c r="F218" s="265" t="s">
        <v>301</v>
      </c>
      <c r="G218" s="266">
        <v>182.68</v>
      </c>
      <c r="H218" s="266">
        <v>261.05</v>
      </c>
      <c r="I218" s="268">
        <v>46058</v>
      </c>
      <c r="J218" s="268">
        <v>46086</v>
      </c>
      <c r="K218" s="268">
        <v>46086</v>
      </c>
      <c r="L218" s="224" t="str">
        <f t="shared" si="88"/>
        <v>10910006_USD_100000014_PERDAMAN CHEMICALS &amp; FERTILISERS (FINANCE)PTY LTD</v>
      </c>
      <c r="M218" s="221">
        <f t="shared" si="68"/>
        <v>261.05</v>
      </c>
      <c r="N218" s="24" t="str">
        <f>IF(OR(L218=$L$2,L218=$L$3),$M$10+1,IFERROR(VLOOKUP(A218,'Repricing Maturity Adj.'!$A$3:$C$170,3,0),(IF(K218&lt;$M$10,"Check",K218))))</f>
        <v>Non_sensitive</v>
      </c>
      <c r="O218" s="62" t="b">
        <f t="shared" si="69"/>
        <v>1</v>
      </c>
      <c r="P218" s="63" t="str">
        <f t="shared" si="70"/>
        <v>Asset</v>
      </c>
      <c r="Q218" s="25">
        <f t="shared" si="71"/>
        <v>0</v>
      </c>
      <c r="R218" s="25">
        <f t="shared" si="72"/>
        <v>0</v>
      </c>
      <c r="S218" s="25">
        <f t="shared" si="73"/>
        <v>0</v>
      </c>
      <c r="T218" s="25">
        <f t="shared" si="74"/>
        <v>0</v>
      </c>
      <c r="U218" s="25">
        <f t="shared" si="75"/>
        <v>0</v>
      </c>
      <c r="V218" s="25">
        <f t="shared" si="76"/>
        <v>0</v>
      </c>
      <c r="W218" s="25">
        <f t="shared" si="77"/>
        <v>0</v>
      </c>
      <c r="X218" s="64">
        <f t="shared" si="78"/>
        <v>0</v>
      </c>
      <c r="Y218" s="64">
        <f t="shared" si="79"/>
        <v>0</v>
      </c>
      <c r="Z218" s="64">
        <f t="shared" si="80"/>
        <v>0</v>
      </c>
      <c r="AA218" s="64">
        <f t="shared" si="81"/>
        <v>0</v>
      </c>
      <c r="AB218" s="64">
        <f t="shared" si="82"/>
        <v>0</v>
      </c>
      <c r="AC218" s="64">
        <f t="shared" si="83"/>
        <v>0</v>
      </c>
      <c r="AD218" s="64">
        <f t="shared" si="84"/>
        <v>0</v>
      </c>
      <c r="AE218" s="64">
        <f t="shared" si="85"/>
        <v>0</v>
      </c>
      <c r="AF218" s="64">
        <f t="shared" si="86"/>
        <v>0</v>
      </c>
      <c r="AG218" s="29">
        <f t="shared" si="87"/>
        <v>261.05</v>
      </c>
    </row>
    <row r="219" spans="1:33" s="20" customFormat="1">
      <c r="A219" s="265">
        <v>10910006</v>
      </c>
      <c r="B219" s="265" t="s">
        <v>320</v>
      </c>
      <c r="C219" s="265" t="s">
        <v>611</v>
      </c>
      <c r="D219" s="265">
        <v>100000014</v>
      </c>
      <c r="E219" s="265" t="s">
        <v>278</v>
      </c>
      <c r="F219" s="265" t="s">
        <v>301</v>
      </c>
      <c r="G219" s="266">
        <v>35.950000000000003</v>
      </c>
      <c r="H219" s="266">
        <v>51.37</v>
      </c>
      <c r="I219" s="268">
        <v>46058</v>
      </c>
      <c r="J219" s="268">
        <v>46086</v>
      </c>
      <c r="K219" s="268">
        <v>46086</v>
      </c>
      <c r="L219" s="224" t="str">
        <f t="shared" si="88"/>
        <v>10910006_USD_100000014_PERDAMAN CHEMICALS &amp; FERTILISERS (FINANCE)PTY LTD</v>
      </c>
      <c r="M219" s="221">
        <f t="shared" si="68"/>
        <v>51.37</v>
      </c>
      <c r="N219" s="24" t="str">
        <f>IF(OR(L219=$L$2,L219=$L$3),$M$10+1,IFERROR(VLOOKUP(A219,'Repricing Maturity Adj.'!$A$3:$C$170,3,0),(IF(K219&lt;$M$10,"Check",K219))))</f>
        <v>Non_sensitive</v>
      </c>
      <c r="O219" s="62" t="b">
        <f t="shared" si="69"/>
        <v>1</v>
      </c>
      <c r="P219" s="63" t="str">
        <f t="shared" si="70"/>
        <v>Asset</v>
      </c>
      <c r="Q219" s="25">
        <f t="shared" si="71"/>
        <v>0</v>
      </c>
      <c r="R219" s="25">
        <f t="shared" si="72"/>
        <v>0</v>
      </c>
      <c r="S219" s="25">
        <f t="shared" si="73"/>
        <v>0</v>
      </c>
      <c r="T219" s="25">
        <f t="shared" si="74"/>
        <v>0</v>
      </c>
      <c r="U219" s="25">
        <f t="shared" si="75"/>
        <v>0</v>
      </c>
      <c r="V219" s="25">
        <f t="shared" si="76"/>
        <v>0</v>
      </c>
      <c r="W219" s="25">
        <f t="shared" si="77"/>
        <v>0</v>
      </c>
      <c r="X219" s="64">
        <f t="shared" si="78"/>
        <v>0</v>
      </c>
      <c r="Y219" s="64">
        <f t="shared" si="79"/>
        <v>0</v>
      </c>
      <c r="Z219" s="64">
        <f t="shared" si="80"/>
        <v>0</v>
      </c>
      <c r="AA219" s="64">
        <f t="shared" si="81"/>
        <v>0</v>
      </c>
      <c r="AB219" s="64">
        <f t="shared" si="82"/>
        <v>0</v>
      </c>
      <c r="AC219" s="64">
        <f t="shared" si="83"/>
        <v>0</v>
      </c>
      <c r="AD219" s="64">
        <f t="shared" si="84"/>
        <v>0</v>
      </c>
      <c r="AE219" s="64">
        <f t="shared" si="85"/>
        <v>0</v>
      </c>
      <c r="AF219" s="64">
        <f t="shared" si="86"/>
        <v>0</v>
      </c>
      <c r="AG219" s="29">
        <f t="shared" si="87"/>
        <v>51.37</v>
      </c>
    </row>
    <row r="220" spans="1:33" s="20" customFormat="1">
      <c r="A220" s="265">
        <v>10910006</v>
      </c>
      <c r="B220" s="265" t="s">
        <v>320</v>
      </c>
      <c r="C220" s="265" t="s">
        <v>612</v>
      </c>
      <c r="D220" s="265">
        <v>100000014</v>
      </c>
      <c r="E220" s="265" t="s">
        <v>278</v>
      </c>
      <c r="F220" s="265" t="s">
        <v>301</v>
      </c>
      <c r="G220" s="266">
        <v>158.32</v>
      </c>
      <c r="H220" s="266">
        <v>226.24</v>
      </c>
      <c r="I220" s="268">
        <v>46058</v>
      </c>
      <c r="J220" s="268">
        <v>46086</v>
      </c>
      <c r="K220" s="268">
        <v>46086</v>
      </c>
      <c r="L220" s="224" t="str">
        <f t="shared" si="88"/>
        <v>10910006_USD_100000014_PERDAMAN CHEMICALS &amp; FERTILISERS (FINANCE)PTY LTD</v>
      </c>
      <c r="M220" s="221">
        <f t="shared" si="68"/>
        <v>226.24</v>
      </c>
      <c r="N220" s="24" t="str">
        <f>IF(OR(L220=$L$2,L220=$L$3),$M$10+1,IFERROR(VLOOKUP(A220,'Repricing Maturity Adj.'!$A$3:$C$170,3,0),(IF(K220&lt;$M$10,"Check",K220))))</f>
        <v>Non_sensitive</v>
      </c>
      <c r="O220" s="62" t="b">
        <f t="shared" si="69"/>
        <v>1</v>
      </c>
      <c r="P220" s="63" t="str">
        <f t="shared" si="70"/>
        <v>Asset</v>
      </c>
      <c r="Q220" s="25">
        <f t="shared" si="71"/>
        <v>0</v>
      </c>
      <c r="R220" s="25">
        <f t="shared" si="72"/>
        <v>0</v>
      </c>
      <c r="S220" s="25">
        <f t="shared" si="73"/>
        <v>0</v>
      </c>
      <c r="T220" s="25">
        <f t="shared" si="74"/>
        <v>0</v>
      </c>
      <c r="U220" s="25">
        <f t="shared" si="75"/>
        <v>0</v>
      </c>
      <c r="V220" s="25">
        <f t="shared" si="76"/>
        <v>0</v>
      </c>
      <c r="W220" s="25">
        <f t="shared" si="77"/>
        <v>0</v>
      </c>
      <c r="X220" s="64">
        <f t="shared" si="78"/>
        <v>0</v>
      </c>
      <c r="Y220" s="64">
        <f t="shared" si="79"/>
        <v>0</v>
      </c>
      <c r="Z220" s="64">
        <f t="shared" si="80"/>
        <v>0</v>
      </c>
      <c r="AA220" s="64">
        <f t="shared" si="81"/>
        <v>0</v>
      </c>
      <c r="AB220" s="64">
        <f t="shared" si="82"/>
        <v>0</v>
      </c>
      <c r="AC220" s="64">
        <f t="shared" si="83"/>
        <v>0</v>
      </c>
      <c r="AD220" s="64">
        <f t="shared" si="84"/>
        <v>0</v>
      </c>
      <c r="AE220" s="64">
        <f t="shared" si="85"/>
        <v>0</v>
      </c>
      <c r="AF220" s="64">
        <f t="shared" si="86"/>
        <v>0</v>
      </c>
      <c r="AG220" s="29">
        <f t="shared" si="87"/>
        <v>226.24</v>
      </c>
    </row>
    <row r="221" spans="1:33" s="20" customFormat="1">
      <c r="A221" s="265">
        <v>10910006</v>
      </c>
      <c r="B221" s="265" t="s">
        <v>320</v>
      </c>
      <c r="C221" s="265" t="s">
        <v>613</v>
      </c>
      <c r="D221" s="265">
        <v>100000014</v>
      </c>
      <c r="E221" s="265" t="s">
        <v>278</v>
      </c>
      <c r="F221" s="265" t="s">
        <v>301</v>
      </c>
      <c r="G221" s="266">
        <v>36.6</v>
      </c>
      <c r="H221" s="266">
        <v>52.3</v>
      </c>
      <c r="I221" s="268">
        <v>46058</v>
      </c>
      <c r="J221" s="268">
        <v>46086</v>
      </c>
      <c r="K221" s="268">
        <v>46086</v>
      </c>
      <c r="L221" s="224" t="str">
        <f t="shared" si="88"/>
        <v>10910006_USD_100000014_PERDAMAN CHEMICALS &amp; FERTILISERS (FINANCE)PTY LTD</v>
      </c>
      <c r="M221" s="221">
        <f t="shared" si="68"/>
        <v>52.3</v>
      </c>
      <c r="N221" s="24" t="str">
        <f>IF(OR(L221=$L$2,L221=$L$3),$M$10+1,IFERROR(VLOOKUP(A221,'Repricing Maturity Adj.'!$A$3:$C$170,3,0),(IF(K221&lt;$M$10,"Check",K221))))</f>
        <v>Non_sensitive</v>
      </c>
      <c r="O221" s="62" t="b">
        <f t="shared" si="69"/>
        <v>1</v>
      </c>
      <c r="P221" s="63" t="str">
        <f t="shared" si="70"/>
        <v>Asset</v>
      </c>
      <c r="Q221" s="25">
        <f t="shared" si="71"/>
        <v>0</v>
      </c>
      <c r="R221" s="25">
        <f t="shared" si="72"/>
        <v>0</v>
      </c>
      <c r="S221" s="25">
        <f t="shared" si="73"/>
        <v>0</v>
      </c>
      <c r="T221" s="25">
        <f t="shared" si="74"/>
        <v>0</v>
      </c>
      <c r="U221" s="25">
        <f t="shared" si="75"/>
        <v>0</v>
      </c>
      <c r="V221" s="25">
        <f t="shared" si="76"/>
        <v>0</v>
      </c>
      <c r="W221" s="25">
        <f t="shared" si="77"/>
        <v>0</v>
      </c>
      <c r="X221" s="64">
        <f t="shared" si="78"/>
        <v>0</v>
      </c>
      <c r="Y221" s="64">
        <f t="shared" si="79"/>
        <v>0</v>
      </c>
      <c r="Z221" s="64">
        <f t="shared" si="80"/>
        <v>0</v>
      </c>
      <c r="AA221" s="64">
        <f t="shared" si="81"/>
        <v>0</v>
      </c>
      <c r="AB221" s="64">
        <f t="shared" si="82"/>
        <v>0</v>
      </c>
      <c r="AC221" s="64">
        <f t="shared" si="83"/>
        <v>0</v>
      </c>
      <c r="AD221" s="64">
        <f t="shared" si="84"/>
        <v>0</v>
      </c>
      <c r="AE221" s="64">
        <f t="shared" si="85"/>
        <v>0</v>
      </c>
      <c r="AF221" s="64">
        <f t="shared" si="86"/>
        <v>0</v>
      </c>
      <c r="AG221" s="29">
        <f t="shared" si="87"/>
        <v>52.3</v>
      </c>
    </row>
    <row r="222" spans="1:33" s="20" customFormat="1">
      <c r="A222" s="265">
        <v>10910006</v>
      </c>
      <c r="B222" s="265" t="s">
        <v>320</v>
      </c>
      <c r="C222" s="265" t="s">
        <v>614</v>
      </c>
      <c r="D222" s="265">
        <v>100000014</v>
      </c>
      <c r="E222" s="265" t="s">
        <v>278</v>
      </c>
      <c r="F222" s="265" t="s">
        <v>301</v>
      </c>
      <c r="G222" s="266">
        <v>304.47000000000003</v>
      </c>
      <c r="H222" s="266">
        <v>435.08</v>
      </c>
      <c r="I222" s="268">
        <v>46058</v>
      </c>
      <c r="J222" s="268">
        <v>46086</v>
      </c>
      <c r="K222" s="268">
        <v>46086</v>
      </c>
      <c r="L222" s="224" t="str">
        <f t="shared" si="88"/>
        <v>10910006_USD_100000014_PERDAMAN CHEMICALS &amp; FERTILISERS (FINANCE)PTY LTD</v>
      </c>
      <c r="M222" s="221">
        <f t="shared" si="68"/>
        <v>435.08</v>
      </c>
      <c r="N222" s="24" t="str">
        <f>IF(OR(L222=$L$2,L222=$L$3),$M$10+1,IFERROR(VLOOKUP(A222,'Repricing Maturity Adj.'!$A$3:$C$170,3,0),(IF(K222&lt;$M$10,"Check",K222))))</f>
        <v>Non_sensitive</v>
      </c>
      <c r="O222" s="62" t="b">
        <f t="shared" si="69"/>
        <v>1</v>
      </c>
      <c r="P222" s="63" t="str">
        <f t="shared" si="70"/>
        <v>Asset</v>
      </c>
      <c r="Q222" s="25">
        <f t="shared" si="71"/>
        <v>0</v>
      </c>
      <c r="R222" s="25">
        <f t="shared" si="72"/>
        <v>0</v>
      </c>
      <c r="S222" s="25">
        <f t="shared" si="73"/>
        <v>0</v>
      </c>
      <c r="T222" s="25">
        <f t="shared" si="74"/>
        <v>0</v>
      </c>
      <c r="U222" s="25">
        <f t="shared" si="75"/>
        <v>0</v>
      </c>
      <c r="V222" s="25">
        <f t="shared" si="76"/>
        <v>0</v>
      </c>
      <c r="W222" s="25">
        <f t="shared" si="77"/>
        <v>0</v>
      </c>
      <c r="X222" s="64">
        <f t="shared" si="78"/>
        <v>0</v>
      </c>
      <c r="Y222" s="64">
        <f t="shared" si="79"/>
        <v>0</v>
      </c>
      <c r="Z222" s="64">
        <f t="shared" si="80"/>
        <v>0</v>
      </c>
      <c r="AA222" s="64">
        <f t="shared" si="81"/>
        <v>0</v>
      </c>
      <c r="AB222" s="64">
        <f t="shared" si="82"/>
        <v>0</v>
      </c>
      <c r="AC222" s="64">
        <f t="shared" si="83"/>
        <v>0</v>
      </c>
      <c r="AD222" s="64">
        <f t="shared" si="84"/>
        <v>0</v>
      </c>
      <c r="AE222" s="64">
        <f t="shared" si="85"/>
        <v>0</v>
      </c>
      <c r="AF222" s="64">
        <f t="shared" si="86"/>
        <v>0</v>
      </c>
      <c r="AG222" s="29">
        <f t="shared" si="87"/>
        <v>435.08</v>
      </c>
    </row>
    <row r="223" spans="1:33" s="20" customFormat="1">
      <c r="A223" s="265">
        <v>10910006</v>
      </c>
      <c r="B223" s="265" t="s">
        <v>320</v>
      </c>
      <c r="C223" s="265" t="s">
        <v>615</v>
      </c>
      <c r="D223" s="265">
        <v>100000014</v>
      </c>
      <c r="E223" s="265" t="s">
        <v>278</v>
      </c>
      <c r="F223" s="265" t="s">
        <v>301</v>
      </c>
      <c r="G223" s="266">
        <v>34.31</v>
      </c>
      <c r="H223" s="266">
        <v>49.03</v>
      </c>
      <c r="I223" s="268">
        <v>46058</v>
      </c>
      <c r="J223" s="268">
        <v>46086</v>
      </c>
      <c r="K223" s="268">
        <v>46086</v>
      </c>
      <c r="L223" s="224" t="str">
        <f t="shared" si="88"/>
        <v>10910006_USD_100000014_PERDAMAN CHEMICALS &amp; FERTILISERS (FINANCE)PTY LTD</v>
      </c>
      <c r="M223" s="221">
        <f t="shared" si="68"/>
        <v>49.03</v>
      </c>
      <c r="N223" s="24" t="str">
        <f>IF(OR(L223=$L$2,L223=$L$3),$M$10+1,IFERROR(VLOOKUP(A223,'Repricing Maturity Adj.'!$A$3:$C$170,3,0),(IF(K223&lt;$M$10,"Check",K223))))</f>
        <v>Non_sensitive</v>
      </c>
      <c r="O223" s="62" t="b">
        <f t="shared" si="69"/>
        <v>1</v>
      </c>
      <c r="P223" s="63" t="str">
        <f t="shared" si="70"/>
        <v>Asset</v>
      </c>
      <c r="Q223" s="25">
        <f t="shared" si="71"/>
        <v>0</v>
      </c>
      <c r="R223" s="25">
        <f t="shared" si="72"/>
        <v>0</v>
      </c>
      <c r="S223" s="25">
        <f t="shared" si="73"/>
        <v>0</v>
      </c>
      <c r="T223" s="25">
        <f t="shared" si="74"/>
        <v>0</v>
      </c>
      <c r="U223" s="25">
        <f t="shared" si="75"/>
        <v>0</v>
      </c>
      <c r="V223" s="25">
        <f t="shared" si="76"/>
        <v>0</v>
      </c>
      <c r="W223" s="25">
        <f t="shared" si="77"/>
        <v>0</v>
      </c>
      <c r="X223" s="64">
        <f t="shared" si="78"/>
        <v>0</v>
      </c>
      <c r="Y223" s="64">
        <f t="shared" si="79"/>
        <v>0</v>
      </c>
      <c r="Z223" s="64">
        <f t="shared" si="80"/>
        <v>0</v>
      </c>
      <c r="AA223" s="64">
        <f t="shared" si="81"/>
        <v>0</v>
      </c>
      <c r="AB223" s="64">
        <f t="shared" si="82"/>
        <v>0</v>
      </c>
      <c r="AC223" s="64">
        <f t="shared" si="83"/>
        <v>0</v>
      </c>
      <c r="AD223" s="64">
        <f t="shared" si="84"/>
        <v>0</v>
      </c>
      <c r="AE223" s="64">
        <f t="shared" si="85"/>
        <v>0</v>
      </c>
      <c r="AF223" s="64">
        <f t="shared" si="86"/>
        <v>0</v>
      </c>
      <c r="AG223" s="29">
        <f t="shared" si="87"/>
        <v>49.03</v>
      </c>
    </row>
    <row r="224" spans="1:33" s="20" customFormat="1">
      <c r="A224" s="265">
        <v>10910006</v>
      </c>
      <c r="B224" s="265" t="s">
        <v>320</v>
      </c>
      <c r="C224" s="265" t="s">
        <v>616</v>
      </c>
      <c r="D224" s="265">
        <v>100000014</v>
      </c>
      <c r="E224" s="265" t="s">
        <v>278</v>
      </c>
      <c r="F224" s="265" t="s">
        <v>301</v>
      </c>
      <c r="G224" s="266">
        <v>166.44</v>
      </c>
      <c r="H224" s="266">
        <v>237.84</v>
      </c>
      <c r="I224" s="268">
        <v>46058</v>
      </c>
      <c r="J224" s="268">
        <v>46086</v>
      </c>
      <c r="K224" s="268">
        <v>46086</v>
      </c>
      <c r="L224" s="224" t="str">
        <f t="shared" si="88"/>
        <v>10910006_USD_100000014_PERDAMAN CHEMICALS &amp; FERTILISERS (FINANCE)PTY LTD</v>
      </c>
      <c r="M224" s="221">
        <f t="shared" si="68"/>
        <v>237.84</v>
      </c>
      <c r="N224" s="24" t="str">
        <f>IF(OR(L224=$L$2,L224=$L$3),$M$10+1,IFERROR(VLOOKUP(A224,'Repricing Maturity Adj.'!$A$3:$C$170,3,0),(IF(K224&lt;$M$10,"Check",K224))))</f>
        <v>Non_sensitive</v>
      </c>
      <c r="O224" s="62" t="b">
        <f t="shared" si="69"/>
        <v>1</v>
      </c>
      <c r="P224" s="63" t="str">
        <f t="shared" si="70"/>
        <v>Asset</v>
      </c>
      <c r="Q224" s="25">
        <f t="shared" si="71"/>
        <v>0</v>
      </c>
      <c r="R224" s="25">
        <f t="shared" si="72"/>
        <v>0</v>
      </c>
      <c r="S224" s="25">
        <f t="shared" si="73"/>
        <v>0</v>
      </c>
      <c r="T224" s="25">
        <f t="shared" si="74"/>
        <v>0</v>
      </c>
      <c r="U224" s="25">
        <f t="shared" si="75"/>
        <v>0</v>
      </c>
      <c r="V224" s="25">
        <f t="shared" si="76"/>
        <v>0</v>
      </c>
      <c r="W224" s="25">
        <f t="shared" si="77"/>
        <v>0</v>
      </c>
      <c r="X224" s="64">
        <f t="shared" si="78"/>
        <v>0</v>
      </c>
      <c r="Y224" s="64">
        <f t="shared" si="79"/>
        <v>0</v>
      </c>
      <c r="Z224" s="64">
        <f t="shared" si="80"/>
        <v>0</v>
      </c>
      <c r="AA224" s="64">
        <f t="shared" si="81"/>
        <v>0</v>
      </c>
      <c r="AB224" s="64">
        <f t="shared" si="82"/>
        <v>0</v>
      </c>
      <c r="AC224" s="64">
        <f t="shared" si="83"/>
        <v>0</v>
      </c>
      <c r="AD224" s="64">
        <f t="shared" si="84"/>
        <v>0</v>
      </c>
      <c r="AE224" s="64">
        <f t="shared" si="85"/>
        <v>0</v>
      </c>
      <c r="AF224" s="64">
        <f t="shared" si="86"/>
        <v>0</v>
      </c>
      <c r="AG224" s="29">
        <f t="shared" si="87"/>
        <v>237.84</v>
      </c>
    </row>
    <row r="225" spans="1:33" s="20" customFormat="1">
      <c r="A225" s="265">
        <v>10910006</v>
      </c>
      <c r="B225" s="265" t="s">
        <v>320</v>
      </c>
      <c r="C225" s="265" t="s">
        <v>638</v>
      </c>
      <c r="D225" s="265">
        <v>100000014</v>
      </c>
      <c r="E225" s="265" t="s">
        <v>278</v>
      </c>
      <c r="F225" s="265" t="s">
        <v>301</v>
      </c>
      <c r="G225" s="266">
        <v>36.729999999999997</v>
      </c>
      <c r="H225" s="266">
        <v>52.49</v>
      </c>
      <c r="I225" s="268">
        <v>46058</v>
      </c>
      <c r="J225" s="268">
        <v>46086</v>
      </c>
      <c r="K225" s="268">
        <v>46086</v>
      </c>
      <c r="L225" s="224" t="str">
        <f t="shared" si="88"/>
        <v>10910006_USD_100000014_PERDAMAN CHEMICALS &amp; FERTILISERS (FINANCE)PTY LTD</v>
      </c>
      <c r="M225" s="221">
        <f t="shared" si="68"/>
        <v>52.49</v>
      </c>
      <c r="N225" s="24" t="str">
        <f>IF(OR(L225=$L$2,L225=$L$3),$M$10+1,IFERROR(VLOOKUP(A225,'Repricing Maturity Adj.'!$A$3:$C$170,3,0),(IF(K225&lt;$M$10,"Check",K225))))</f>
        <v>Non_sensitive</v>
      </c>
      <c r="O225" s="62" t="b">
        <f t="shared" si="69"/>
        <v>1</v>
      </c>
      <c r="P225" s="63" t="str">
        <f t="shared" si="70"/>
        <v>Asset</v>
      </c>
      <c r="Q225" s="25">
        <f t="shared" si="71"/>
        <v>0</v>
      </c>
      <c r="R225" s="25">
        <f t="shared" si="72"/>
        <v>0</v>
      </c>
      <c r="S225" s="25">
        <f t="shared" si="73"/>
        <v>0</v>
      </c>
      <c r="T225" s="25">
        <f t="shared" si="74"/>
        <v>0</v>
      </c>
      <c r="U225" s="25">
        <f t="shared" si="75"/>
        <v>0</v>
      </c>
      <c r="V225" s="25">
        <f t="shared" si="76"/>
        <v>0</v>
      </c>
      <c r="W225" s="25">
        <f t="shared" si="77"/>
        <v>0</v>
      </c>
      <c r="X225" s="64">
        <f t="shared" si="78"/>
        <v>0</v>
      </c>
      <c r="Y225" s="64">
        <f t="shared" si="79"/>
        <v>0</v>
      </c>
      <c r="Z225" s="64">
        <f t="shared" si="80"/>
        <v>0</v>
      </c>
      <c r="AA225" s="64">
        <f t="shared" si="81"/>
        <v>0</v>
      </c>
      <c r="AB225" s="64">
        <f t="shared" si="82"/>
        <v>0</v>
      </c>
      <c r="AC225" s="64">
        <f t="shared" si="83"/>
        <v>0</v>
      </c>
      <c r="AD225" s="64">
        <f t="shared" si="84"/>
        <v>0</v>
      </c>
      <c r="AE225" s="64">
        <f t="shared" si="85"/>
        <v>0</v>
      </c>
      <c r="AF225" s="64">
        <f t="shared" si="86"/>
        <v>0</v>
      </c>
      <c r="AG225" s="29">
        <f t="shared" si="87"/>
        <v>52.49</v>
      </c>
    </row>
    <row r="226" spans="1:33" s="20" customFormat="1">
      <c r="A226" s="265">
        <v>10910006</v>
      </c>
      <c r="B226" s="265" t="s">
        <v>320</v>
      </c>
      <c r="C226" s="265" t="s">
        <v>639</v>
      </c>
      <c r="D226" s="265">
        <v>100000014</v>
      </c>
      <c r="E226" s="265" t="s">
        <v>278</v>
      </c>
      <c r="F226" s="265" t="s">
        <v>301</v>
      </c>
      <c r="G226" s="266">
        <v>584.58000000000004</v>
      </c>
      <c r="H226" s="266">
        <v>835.35</v>
      </c>
      <c r="I226" s="268">
        <v>46058</v>
      </c>
      <c r="J226" s="268">
        <v>46086</v>
      </c>
      <c r="K226" s="268">
        <v>46086</v>
      </c>
      <c r="L226" s="224" t="str">
        <f t="shared" si="88"/>
        <v>10910006_USD_100000014_PERDAMAN CHEMICALS &amp; FERTILISERS (FINANCE)PTY LTD</v>
      </c>
      <c r="M226" s="221">
        <f t="shared" si="68"/>
        <v>835.35</v>
      </c>
      <c r="N226" s="24" t="str">
        <f>IF(OR(L226=$L$2,L226=$L$3),$M$10+1,IFERROR(VLOOKUP(A226,'Repricing Maturity Adj.'!$A$3:$C$170,3,0),(IF(K226&lt;$M$10,"Check",K226))))</f>
        <v>Non_sensitive</v>
      </c>
      <c r="O226" s="62" t="b">
        <f t="shared" si="69"/>
        <v>1</v>
      </c>
      <c r="P226" s="63" t="str">
        <f t="shared" si="70"/>
        <v>Asset</v>
      </c>
      <c r="Q226" s="25">
        <f t="shared" si="71"/>
        <v>0</v>
      </c>
      <c r="R226" s="25">
        <f t="shared" si="72"/>
        <v>0</v>
      </c>
      <c r="S226" s="25">
        <f t="shared" si="73"/>
        <v>0</v>
      </c>
      <c r="T226" s="25">
        <f t="shared" si="74"/>
        <v>0</v>
      </c>
      <c r="U226" s="25">
        <f t="shared" si="75"/>
        <v>0</v>
      </c>
      <c r="V226" s="25">
        <f t="shared" si="76"/>
        <v>0</v>
      </c>
      <c r="W226" s="25">
        <f t="shared" si="77"/>
        <v>0</v>
      </c>
      <c r="X226" s="64">
        <f t="shared" si="78"/>
        <v>0</v>
      </c>
      <c r="Y226" s="64">
        <f t="shared" si="79"/>
        <v>0</v>
      </c>
      <c r="Z226" s="64">
        <f t="shared" si="80"/>
        <v>0</v>
      </c>
      <c r="AA226" s="64">
        <f t="shared" si="81"/>
        <v>0</v>
      </c>
      <c r="AB226" s="64">
        <f t="shared" si="82"/>
        <v>0</v>
      </c>
      <c r="AC226" s="64">
        <f t="shared" si="83"/>
        <v>0</v>
      </c>
      <c r="AD226" s="64">
        <f t="shared" si="84"/>
        <v>0</v>
      </c>
      <c r="AE226" s="64">
        <f t="shared" si="85"/>
        <v>0</v>
      </c>
      <c r="AF226" s="64">
        <f t="shared" si="86"/>
        <v>0</v>
      </c>
      <c r="AG226" s="29">
        <f t="shared" si="87"/>
        <v>835.35</v>
      </c>
    </row>
    <row r="227" spans="1:33" s="20" customFormat="1">
      <c r="A227" s="265">
        <v>10910006</v>
      </c>
      <c r="B227" s="265" t="s">
        <v>320</v>
      </c>
      <c r="C227" s="265" t="s">
        <v>640</v>
      </c>
      <c r="D227" s="265">
        <v>100000014</v>
      </c>
      <c r="E227" s="265" t="s">
        <v>278</v>
      </c>
      <c r="F227" s="265" t="s">
        <v>301</v>
      </c>
      <c r="G227" s="266">
        <v>37.93</v>
      </c>
      <c r="H227" s="266">
        <v>54.2</v>
      </c>
      <c r="I227" s="268">
        <v>46058</v>
      </c>
      <c r="J227" s="268">
        <v>46086</v>
      </c>
      <c r="K227" s="268">
        <v>46086</v>
      </c>
      <c r="L227" s="224" t="str">
        <f t="shared" si="88"/>
        <v>10910006_USD_100000014_PERDAMAN CHEMICALS &amp; FERTILISERS (FINANCE)PTY LTD</v>
      </c>
      <c r="M227" s="221">
        <f t="shared" si="68"/>
        <v>54.2</v>
      </c>
      <c r="N227" s="24" t="str">
        <f>IF(OR(L227=$L$2,L227=$L$3),$M$10+1,IFERROR(VLOOKUP(A227,'Repricing Maturity Adj.'!$A$3:$C$170,3,0),(IF(K227&lt;$M$10,"Check",K227))))</f>
        <v>Non_sensitive</v>
      </c>
      <c r="O227" s="62" t="b">
        <f t="shared" si="69"/>
        <v>1</v>
      </c>
      <c r="P227" s="63" t="str">
        <f t="shared" si="70"/>
        <v>Asset</v>
      </c>
      <c r="Q227" s="25">
        <f t="shared" si="71"/>
        <v>0</v>
      </c>
      <c r="R227" s="25">
        <f t="shared" si="72"/>
        <v>0</v>
      </c>
      <c r="S227" s="25">
        <f t="shared" si="73"/>
        <v>0</v>
      </c>
      <c r="T227" s="25">
        <f t="shared" si="74"/>
        <v>0</v>
      </c>
      <c r="U227" s="25">
        <f t="shared" si="75"/>
        <v>0</v>
      </c>
      <c r="V227" s="25">
        <f t="shared" si="76"/>
        <v>0</v>
      </c>
      <c r="W227" s="25">
        <f t="shared" si="77"/>
        <v>0</v>
      </c>
      <c r="X227" s="64">
        <f t="shared" si="78"/>
        <v>0</v>
      </c>
      <c r="Y227" s="64">
        <f t="shared" si="79"/>
        <v>0</v>
      </c>
      <c r="Z227" s="64">
        <f t="shared" si="80"/>
        <v>0</v>
      </c>
      <c r="AA227" s="64">
        <f t="shared" si="81"/>
        <v>0</v>
      </c>
      <c r="AB227" s="64">
        <f t="shared" si="82"/>
        <v>0</v>
      </c>
      <c r="AC227" s="64">
        <f t="shared" si="83"/>
        <v>0</v>
      </c>
      <c r="AD227" s="64">
        <f t="shared" si="84"/>
        <v>0</v>
      </c>
      <c r="AE227" s="64">
        <f t="shared" si="85"/>
        <v>0</v>
      </c>
      <c r="AF227" s="64">
        <f t="shared" si="86"/>
        <v>0</v>
      </c>
      <c r="AG227" s="29">
        <f t="shared" si="87"/>
        <v>54.2</v>
      </c>
    </row>
    <row r="228" spans="1:33" s="20" customFormat="1">
      <c r="A228" s="265">
        <v>10910006</v>
      </c>
      <c r="B228" s="265" t="s">
        <v>320</v>
      </c>
      <c r="C228" s="265" t="s">
        <v>633</v>
      </c>
      <c r="D228" s="265">
        <v>100000039</v>
      </c>
      <c r="E228" s="265" t="s">
        <v>634</v>
      </c>
      <c r="F228" s="265" t="s">
        <v>0</v>
      </c>
      <c r="G228" s="266">
        <v>59316.66</v>
      </c>
      <c r="H228" s="266">
        <v>59316.66</v>
      </c>
      <c r="I228" s="268">
        <v>45975</v>
      </c>
      <c r="J228" s="268">
        <v>46066</v>
      </c>
      <c r="K228" s="268">
        <v>46066</v>
      </c>
      <c r="L228" s="224" t="str">
        <f t="shared" si="88"/>
        <v>10910006_AUD_100000039_QANTAS AIRWAYS LIMITED</v>
      </c>
      <c r="M228" s="221">
        <f t="shared" si="68"/>
        <v>59316.66</v>
      </c>
      <c r="N228" s="24" t="str">
        <f>IF(OR(L228=$L$2,L228=$L$3),$M$10+1,IFERROR(VLOOKUP(A228,'Repricing Maturity Adj.'!$A$3:$C$170,3,0),(IF(K228&lt;$M$10,"Check",K228))))</f>
        <v>Non_sensitive</v>
      </c>
      <c r="O228" s="62" t="b">
        <f t="shared" si="69"/>
        <v>1</v>
      </c>
      <c r="P228" s="63" t="str">
        <f t="shared" si="70"/>
        <v>Asset</v>
      </c>
      <c r="Q228" s="25">
        <f t="shared" si="71"/>
        <v>0</v>
      </c>
      <c r="R228" s="25">
        <f t="shared" si="72"/>
        <v>0</v>
      </c>
      <c r="S228" s="25">
        <f t="shared" si="73"/>
        <v>0</v>
      </c>
      <c r="T228" s="25">
        <f t="shared" si="74"/>
        <v>0</v>
      </c>
      <c r="U228" s="25">
        <f t="shared" si="75"/>
        <v>0</v>
      </c>
      <c r="V228" s="25">
        <f t="shared" si="76"/>
        <v>0</v>
      </c>
      <c r="W228" s="25">
        <f t="shared" si="77"/>
        <v>0</v>
      </c>
      <c r="X228" s="64">
        <f t="shared" si="78"/>
        <v>0</v>
      </c>
      <c r="Y228" s="64">
        <f t="shared" si="79"/>
        <v>0</v>
      </c>
      <c r="Z228" s="64">
        <f t="shared" si="80"/>
        <v>0</v>
      </c>
      <c r="AA228" s="64">
        <f t="shared" si="81"/>
        <v>0</v>
      </c>
      <c r="AB228" s="64">
        <f t="shared" si="82"/>
        <v>0</v>
      </c>
      <c r="AC228" s="64">
        <f t="shared" si="83"/>
        <v>0</v>
      </c>
      <c r="AD228" s="64">
        <f t="shared" si="84"/>
        <v>0</v>
      </c>
      <c r="AE228" s="64">
        <f t="shared" si="85"/>
        <v>0</v>
      </c>
      <c r="AF228" s="64">
        <f t="shared" si="86"/>
        <v>0</v>
      </c>
      <c r="AG228" s="29">
        <f t="shared" si="87"/>
        <v>59316.66</v>
      </c>
    </row>
    <row r="229" spans="1:33" s="20" customFormat="1">
      <c r="A229" s="265">
        <v>10910006</v>
      </c>
      <c r="B229" s="265" t="s">
        <v>320</v>
      </c>
      <c r="C229" s="265" t="s">
        <v>641</v>
      </c>
      <c r="D229" s="265">
        <v>100000014</v>
      </c>
      <c r="E229" s="265" t="s">
        <v>278</v>
      </c>
      <c r="F229" s="265" t="s">
        <v>301</v>
      </c>
      <c r="G229" s="266">
        <v>385.66</v>
      </c>
      <c r="H229" s="266">
        <v>551.1</v>
      </c>
      <c r="I229" s="268">
        <v>46058</v>
      </c>
      <c r="J229" s="268">
        <v>46086</v>
      </c>
      <c r="K229" s="268">
        <v>46086</v>
      </c>
      <c r="L229" s="224" t="str">
        <f t="shared" si="88"/>
        <v>10910006_USD_100000014_PERDAMAN CHEMICALS &amp; FERTILISERS (FINANCE)PTY LTD</v>
      </c>
      <c r="M229" s="221">
        <f t="shared" si="68"/>
        <v>551.1</v>
      </c>
      <c r="N229" s="24" t="str">
        <f>IF(OR(L229=$L$2,L229=$L$3),$M$10+1,IFERROR(VLOOKUP(A229,'Repricing Maturity Adj.'!$A$3:$C$170,3,0),(IF(K229&lt;$M$10,"Check",K229))))</f>
        <v>Non_sensitive</v>
      </c>
      <c r="O229" s="62" t="b">
        <f t="shared" si="69"/>
        <v>1</v>
      </c>
      <c r="P229" s="63" t="str">
        <f t="shared" si="70"/>
        <v>Asset</v>
      </c>
      <c r="Q229" s="25">
        <f t="shared" si="71"/>
        <v>0</v>
      </c>
      <c r="R229" s="25">
        <f t="shared" si="72"/>
        <v>0</v>
      </c>
      <c r="S229" s="25">
        <f t="shared" si="73"/>
        <v>0</v>
      </c>
      <c r="T229" s="25">
        <f t="shared" si="74"/>
        <v>0</v>
      </c>
      <c r="U229" s="25">
        <f t="shared" si="75"/>
        <v>0</v>
      </c>
      <c r="V229" s="25">
        <f t="shared" si="76"/>
        <v>0</v>
      </c>
      <c r="W229" s="25">
        <f t="shared" si="77"/>
        <v>0</v>
      </c>
      <c r="X229" s="64">
        <f t="shared" si="78"/>
        <v>0</v>
      </c>
      <c r="Y229" s="64">
        <f t="shared" si="79"/>
        <v>0</v>
      </c>
      <c r="Z229" s="64">
        <f t="shared" si="80"/>
        <v>0</v>
      </c>
      <c r="AA229" s="64">
        <f t="shared" si="81"/>
        <v>0</v>
      </c>
      <c r="AB229" s="64">
        <f t="shared" si="82"/>
        <v>0</v>
      </c>
      <c r="AC229" s="64">
        <f t="shared" si="83"/>
        <v>0</v>
      </c>
      <c r="AD229" s="64">
        <f t="shared" si="84"/>
        <v>0</v>
      </c>
      <c r="AE229" s="64">
        <f t="shared" si="85"/>
        <v>0</v>
      </c>
      <c r="AF229" s="64">
        <f t="shared" si="86"/>
        <v>0</v>
      </c>
      <c r="AG229" s="29">
        <f t="shared" si="87"/>
        <v>551.1</v>
      </c>
    </row>
    <row r="230" spans="1:33" s="20" customFormat="1">
      <c r="A230" s="265">
        <v>10910006</v>
      </c>
      <c r="B230" s="265" t="s">
        <v>320</v>
      </c>
      <c r="C230" s="265" t="s">
        <v>642</v>
      </c>
      <c r="D230" s="265">
        <v>100000014</v>
      </c>
      <c r="E230" s="265" t="s">
        <v>278</v>
      </c>
      <c r="F230" s="265" t="s">
        <v>301</v>
      </c>
      <c r="G230" s="266">
        <v>45.9</v>
      </c>
      <c r="H230" s="266">
        <v>65.59</v>
      </c>
      <c r="I230" s="268">
        <v>46058</v>
      </c>
      <c r="J230" s="268">
        <v>46086</v>
      </c>
      <c r="K230" s="268">
        <v>46086</v>
      </c>
      <c r="L230" s="224" t="str">
        <f t="shared" si="88"/>
        <v>10910006_USD_100000014_PERDAMAN CHEMICALS &amp; FERTILISERS (FINANCE)PTY LTD</v>
      </c>
      <c r="M230" s="221">
        <f t="shared" si="68"/>
        <v>65.59</v>
      </c>
      <c r="N230" s="24" t="str">
        <f>IF(OR(L230=$L$2,L230=$L$3),$M$10+1,IFERROR(VLOOKUP(A230,'Repricing Maturity Adj.'!$A$3:$C$170,3,0),(IF(K230&lt;$M$10,"Check",K230))))</f>
        <v>Non_sensitive</v>
      </c>
      <c r="O230" s="62" t="b">
        <f t="shared" si="69"/>
        <v>1</v>
      </c>
      <c r="P230" s="63" t="str">
        <f t="shared" si="70"/>
        <v>Asset</v>
      </c>
      <c r="Q230" s="25">
        <f t="shared" si="71"/>
        <v>0</v>
      </c>
      <c r="R230" s="25">
        <f t="shared" si="72"/>
        <v>0</v>
      </c>
      <c r="S230" s="25">
        <f t="shared" si="73"/>
        <v>0</v>
      </c>
      <c r="T230" s="25">
        <f t="shared" si="74"/>
        <v>0</v>
      </c>
      <c r="U230" s="25">
        <f t="shared" si="75"/>
        <v>0</v>
      </c>
      <c r="V230" s="25">
        <f t="shared" si="76"/>
        <v>0</v>
      </c>
      <c r="W230" s="25">
        <f t="shared" si="77"/>
        <v>0</v>
      </c>
      <c r="X230" s="64">
        <f t="shared" si="78"/>
        <v>0</v>
      </c>
      <c r="Y230" s="64">
        <f t="shared" si="79"/>
        <v>0</v>
      </c>
      <c r="Z230" s="64">
        <f t="shared" si="80"/>
        <v>0</v>
      </c>
      <c r="AA230" s="64">
        <f t="shared" si="81"/>
        <v>0</v>
      </c>
      <c r="AB230" s="64">
        <f t="shared" si="82"/>
        <v>0</v>
      </c>
      <c r="AC230" s="64">
        <f t="shared" si="83"/>
        <v>0</v>
      </c>
      <c r="AD230" s="64">
        <f t="shared" si="84"/>
        <v>0</v>
      </c>
      <c r="AE230" s="64">
        <f t="shared" si="85"/>
        <v>0</v>
      </c>
      <c r="AF230" s="64">
        <f t="shared" si="86"/>
        <v>0</v>
      </c>
      <c r="AG230" s="29">
        <f t="shared" si="87"/>
        <v>65.59</v>
      </c>
    </row>
    <row r="231" spans="1:33" s="20" customFormat="1">
      <c r="A231" s="265">
        <v>10910006</v>
      </c>
      <c r="B231" s="265" t="s">
        <v>320</v>
      </c>
      <c r="C231" s="265" t="s">
        <v>635</v>
      </c>
      <c r="D231" s="265">
        <v>100000040</v>
      </c>
      <c r="E231" s="265" t="s">
        <v>636</v>
      </c>
      <c r="F231" s="265" t="s">
        <v>0</v>
      </c>
      <c r="G231" s="266">
        <v>51109.59</v>
      </c>
      <c r="H231" s="266">
        <v>51109.59</v>
      </c>
      <c r="I231" s="268">
        <v>46049</v>
      </c>
      <c r="J231" s="268">
        <v>46080</v>
      </c>
      <c r="K231" s="268">
        <v>46080</v>
      </c>
      <c r="L231" s="224" t="str">
        <f t="shared" si="88"/>
        <v>10910006_AUD_100000040_DOWNER GROUP FINANCE PTY LIMITED</v>
      </c>
      <c r="M231" s="221">
        <f t="shared" si="68"/>
        <v>51109.59</v>
      </c>
      <c r="N231" s="24" t="str">
        <f>IF(OR(L231=$L$2,L231=$L$3),$M$10+1,IFERROR(VLOOKUP(A231,'Repricing Maturity Adj.'!$A$3:$C$170,3,0),(IF(K231&lt;$M$10,"Check",K231))))</f>
        <v>Non_sensitive</v>
      </c>
      <c r="O231" s="62" t="b">
        <f t="shared" si="69"/>
        <v>1</v>
      </c>
      <c r="P231" s="63" t="str">
        <f t="shared" si="70"/>
        <v>Asset</v>
      </c>
      <c r="Q231" s="25">
        <f t="shared" si="71"/>
        <v>0</v>
      </c>
      <c r="R231" s="25">
        <f t="shared" si="72"/>
        <v>0</v>
      </c>
      <c r="S231" s="25">
        <f t="shared" si="73"/>
        <v>0</v>
      </c>
      <c r="T231" s="25">
        <f t="shared" si="74"/>
        <v>0</v>
      </c>
      <c r="U231" s="25">
        <f t="shared" si="75"/>
        <v>0</v>
      </c>
      <c r="V231" s="25">
        <f t="shared" si="76"/>
        <v>0</v>
      </c>
      <c r="W231" s="25">
        <f t="shared" si="77"/>
        <v>0</v>
      </c>
      <c r="X231" s="64">
        <f t="shared" si="78"/>
        <v>0</v>
      </c>
      <c r="Y231" s="64">
        <f t="shared" si="79"/>
        <v>0</v>
      </c>
      <c r="Z231" s="64">
        <f t="shared" si="80"/>
        <v>0</v>
      </c>
      <c r="AA231" s="64">
        <f t="shared" si="81"/>
        <v>0</v>
      </c>
      <c r="AB231" s="64">
        <f t="shared" si="82"/>
        <v>0</v>
      </c>
      <c r="AC231" s="64">
        <f t="shared" si="83"/>
        <v>0</v>
      </c>
      <c r="AD231" s="64">
        <f t="shared" si="84"/>
        <v>0</v>
      </c>
      <c r="AE231" s="64">
        <f t="shared" si="85"/>
        <v>0</v>
      </c>
      <c r="AF231" s="64">
        <f t="shared" si="86"/>
        <v>0</v>
      </c>
      <c r="AG231" s="29">
        <f t="shared" si="87"/>
        <v>51109.59</v>
      </c>
    </row>
    <row r="232" spans="1:33" s="20" customFormat="1">
      <c r="A232" s="265">
        <v>10910006</v>
      </c>
      <c r="B232" s="265" t="s">
        <v>320</v>
      </c>
      <c r="C232" s="265" t="s">
        <v>643</v>
      </c>
      <c r="D232" s="265">
        <v>100000014</v>
      </c>
      <c r="E232" s="265" t="s">
        <v>278</v>
      </c>
      <c r="F232" s="265" t="s">
        <v>301</v>
      </c>
      <c r="G232" s="266">
        <v>288.23</v>
      </c>
      <c r="H232" s="266">
        <v>411.87</v>
      </c>
      <c r="I232" s="268">
        <v>46058</v>
      </c>
      <c r="J232" s="268">
        <v>46086</v>
      </c>
      <c r="K232" s="268">
        <v>46086</v>
      </c>
      <c r="L232" s="224" t="str">
        <f t="shared" si="88"/>
        <v>10910006_USD_100000014_PERDAMAN CHEMICALS &amp; FERTILISERS (FINANCE)PTY LTD</v>
      </c>
      <c r="M232" s="221">
        <f t="shared" si="68"/>
        <v>411.87</v>
      </c>
      <c r="N232" s="24" t="str">
        <f>IF(OR(L232=$L$2,L232=$L$3),$M$10+1,IFERROR(VLOOKUP(A232,'Repricing Maturity Adj.'!$A$3:$C$170,3,0),(IF(K232&lt;$M$10,"Check",K232))))</f>
        <v>Non_sensitive</v>
      </c>
      <c r="O232" s="62" t="b">
        <f t="shared" si="69"/>
        <v>1</v>
      </c>
      <c r="P232" s="63" t="str">
        <f t="shared" si="70"/>
        <v>Asset</v>
      </c>
      <c r="Q232" s="25">
        <f t="shared" si="71"/>
        <v>0</v>
      </c>
      <c r="R232" s="25">
        <f t="shared" si="72"/>
        <v>0</v>
      </c>
      <c r="S232" s="25">
        <f t="shared" si="73"/>
        <v>0</v>
      </c>
      <c r="T232" s="25">
        <f t="shared" si="74"/>
        <v>0</v>
      </c>
      <c r="U232" s="25">
        <f t="shared" si="75"/>
        <v>0</v>
      </c>
      <c r="V232" s="25">
        <f t="shared" si="76"/>
        <v>0</v>
      </c>
      <c r="W232" s="25">
        <f t="shared" si="77"/>
        <v>0</v>
      </c>
      <c r="X232" s="64">
        <f t="shared" si="78"/>
        <v>0</v>
      </c>
      <c r="Y232" s="64">
        <f t="shared" si="79"/>
        <v>0</v>
      </c>
      <c r="Z232" s="64">
        <f t="shared" si="80"/>
        <v>0</v>
      </c>
      <c r="AA232" s="64">
        <f t="shared" si="81"/>
        <v>0</v>
      </c>
      <c r="AB232" s="64">
        <f t="shared" si="82"/>
        <v>0</v>
      </c>
      <c r="AC232" s="64">
        <f t="shared" si="83"/>
        <v>0</v>
      </c>
      <c r="AD232" s="64">
        <f t="shared" si="84"/>
        <v>0</v>
      </c>
      <c r="AE232" s="64">
        <f t="shared" si="85"/>
        <v>0</v>
      </c>
      <c r="AF232" s="64">
        <f t="shared" si="86"/>
        <v>0</v>
      </c>
      <c r="AG232" s="29">
        <f t="shared" si="87"/>
        <v>411.87</v>
      </c>
    </row>
    <row r="233" spans="1:33" s="20" customFormat="1">
      <c r="A233" s="265">
        <v>10910006</v>
      </c>
      <c r="B233" s="265" t="s">
        <v>320</v>
      </c>
      <c r="C233" s="265" t="s">
        <v>637</v>
      </c>
      <c r="D233" s="265">
        <v>100000020</v>
      </c>
      <c r="E233" s="265" t="s">
        <v>503</v>
      </c>
      <c r="F233" s="265" t="s">
        <v>0</v>
      </c>
      <c r="G233" s="266">
        <v>256381.37</v>
      </c>
      <c r="H233" s="266">
        <v>256381.37</v>
      </c>
      <c r="I233" s="268">
        <v>45971</v>
      </c>
      <c r="J233" s="268">
        <v>46153</v>
      </c>
      <c r="K233" s="268">
        <v>46153</v>
      </c>
      <c r="L233" s="224" t="str">
        <f t="shared" si="88"/>
        <v>10910006_AUD_100000020_APA INFRASTRUCTURE LIMITED</v>
      </c>
      <c r="M233" s="221">
        <f t="shared" si="68"/>
        <v>256381.37</v>
      </c>
      <c r="N233" s="24" t="str">
        <f>IF(OR(L233=$L$2,L233=$L$3),$M$10+1,IFERROR(VLOOKUP(A233,'Repricing Maturity Adj.'!$A$3:$C$170,3,0),(IF(K233&lt;$M$10,"Check",K233))))</f>
        <v>Non_sensitive</v>
      </c>
      <c r="O233" s="62" t="b">
        <f t="shared" si="69"/>
        <v>1</v>
      </c>
      <c r="P233" s="63" t="str">
        <f t="shared" si="70"/>
        <v>Asset</v>
      </c>
      <c r="Q233" s="25">
        <f t="shared" si="71"/>
        <v>0</v>
      </c>
      <c r="R233" s="25">
        <f t="shared" si="72"/>
        <v>0</v>
      </c>
      <c r="S233" s="25">
        <f t="shared" si="73"/>
        <v>0</v>
      </c>
      <c r="T233" s="25">
        <f t="shared" si="74"/>
        <v>0</v>
      </c>
      <c r="U233" s="25">
        <f t="shared" si="75"/>
        <v>0</v>
      </c>
      <c r="V233" s="25">
        <f t="shared" si="76"/>
        <v>0</v>
      </c>
      <c r="W233" s="25">
        <f t="shared" si="77"/>
        <v>0</v>
      </c>
      <c r="X233" s="64">
        <f t="shared" si="78"/>
        <v>0</v>
      </c>
      <c r="Y233" s="64">
        <f t="shared" si="79"/>
        <v>0</v>
      </c>
      <c r="Z233" s="64">
        <f t="shared" si="80"/>
        <v>0</v>
      </c>
      <c r="AA233" s="64">
        <f t="shared" si="81"/>
        <v>0</v>
      </c>
      <c r="AB233" s="64">
        <f t="shared" si="82"/>
        <v>0</v>
      </c>
      <c r="AC233" s="64">
        <f t="shared" si="83"/>
        <v>0</v>
      </c>
      <c r="AD233" s="64">
        <f t="shared" si="84"/>
        <v>0</v>
      </c>
      <c r="AE233" s="64">
        <f t="shared" si="85"/>
        <v>0</v>
      </c>
      <c r="AF233" s="64">
        <f t="shared" si="86"/>
        <v>0</v>
      </c>
      <c r="AG233" s="29">
        <f t="shared" si="87"/>
        <v>256381.37</v>
      </c>
    </row>
    <row r="234" spans="1:33" s="20" customFormat="1">
      <c r="A234" s="265">
        <v>10910006</v>
      </c>
      <c r="B234" s="265" t="s">
        <v>320</v>
      </c>
      <c r="C234" s="265" t="s">
        <v>822</v>
      </c>
      <c r="D234" s="265">
        <v>100000014</v>
      </c>
      <c r="E234" s="265" t="s">
        <v>278</v>
      </c>
      <c r="F234" s="265" t="s">
        <v>301</v>
      </c>
      <c r="G234" s="266">
        <v>43.47</v>
      </c>
      <c r="H234" s="266">
        <v>62.12</v>
      </c>
      <c r="I234" s="268">
        <v>46058</v>
      </c>
      <c r="J234" s="268">
        <v>46086</v>
      </c>
      <c r="K234" s="268">
        <v>46086</v>
      </c>
      <c r="L234" s="224" t="str">
        <f t="shared" si="88"/>
        <v>10910006_USD_100000014_PERDAMAN CHEMICALS &amp; FERTILISERS (FINANCE)PTY LTD</v>
      </c>
      <c r="M234" s="221">
        <f t="shared" si="68"/>
        <v>62.12</v>
      </c>
      <c r="N234" s="24" t="str">
        <f>IF(OR(L234=$L$2,L234=$L$3),$M$10+1,IFERROR(VLOOKUP(A234,'Repricing Maturity Adj.'!$A$3:$C$170,3,0),(IF(K234&lt;$M$10,"Check",K234))))</f>
        <v>Non_sensitive</v>
      </c>
      <c r="O234" s="62" t="b">
        <f t="shared" si="69"/>
        <v>1</v>
      </c>
      <c r="P234" s="63" t="str">
        <f t="shared" si="70"/>
        <v>Asset</v>
      </c>
      <c r="Q234" s="25">
        <f t="shared" si="71"/>
        <v>0</v>
      </c>
      <c r="R234" s="25">
        <f t="shared" si="72"/>
        <v>0</v>
      </c>
      <c r="S234" s="25">
        <f t="shared" si="73"/>
        <v>0</v>
      </c>
      <c r="T234" s="25">
        <f t="shared" si="74"/>
        <v>0</v>
      </c>
      <c r="U234" s="25">
        <f t="shared" si="75"/>
        <v>0</v>
      </c>
      <c r="V234" s="25">
        <f t="shared" si="76"/>
        <v>0</v>
      </c>
      <c r="W234" s="25">
        <f t="shared" si="77"/>
        <v>0</v>
      </c>
      <c r="X234" s="64">
        <f t="shared" si="78"/>
        <v>0</v>
      </c>
      <c r="Y234" s="64">
        <f t="shared" si="79"/>
        <v>0</v>
      </c>
      <c r="Z234" s="64">
        <f t="shared" si="80"/>
        <v>0</v>
      </c>
      <c r="AA234" s="64">
        <f t="shared" si="81"/>
        <v>0</v>
      </c>
      <c r="AB234" s="64">
        <f t="shared" si="82"/>
        <v>0</v>
      </c>
      <c r="AC234" s="64">
        <f t="shared" si="83"/>
        <v>0</v>
      </c>
      <c r="AD234" s="64">
        <f t="shared" si="84"/>
        <v>0</v>
      </c>
      <c r="AE234" s="64">
        <f t="shared" si="85"/>
        <v>0</v>
      </c>
      <c r="AF234" s="64">
        <f t="shared" si="86"/>
        <v>0</v>
      </c>
      <c r="AG234" s="29">
        <f t="shared" si="87"/>
        <v>62.12</v>
      </c>
    </row>
    <row r="235" spans="1:33" s="20" customFormat="1">
      <c r="A235" s="265">
        <v>10910006</v>
      </c>
      <c r="B235" s="265" t="s">
        <v>320</v>
      </c>
      <c r="C235" s="265" t="s">
        <v>823</v>
      </c>
      <c r="D235" s="265">
        <v>100000014</v>
      </c>
      <c r="E235" s="265" t="s">
        <v>278</v>
      </c>
      <c r="F235" s="265" t="s">
        <v>301</v>
      </c>
      <c r="G235" s="266">
        <v>422.2</v>
      </c>
      <c r="H235" s="266">
        <v>603.32000000000005</v>
      </c>
      <c r="I235" s="268">
        <v>46058</v>
      </c>
      <c r="J235" s="268">
        <v>46086</v>
      </c>
      <c r="K235" s="268">
        <v>46086</v>
      </c>
      <c r="L235" s="224" t="str">
        <f t="shared" si="88"/>
        <v>10910006_USD_100000014_PERDAMAN CHEMICALS &amp; FERTILISERS (FINANCE)PTY LTD</v>
      </c>
      <c r="M235" s="221">
        <f t="shared" si="68"/>
        <v>603.32000000000005</v>
      </c>
      <c r="N235" s="24" t="str">
        <f>IF(OR(L235=$L$2,L235=$L$3),$M$10+1,IFERROR(VLOOKUP(A235,'Repricing Maturity Adj.'!$A$3:$C$170,3,0),(IF(K235&lt;$M$10,"Check",K235))))</f>
        <v>Non_sensitive</v>
      </c>
      <c r="O235" s="62" t="b">
        <f t="shared" si="69"/>
        <v>1</v>
      </c>
      <c r="P235" s="63" t="str">
        <f t="shared" si="70"/>
        <v>Asset</v>
      </c>
      <c r="Q235" s="25">
        <f t="shared" si="71"/>
        <v>0</v>
      </c>
      <c r="R235" s="25">
        <f t="shared" si="72"/>
        <v>0</v>
      </c>
      <c r="S235" s="25">
        <f t="shared" si="73"/>
        <v>0</v>
      </c>
      <c r="T235" s="25">
        <f t="shared" si="74"/>
        <v>0</v>
      </c>
      <c r="U235" s="25">
        <f t="shared" si="75"/>
        <v>0</v>
      </c>
      <c r="V235" s="25">
        <f t="shared" si="76"/>
        <v>0</v>
      </c>
      <c r="W235" s="25">
        <f t="shared" si="77"/>
        <v>0</v>
      </c>
      <c r="X235" s="64">
        <f t="shared" si="78"/>
        <v>0</v>
      </c>
      <c r="Y235" s="64">
        <f t="shared" si="79"/>
        <v>0</v>
      </c>
      <c r="Z235" s="64">
        <f t="shared" si="80"/>
        <v>0</v>
      </c>
      <c r="AA235" s="64">
        <f t="shared" si="81"/>
        <v>0</v>
      </c>
      <c r="AB235" s="64">
        <f t="shared" si="82"/>
        <v>0</v>
      </c>
      <c r="AC235" s="64">
        <f t="shared" si="83"/>
        <v>0</v>
      </c>
      <c r="AD235" s="64">
        <f t="shared" si="84"/>
        <v>0</v>
      </c>
      <c r="AE235" s="64">
        <f t="shared" si="85"/>
        <v>0</v>
      </c>
      <c r="AF235" s="64">
        <f t="shared" si="86"/>
        <v>0</v>
      </c>
      <c r="AG235" s="29">
        <f t="shared" si="87"/>
        <v>603.32000000000005</v>
      </c>
    </row>
    <row r="236" spans="1:33" s="20" customFormat="1">
      <c r="A236" s="265">
        <v>10910006</v>
      </c>
      <c r="B236" s="265" t="s">
        <v>320</v>
      </c>
      <c r="C236" s="265" t="s">
        <v>824</v>
      </c>
      <c r="D236" s="265">
        <v>100000014</v>
      </c>
      <c r="E236" s="265" t="s">
        <v>278</v>
      </c>
      <c r="F236" s="265" t="s">
        <v>301</v>
      </c>
      <c r="G236" s="266">
        <v>47.07</v>
      </c>
      <c r="H236" s="266">
        <v>67.260000000000005</v>
      </c>
      <c r="I236" s="268">
        <v>46058</v>
      </c>
      <c r="J236" s="268">
        <v>46086</v>
      </c>
      <c r="K236" s="268">
        <v>46086</v>
      </c>
      <c r="L236" s="224" t="str">
        <f t="shared" si="88"/>
        <v>10910006_USD_100000014_PERDAMAN CHEMICALS &amp; FERTILISERS (FINANCE)PTY LTD</v>
      </c>
      <c r="M236" s="221">
        <f t="shared" si="68"/>
        <v>67.260000000000005</v>
      </c>
      <c r="N236" s="24" t="str">
        <f>IF(OR(L236=$L$2,L236=$L$3),$M$10+1,IFERROR(VLOOKUP(A236,'Repricing Maturity Adj.'!$A$3:$C$170,3,0),(IF(K236&lt;$M$10,"Check",K236))))</f>
        <v>Non_sensitive</v>
      </c>
      <c r="O236" s="62" t="b">
        <f t="shared" si="69"/>
        <v>1</v>
      </c>
      <c r="P236" s="63" t="str">
        <f t="shared" si="70"/>
        <v>Asset</v>
      </c>
      <c r="Q236" s="25">
        <f t="shared" si="71"/>
        <v>0</v>
      </c>
      <c r="R236" s="25">
        <f t="shared" si="72"/>
        <v>0</v>
      </c>
      <c r="S236" s="25">
        <f t="shared" si="73"/>
        <v>0</v>
      </c>
      <c r="T236" s="25">
        <f t="shared" si="74"/>
        <v>0</v>
      </c>
      <c r="U236" s="25">
        <f t="shared" si="75"/>
        <v>0</v>
      </c>
      <c r="V236" s="25">
        <f t="shared" si="76"/>
        <v>0</v>
      </c>
      <c r="W236" s="25">
        <f t="shared" si="77"/>
        <v>0</v>
      </c>
      <c r="X236" s="64">
        <f t="shared" si="78"/>
        <v>0</v>
      </c>
      <c r="Y236" s="64">
        <f t="shared" si="79"/>
        <v>0</v>
      </c>
      <c r="Z236" s="64">
        <f t="shared" si="80"/>
        <v>0</v>
      </c>
      <c r="AA236" s="64">
        <f t="shared" si="81"/>
        <v>0</v>
      </c>
      <c r="AB236" s="64">
        <f t="shared" si="82"/>
        <v>0</v>
      </c>
      <c r="AC236" s="64">
        <f t="shared" si="83"/>
        <v>0</v>
      </c>
      <c r="AD236" s="64">
        <f t="shared" si="84"/>
        <v>0</v>
      </c>
      <c r="AE236" s="64">
        <f t="shared" si="85"/>
        <v>0</v>
      </c>
      <c r="AF236" s="64">
        <f t="shared" si="86"/>
        <v>0</v>
      </c>
      <c r="AG236" s="29">
        <f t="shared" si="87"/>
        <v>67.260000000000005</v>
      </c>
    </row>
    <row r="237" spans="1:33" s="20" customFormat="1">
      <c r="A237" s="265">
        <v>10910006</v>
      </c>
      <c r="B237" s="265" t="s">
        <v>320</v>
      </c>
      <c r="C237" s="265" t="s">
        <v>825</v>
      </c>
      <c r="D237" s="265">
        <v>100000014</v>
      </c>
      <c r="E237" s="265" t="s">
        <v>278</v>
      </c>
      <c r="F237" s="265" t="s">
        <v>301</v>
      </c>
      <c r="G237" s="266">
        <v>479.03</v>
      </c>
      <c r="H237" s="266">
        <v>684.52</v>
      </c>
      <c r="I237" s="268">
        <v>46058</v>
      </c>
      <c r="J237" s="268">
        <v>46086</v>
      </c>
      <c r="K237" s="268">
        <v>46086</v>
      </c>
      <c r="L237" s="224" t="str">
        <f t="shared" si="88"/>
        <v>10910006_USD_100000014_PERDAMAN CHEMICALS &amp; FERTILISERS (FINANCE)PTY LTD</v>
      </c>
      <c r="M237" s="221">
        <f t="shared" si="68"/>
        <v>684.52</v>
      </c>
      <c r="N237" s="24" t="str">
        <f>IF(OR(L237=$L$2,L237=$L$3),$M$10+1,IFERROR(VLOOKUP(A237,'Repricing Maturity Adj.'!$A$3:$C$170,3,0),(IF(K237&lt;$M$10,"Check",K237))))</f>
        <v>Non_sensitive</v>
      </c>
      <c r="O237" s="62" t="b">
        <f t="shared" si="69"/>
        <v>1</v>
      </c>
      <c r="P237" s="63" t="str">
        <f t="shared" si="70"/>
        <v>Asset</v>
      </c>
      <c r="Q237" s="25">
        <f t="shared" si="71"/>
        <v>0</v>
      </c>
      <c r="R237" s="25">
        <f t="shared" si="72"/>
        <v>0</v>
      </c>
      <c r="S237" s="25">
        <f t="shared" si="73"/>
        <v>0</v>
      </c>
      <c r="T237" s="25">
        <f t="shared" si="74"/>
        <v>0</v>
      </c>
      <c r="U237" s="25">
        <f t="shared" si="75"/>
        <v>0</v>
      </c>
      <c r="V237" s="25">
        <f t="shared" si="76"/>
        <v>0</v>
      </c>
      <c r="W237" s="25">
        <f t="shared" si="77"/>
        <v>0</v>
      </c>
      <c r="X237" s="64">
        <f t="shared" si="78"/>
        <v>0</v>
      </c>
      <c r="Y237" s="64">
        <f t="shared" si="79"/>
        <v>0</v>
      </c>
      <c r="Z237" s="64">
        <f t="shared" si="80"/>
        <v>0</v>
      </c>
      <c r="AA237" s="64">
        <f t="shared" si="81"/>
        <v>0</v>
      </c>
      <c r="AB237" s="64">
        <f t="shared" si="82"/>
        <v>0</v>
      </c>
      <c r="AC237" s="64">
        <f t="shared" si="83"/>
        <v>0</v>
      </c>
      <c r="AD237" s="64">
        <f t="shared" si="84"/>
        <v>0</v>
      </c>
      <c r="AE237" s="64">
        <f t="shared" si="85"/>
        <v>0</v>
      </c>
      <c r="AF237" s="64">
        <f t="shared" si="86"/>
        <v>0</v>
      </c>
      <c r="AG237" s="29">
        <f t="shared" si="87"/>
        <v>684.52</v>
      </c>
    </row>
    <row r="238" spans="1:33" s="20" customFormat="1">
      <c r="A238" s="265">
        <v>10910006</v>
      </c>
      <c r="B238" s="265" t="s">
        <v>320</v>
      </c>
      <c r="C238" s="265" t="s">
        <v>826</v>
      </c>
      <c r="D238" s="265">
        <v>100000014</v>
      </c>
      <c r="E238" s="265" t="s">
        <v>278</v>
      </c>
      <c r="F238" s="265" t="s">
        <v>301</v>
      </c>
      <c r="G238" s="266">
        <v>51.53</v>
      </c>
      <c r="H238" s="266">
        <v>73.64</v>
      </c>
      <c r="I238" s="268">
        <v>46058</v>
      </c>
      <c r="J238" s="268">
        <v>46086</v>
      </c>
      <c r="K238" s="268">
        <v>46086</v>
      </c>
      <c r="L238" s="224" t="str">
        <f t="shared" si="88"/>
        <v>10910006_USD_100000014_PERDAMAN CHEMICALS &amp; FERTILISERS (FINANCE)PTY LTD</v>
      </c>
      <c r="M238" s="221">
        <f t="shared" si="68"/>
        <v>73.64</v>
      </c>
      <c r="N238" s="24" t="str">
        <f>IF(OR(L238=$L$2,L238=$L$3),$M$10+1,IFERROR(VLOOKUP(A238,'Repricing Maturity Adj.'!$A$3:$C$170,3,0),(IF(K238&lt;$M$10,"Check",K238))))</f>
        <v>Non_sensitive</v>
      </c>
      <c r="O238" s="62" t="b">
        <f t="shared" si="69"/>
        <v>1</v>
      </c>
      <c r="P238" s="63" t="str">
        <f t="shared" si="70"/>
        <v>Asset</v>
      </c>
      <c r="Q238" s="25">
        <f t="shared" si="71"/>
        <v>0</v>
      </c>
      <c r="R238" s="25">
        <f t="shared" si="72"/>
        <v>0</v>
      </c>
      <c r="S238" s="25">
        <f t="shared" si="73"/>
        <v>0</v>
      </c>
      <c r="T238" s="25">
        <f t="shared" si="74"/>
        <v>0</v>
      </c>
      <c r="U238" s="25">
        <f t="shared" si="75"/>
        <v>0</v>
      </c>
      <c r="V238" s="25">
        <f t="shared" si="76"/>
        <v>0</v>
      </c>
      <c r="W238" s="25">
        <f t="shared" si="77"/>
        <v>0</v>
      </c>
      <c r="X238" s="64">
        <f t="shared" si="78"/>
        <v>0</v>
      </c>
      <c r="Y238" s="64">
        <f t="shared" si="79"/>
        <v>0</v>
      </c>
      <c r="Z238" s="64">
        <f t="shared" si="80"/>
        <v>0</v>
      </c>
      <c r="AA238" s="64">
        <f t="shared" si="81"/>
        <v>0</v>
      </c>
      <c r="AB238" s="64">
        <f t="shared" si="82"/>
        <v>0</v>
      </c>
      <c r="AC238" s="64">
        <f t="shared" si="83"/>
        <v>0</v>
      </c>
      <c r="AD238" s="64">
        <f t="shared" si="84"/>
        <v>0</v>
      </c>
      <c r="AE238" s="64">
        <f t="shared" si="85"/>
        <v>0</v>
      </c>
      <c r="AF238" s="64">
        <f t="shared" si="86"/>
        <v>0</v>
      </c>
      <c r="AG238" s="29">
        <f t="shared" si="87"/>
        <v>73.64</v>
      </c>
    </row>
    <row r="239" spans="1:33" s="20" customFormat="1">
      <c r="A239" s="265">
        <v>10910006</v>
      </c>
      <c r="B239" s="265" t="s">
        <v>320</v>
      </c>
      <c r="C239" s="265" t="s">
        <v>827</v>
      </c>
      <c r="D239" s="265">
        <v>100000014</v>
      </c>
      <c r="E239" s="265" t="s">
        <v>278</v>
      </c>
      <c r="F239" s="265" t="s">
        <v>301</v>
      </c>
      <c r="G239" s="266">
        <v>150.19999999999999</v>
      </c>
      <c r="H239" s="266">
        <v>214.63</v>
      </c>
      <c r="I239" s="268">
        <v>46058</v>
      </c>
      <c r="J239" s="268">
        <v>46086</v>
      </c>
      <c r="K239" s="268">
        <v>46086</v>
      </c>
      <c r="L239" s="224" t="str">
        <f t="shared" si="88"/>
        <v>10910006_USD_100000014_PERDAMAN CHEMICALS &amp; FERTILISERS (FINANCE)PTY LTD</v>
      </c>
      <c r="M239" s="221">
        <f t="shared" si="68"/>
        <v>214.63</v>
      </c>
      <c r="N239" s="24" t="str">
        <f>IF(OR(L239=$L$2,L239=$L$3),$M$10+1,IFERROR(VLOOKUP(A239,'Repricing Maturity Adj.'!$A$3:$C$170,3,0),(IF(K239&lt;$M$10,"Check",K239))))</f>
        <v>Non_sensitive</v>
      </c>
      <c r="O239" s="62" t="b">
        <f t="shared" si="69"/>
        <v>1</v>
      </c>
      <c r="P239" s="63" t="str">
        <f t="shared" si="70"/>
        <v>Asset</v>
      </c>
      <c r="Q239" s="25">
        <f t="shared" si="71"/>
        <v>0</v>
      </c>
      <c r="R239" s="25">
        <f t="shared" si="72"/>
        <v>0</v>
      </c>
      <c r="S239" s="25">
        <f t="shared" si="73"/>
        <v>0</v>
      </c>
      <c r="T239" s="25">
        <f t="shared" si="74"/>
        <v>0</v>
      </c>
      <c r="U239" s="25">
        <f t="shared" si="75"/>
        <v>0</v>
      </c>
      <c r="V239" s="25">
        <f t="shared" si="76"/>
        <v>0</v>
      </c>
      <c r="W239" s="25">
        <f t="shared" si="77"/>
        <v>0</v>
      </c>
      <c r="X239" s="64">
        <f t="shared" si="78"/>
        <v>0</v>
      </c>
      <c r="Y239" s="64">
        <f t="shared" si="79"/>
        <v>0</v>
      </c>
      <c r="Z239" s="64">
        <f t="shared" si="80"/>
        <v>0</v>
      </c>
      <c r="AA239" s="64">
        <f t="shared" si="81"/>
        <v>0</v>
      </c>
      <c r="AB239" s="64">
        <f t="shared" si="82"/>
        <v>0</v>
      </c>
      <c r="AC239" s="64">
        <f t="shared" si="83"/>
        <v>0</v>
      </c>
      <c r="AD239" s="64">
        <f t="shared" si="84"/>
        <v>0</v>
      </c>
      <c r="AE239" s="64">
        <f t="shared" si="85"/>
        <v>0</v>
      </c>
      <c r="AF239" s="64">
        <f t="shared" si="86"/>
        <v>0</v>
      </c>
      <c r="AG239" s="29">
        <f t="shared" si="87"/>
        <v>214.63</v>
      </c>
    </row>
    <row r="240" spans="1:33" s="20" customFormat="1">
      <c r="A240" s="265">
        <v>10910006</v>
      </c>
      <c r="B240" s="265" t="s">
        <v>320</v>
      </c>
      <c r="C240" s="265" t="s">
        <v>821</v>
      </c>
      <c r="D240" s="265">
        <v>100000039</v>
      </c>
      <c r="E240" s="265" t="s">
        <v>634</v>
      </c>
      <c r="F240" s="265" t="s">
        <v>0</v>
      </c>
      <c r="G240" s="266">
        <v>31523.29</v>
      </c>
      <c r="H240" s="266">
        <v>31523.29</v>
      </c>
      <c r="I240" s="268">
        <v>46015</v>
      </c>
      <c r="J240" s="268">
        <v>46105</v>
      </c>
      <c r="K240" s="268">
        <v>46105</v>
      </c>
      <c r="L240" s="224" t="str">
        <f t="shared" si="88"/>
        <v>10910006_AUD_100000039_QANTAS AIRWAYS LIMITED</v>
      </c>
      <c r="M240" s="221">
        <f t="shared" si="68"/>
        <v>31523.29</v>
      </c>
      <c r="N240" s="24" t="str">
        <f>IF(OR(L240=$L$2,L240=$L$3),$M$10+1,IFERROR(VLOOKUP(A240,'Repricing Maturity Adj.'!$A$3:$C$170,3,0),(IF(K240&lt;$M$10,"Check",K240))))</f>
        <v>Non_sensitive</v>
      </c>
      <c r="O240" s="62" t="b">
        <f t="shared" si="69"/>
        <v>1</v>
      </c>
      <c r="P240" s="63" t="str">
        <f t="shared" si="70"/>
        <v>Asset</v>
      </c>
      <c r="Q240" s="25">
        <f t="shared" si="71"/>
        <v>0</v>
      </c>
      <c r="R240" s="25">
        <f t="shared" si="72"/>
        <v>0</v>
      </c>
      <c r="S240" s="25">
        <f t="shared" si="73"/>
        <v>0</v>
      </c>
      <c r="T240" s="25">
        <f t="shared" si="74"/>
        <v>0</v>
      </c>
      <c r="U240" s="25">
        <f t="shared" si="75"/>
        <v>0</v>
      </c>
      <c r="V240" s="25">
        <f t="shared" si="76"/>
        <v>0</v>
      </c>
      <c r="W240" s="25">
        <f t="shared" si="77"/>
        <v>0</v>
      </c>
      <c r="X240" s="64">
        <f t="shared" si="78"/>
        <v>0</v>
      </c>
      <c r="Y240" s="64">
        <f t="shared" si="79"/>
        <v>0</v>
      </c>
      <c r="Z240" s="64">
        <f t="shared" si="80"/>
        <v>0</v>
      </c>
      <c r="AA240" s="64">
        <f t="shared" si="81"/>
        <v>0</v>
      </c>
      <c r="AB240" s="64">
        <f t="shared" si="82"/>
        <v>0</v>
      </c>
      <c r="AC240" s="64">
        <f t="shared" si="83"/>
        <v>0</v>
      </c>
      <c r="AD240" s="64">
        <f t="shared" si="84"/>
        <v>0</v>
      </c>
      <c r="AE240" s="64">
        <f t="shared" si="85"/>
        <v>0</v>
      </c>
      <c r="AF240" s="64">
        <f t="shared" si="86"/>
        <v>0</v>
      </c>
      <c r="AG240" s="29">
        <f t="shared" si="87"/>
        <v>31523.29</v>
      </c>
    </row>
    <row r="241" spans="1:33" s="20" customFormat="1">
      <c r="A241" s="265">
        <v>10910006</v>
      </c>
      <c r="B241" s="265" t="s">
        <v>320</v>
      </c>
      <c r="C241" s="265" t="s">
        <v>851</v>
      </c>
      <c r="D241" s="265">
        <v>100000014</v>
      </c>
      <c r="E241" s="265" t="s">
        <v>278</v>
      </c>
      <c r="F241" s="265" t="s">
        <v>301</v>
      </c>
      <c r="G241" s="266">
        <v>51.29</v>
      </c>
      <c r="H241" s="266">
        <v>73.290000000000006</v>
      </c>
      <c r="I241" s="268">
        <v>46058</v>
      </c>
      <c r="J241" s="268">
        <v>46086</v>
      </c>
      <c r="K241" s="268">
        <v>46086</v>
      </c>
      <c r="L241" s="224" t="str">
        <f t="shared" si="88"/>
        <v>10910006_USD_100000014_PERDAMAN CHEMICALS &amp; FERTILISERS (FINANCE)PTY LTD</v>
      </c>
      <c r="M241" s="221">
        <f t="shared" si="68"/>
        <v>73.290000000000006</v>
      </c>
      <c r="N241" s="24" t="str">
        <f>IF(OR(L241=$L$2,L241=$L$3),$M$10+1,IFERROR(VLOOKUP(A241,'Repricing Maturity Adj.'!$A$3:$C$170,3,0),(IF(K241&lt;$M$10,"Check",K241))))</f>
        <v>Non_sensitive</v>
      </c>
      <c r="O241" s="62" t="b">
        <f t="shared" si="69"/>
        <v>1</v>
      </c>
      <c r="P241" s="63" t="str">
        <f t="shared" si="70"/>
        <v>Asset</v>
      </c>
      <c r="Q241" s="25">
        <f t="shared" si="71"/>
        <v>0</v>
      </c>
      <c r="R241" s="25">
        <f t="shared" si="72"/>
        <v>0</v>
      </c>
      <c r="S241" s="25">
        <f t="shared" si="73"/>
        <v>0</v>
      </c>
      <c r="T241" s="25">
        <f t="shared" si="74"/>
        <v>0</v>
      </c>
      <c r="U241" s="25">
        <f t="shared" si="75"/>
        <v>0</v>
      </c>
      <c r="V241" s="25">
        <f t="shared" si="76"/>
        <v>0</v>
      </c>
      <c r="W241" s="25">
        <f t="shared" si="77"/>
        <v>0</v>
      </c>
      <c r="X241" s="64">
        <f t="shared" si="78"/>
        <v>0</v>
      </c>
      <c r="Y241" s="64">
        <f t="shared" si="79"/>
        <v>0</v>
      </c>
      <c r="Z241" s="64">
        <f t="shared" si="80"/>
        <v>0</v>
      </c>
      <c r="AA241" s="64">
        <f t="shared" si="81"/>
        <v>0</v>
      </c>
      <c r="AB241" s="64">
        <f t="shared" si="82"/>
        <v>0</v>
      </c>
      <c r="AC241" s="64">
        <f t="shared" si="83"/>
        <v>0</v>
      </c>
      <c r="AD241" s="64">
        <f t="shared" si="84"/>
        <v>0</v>
      </c>
      <c r="AE241" s="64">
        <f t="shared" si="85"/>
        <v>0</v>
      </c>
      <c r="AF241" s="64">
        <f t="shared" si="86"/>
        <v>0</v>
      </c>
      <c r="AG241" s="29">
        <f t="shared" si="87"/>
        <v>73.290000000000006</v>
      </c>
    </row>
    <row r="242" spans="1:33" s="20" customFormat="1">
      <c r="A242" s="265">
        <v>10910006</v>
      </c>
      <c r="B242" s="265" t="s">
        <v>320</v>
      </c>
      <c r="C242" s="265" t="s">
        <v>852</v>
      </c>
      <c r="D242" s="265">
        <v>100000014</v>
      </c>
      <c r="E242" s="265" t="s">
        <v>278</v>
      </c>
      <c r="F242" s="265" t="s">
        <v>301</v>
      </c>
      <c r="G242" s="266">
        <v>138.03</v>
      </c>
      <c r="H242" s="266">
        <v>197.24</v>
      </c>
      <c r="I242" s="268">
        <v>46058</v>
      </c>
      <c r="J242" s="268">
        <v>46086</v>
      </c>
      <c r="K242" s="268">
        <v>46086</v>
      </c>
      <c r="L242" s="224" t="str">
        <f t="shared" si="88"/>
        <v>10910006_USD_100000014_PERDAMAN CHEMICALS &amp; FERTILISERS (FINANCE)PTY LTD</v>
      </c>
      <c r="M242" s="221">
        <f t="shared" si="68"/>
        <v>197.24</v>
      </c>
      <c r="N242" s="24" t="str">
        <f>IF(OR(L242=$L$2,L242=$L$3),$M$10+1,IFERROR(VLOOKUP(A242,'Repricing Maturity Adj.'!$A$3:$C$170,3,0),(IF(K242&lt;$M$10,"Check",K242))))</f>
        <v>Non_sensitive</v>
      </c>
      <c r="O242" s="62" t="b">
        <f t="shared" si="69"/>
        <v>1</v>
      </c>
      <c r="P242" s="63" t="str">
        <f t="shared" si="70"/>
        <v>Asset</v>
      </c>
      <c r="Q242" s="25">
        <f t="shared" si="71"/>
        <v>0</v>
      </c>
      <c r="R242" s="25">
        <f t="shared" si="72"/>
        <v>0</v>
      </c>
      <c r="S242" s="25">
        <f t="shared" si="73"/>
        <v>0</v>
      </c>
      <c r="T242" s="25">
        <f t="shared" si="74"/>
        <v>0</v>
      </c>
      <c r="U242" s="25">
        <f t="shared" si="75"/>
        <v>0</v>
      </c>
      <c r="V242" s="25">
        <f t="shared" si="76"/>
        <v>0</v>
      </c>
      <c r="W242" s="25">
        <f t="shared" si="77"/>
        <v>0</v>
      </c>
      <c r="X242" s="64">
        <f t="shared" si="78"/>
        <v>0</v>
      </c>
      <c r="Y242" s="64">
        <f t="shared" si="79"/>
        <v>0</v>
      </c>
      <c r="Z242" s="64">
        <f t="shared" si="80"/>
        <v>0</v>
      </c>
      <c r="AA242" s="64">
        <f t="shared" si="81"/>
        <v>0</v>
      </c>
      <c r="AB242" s="64">
        <f t="shared" si="82"/>
        <v>0</v>
      </c>
      <c r="AC242" s="64">
        <f t="shared" si="83"/>
        <v>0</v>
      </c>
      <c r="AD242" s="64">
        <f t="shared" si="84"/>
        <v>0</v>
      </c>
      <c r="AE242" s="64">
        <f t="shared" si="85"/>
        <v>0</v>
      </c>
      <c r="AF242" s="64">
        <f t="shared" si="86"/>
        <v>0</v>
      </c>
      <c r="AG242" s="29">
        <f t="shared" si="87"/>
        <v>197.24</v>
      </c>
    </row>
    <row r="243" spans="1:33" s="20" customFormat="1">
      <c r="A243" s="265">
        <v>10910006</v>
      </c>
      <c r="B243" s="265" t="s">
        <v>320</v>
      </c>
      <c r="C243" s="265" t="s">
        <v>862</v>
      </c>
      <c r="D243" s="265">
        <v>100000014</v>
      </c>
      <c r="E243" s="265" t="s">
        <v>278</v>
      </c>
      <c r="F243" s="265" t="s">
        <v>301</v>
      </c>
      <c r="G243" s="266">
        <v>51.44</v>
      </c>
      <c r="H243" s="266">
        <v>73.510000000000005</v>
      </c>
      <c r="I243" s="268">
        <v>46058</v>
      </c>
      <c r="J243" s="268">
        <v>46086</v>
      </c>
      <c r="K243" s="268">
        <v>46086</v>
      </c>
      <c r="L243" s="224" t="str">
        <f t="shared" si="88"/>
        <v>10910006_USD_100000014_PERDAMAN CHEMICALS &amp; FERTILISERS (FINANCE)PTY LTD</v>
      </c>
      <c r="M243" s="221">
        <f t="shared" si="68"/>
        <v>73.510000000000005</v>
      </c>
      <c r="N243" s="24" t="str">
        <f>IF(OR(L243=$L$2,L243=$L$3),$M$10+1,IFERROR(VLOOKUP(A243,'Repricing Maturity Adj.'!$A$3:$C$170,3,0),(IF(K243&lt;$M$10,"Check",K243))))</f>
        <v>Non_sensitive</v>
      </c>
      <c r="O243" s="62" t="b">
        <f t="shared" si="69"/>
        <v>1</v>
      </c>
      <c r="P243" s="63" t="str">
        <f t="shared" si="70"/>
        <v>Asset</v>
      </c>
      <c r="Q243" s="25">
        <f t="shared" si="71"/>
        <v>0</v>
      </c>
      <c r="R243" s="25">
        <f t="shared" si="72"/>
        <v>0</v>
      </c>
      <c r="S243" s="25">
        <f t="shared" si="73"/>
        <v>0</v>
      </c>
      <c r="T243" s="25">
        <f t="shared" si="74"/>
        <v>0</v>
      </c>
      <c r="U243" s="25">
        <f t="shared" si="75"/>
        <v>0</v>
      </c>
      <c r="V243" s="25">
        <f t="shared" si="76"/>
        <v>0</v>
      </c>
      <c r="W243" s="25">
        <f t="shared" si="77"/>
        <v>0</v>
      </c>
      <c r="X243" s="64">
        <f t="shared" si="78"/>
        <v>0</v>
      </c>
      <c r="Y243" s="64">
        <f t="shared" si="79"/>
        <v>0</v>
      </c>
      <c r="Z243" s="64">
        <f t="shared" si="80"/>
        <v>0</v>
      </c>
      <c r="AA243" s="64">
        <f t="shared" si="81"/>
        <v>0</v>
      </c>
      <c r="AB243" s="64">
        <f t="shared" si="82"/>
        <v>0</v>
      </c>
      <c r="AC243" s="64">
        <f t="shared" si="83"/>
        <v>0</v>
      </c>
      <c r="AD243" s="64">
        <f t="shared" si="84"/>
        <v>0</v>
      </c>
      <c r="AE243" s="64">
        <f t="shared" si="85"/>
        <v>0</v>
      </c>
      <c r="AF243" s="64">
        <f t="shared" si="86"/>
        <v>0</v>
      </c>
      <c r="AG243" s="29">
        <f t="shared" si="87"/>
        <v>73.510000000000005</v>
      </c>
    </row>
    <row r="244" spans="1:33" s="20" customFormat="1">
      <c r="A244" s="265">
        <v>10910006</v>
      </c>
      <c r="B244" s="265" t="s">
        <v>320</v>
      </c>
      <c r="C244" s="265" t="s">
        <v>861</v>
      </c>
      <c r="D244" s="265">
        <v>100000033</v>
      </c>
      <c r="E244" s="265" t="s">
        <v>573</v>
      </c>
      <c r="F244" s="265" t="s">
        <v>301</v>
      </c>
      <c r="G244" s="266">
        <v>33517.33</v>
      </c>
      <c r="H244" s="266">
        <v>47895.58</v>
      </c>
      <c r="I244" s="268">
        <v>46035</v>
      </c>
      <c r="J244" s="268">
        <v>46066</v>
      </c>
      <c r="K244" s="268">
        <v>46066</v>
      </c>
      <c r="L244" s="224" t="str">
        <f t="shared" si="88"/>
        <v>10910006_USD_100000033_MACQUARIE GROUP LIMITED</v>
      </c>
      <c r="M244" s="221">
        <f t="shared" si="68"/>
        <v>47895.58</v>
      </c>
      <c r="N244" s="24" t="str">
        <f>IF(OR(L244=$L$2,L244=$L$3),$M$10+1,IFERROR(VLOOKUP(A244,'Repricing Maturity Adj.'!$A$3:$C$170,3,0),(IF(K244&lt;$M$10,"Check",K244))))</f>
        <v>Non_sensitive</v>
      </c>
      <c r="O244" s="62" t="b">
        <f t="shared" si="69"/>
        <v>1</v>
      </c>
      <c r="P244" s="63" t="str">
        <f t="shared" si="70"/>
        <v>Asset</v>
      </c>
      <c r="Q244" s="25">
        <f t="shared" si="71"/>
        <v>0</v>
      </c>
      <c r="R244" s="25">
        <f t="shared" si="72"/>
        <v>0</v>
      </c>
      <c r="S244" s="25">
        <f t="shared" si="73"/>
        <v>0</v>
      </c>
      <c r="T244" s="25">
        <f t="shared" si="74"/>
        <v>0</v>
      </c>
      <c r="U244" s="25">
        <f t="shared" si="75"/>
        <v>0</v>
      </c>
      <c r="V244" s="25">
        <f t="shared" si="76"/>
        <v>0</v>
      </c>
      <c r="W244" s="25">
        <f t="shared" si="77"/>
        <v>0</v>
      </c>
      <c r="X244" s="64">
        <f t="shared" si="78"/>
        <v>0</v>
      </c>
      <c r="Y244" s="64">
        <f t="shared" si="79"/>
        <v>0</v>
      </c>
      <c r="Z244" s="64">
        <f t="shared" si="80"/>
        <v>0</v>
      </c>
      <c r="AA244" s="64">
        <f t="shared" si="81"/>
        <v>0</v>
      </c>
      <c r="AB244" s="64">
        <f t="shared" si="82"/>
        <v>0</v>
      </c>
      <c r="AC244" s="64">
        <f t="shared" si="83"/>
        <v>0</v>
      </c>
      <c r="AD244" s="64">
        <f t="shared" si="84"/>
        <v>0</v>
      </c>
      <c r="AE244" s="64">
        <f t="shared" si="85"/>
        <v>0</v>
      </c>
      <c r="AF244" s="64">
        <f t="shared" si="86"/>
        <v>0</v>
      </c>
      <c r="AG244" s="29">
        <f t="shared" si="87"/>
        <v>47895.58</v>
      </c>
    </row>
    <row r="245" spans="1:33" s="20" customFormat="1">
      <c r="A245" s="265">
        <v>10910006</v>
      </c>
      <c r="B245" s="265" t="s">
        <v>320</v>
      </c>
      <c r="C245" s="265" t="s">
        <v>863</v>
      </c>
      <c r="D245" s="265">
        <v>100000014</v>
      </c>
      <c r="E245" s="265" t="s">
        <v>278</v>
      </c>
      <c r="F245" s="265" t="s">
        <v>301</v>
      </c>
      <c r="G245" s="266">
        <v>113.67</v>
      </c>
      <c r="H245" s="266">
        <v>162.43</v>
      </c>
      <c r="I245" s="268">
        <v>46058</v>
      </c>
      <c r="J245" s="268">
        <v>46086</v>
      </c>
      <c r="K245" s="268">
        <v>46086</v>
      </c>
      <c r="L245" s="224" t="str">
        <f t="shared" si="88"/>
        <v>10910006_USD_100000014_PERDAMAN CHEMICALS &amp; FERTILISERS (FINANCE)PTY LTD</v>
      </c>
      <c r="M245" s="221">
        <f t="shared" si="68"/>
        <v>162.43</v>
      </c>
      <c r="N245" s="24" t="str">
        <f>IF(OR(L245=$L$2,L245=$L$3),$M$10+1,IFERROR(VLOOKUP(A245,'Repricing Maturity Adj.'!$A$3:$C$170,3,0),(IF(K245&lt;$M$10,"Check",K245))))</f>
        <v>Non_sensitive</v>
      </c>
      <c r="O245" s="62" t="b">
        <f t="shared" si="69"/>
        <v>1</v>
      </c>
      <c r="P245" s="63" t="str">
        <f t="shared" si="70"/>
        <v>Asset</v>
      </c>
      <c r="Q245" s="25">
        <f t="shared" si="71"/>
        <v>0</v>
      </c>
      <c r="R245" s="25">
        <f t="shared" si="72"/>
        <v>0</v>
      </c>
      <c r="S245" s="25">
        <f t="shared" si="73"/>
        <v>0</v>
      </c>
      <c r="T245" s="25">
        <f t="shared" si="74"/>
        <v>0</v>
      </c>
      <c r="U245" s="25">
        <f t="shared" si="75"/>
        <v>0</v>
      </c>
      <c r="V245" s="25">
        <f t="shared" si="76"/>
        <v>0</v>
      </c>
      <c r="W245" s="25">
        <f t="shared" si="77"/>
        <v>0</v>
      </c>
      <c r="X245" s="64">
        <f t="shared" si="78"/>
        <v>0</v>
      </c>
      <c r="Y245" s="64">
        <f t="shared" si="79"/>
        <v>0</v>
      </c>
      <c r="Z245" s="64">
        <f t="shared" si="80"/>
        <v>0</v>
      </c>
      <c r="AA245" s="64">
        <f t="shared" si="81"/>
        <v>0</v>
      </c>
      <c r="AB245" s="64">
        <f t="shared" si="82"/>
        <v>0</v>
      </c>
      <c r="AC245" s="64">
        <f t="shared" si="83"/>
        <v>0</v>
      </c>
      <c r="AD245" s="64">
        <f t="shared" si="84"/>
        <v>0</v>
      </c>
      <c r="AE245" s="64">
        <f t="shared" si="85"/>
        <v>0</v>
      </c>
      <c r="AF245" s="64">
        <f t="shared" si="86"/>
        <v>0</v>
      </c>
      <c r="AG245" s="29">
        <f t="shared" si="87"/>
        <v>162.43</v>
      </c>
    </row>
    <row r="246" spans="1:33" s="20" customFormat="1">
      <c r="A246" s="265">
        <v>10910006</v>
      </c>
      <c r="B246" s="265" t="s">
        <v>320</v>
      </c>
      <c r="C246" s="265" t="s">
        <v>872</v>
      </c>
      <c r="D246" s="265">
        <v>100000014</v>
      </c>
      <c r="E246" s="265" t="s">
        <v>278</v>
      </c>
      <c r="F246" s="265" t="s">
        <v>301</v>
      </c>
      <c r="G246" s="266">
        <v>47.55</v>
      </c>
      <c r="H246" s="266">
        <v>67.95</v>
      </c>
      <c r="I246" s="268">
        <v>46058</v>
      </c>
      <c r="J246" s="268">
        <v>46086</v>
      </c>
      <c r="K246" s="268">
        <v>46086</v>
      </c>
      <c r="L246" s="224" t="str">
        <f t="shared" si="88"/>
        <v>10910006_USD_100000014_PERDAMAN CHEMICALS &amp; FERTILISERS (FINANCE)PTY LTD</v>
      </c>
      <c r="M246" s="221">
        <f t="shared" si="68"/>
        <v>67.95</v>
      </c>
      <c r="N246" s="24" t="str">
        <f>IF(OR(L246=$L$2,L246=$L$3),$M$10+1,IFERROR(VLOOKUP(A246,'Repricing Maturity Adj.'!$A$3:$C$170,3,0),(IF(K246&lt;$M$10,"Check",K246))))</f>
        <v>Non_sensitive</v>
      </c>
      <c r="O246" s="62" t="b">
        <f t="shared" si="69"/>
        <v>1</v>
      </c>
      <c r="P246" s="63" t="str">
        <f t="shared" si="70"/>
        <v>Asset</v>
      </c>
      <c r="Q246" s="25">
        <f t="shared" si="71"/>
        <v>0</v>
      </c>
      <c r="R246" s="25">
        <f t="shared" si="72"/>
        <v>0</v>
      </c>
      <c r="S246" s="25">
        <f t="shared" si="73"/>
        <v>0</v>
      </c>
      <c r="T246" s="25">
        <f t="shared" si="74"/>
        <v>0</v>
      </c>
      <c r="U246" s="25">
        <f t="shared" si="75"/>
        <v>0</v>
      </c>
      <c r="V246" s="25">
        <f t="shared" si="76"/>
        <v>0</v>
      </c>
      <c r="W246" s="25">
        <f t="shared" si="77"/>
        <v>0</v>
      </c>
      <c r="X246" s="64">
        <f t="shared" si="78"/>
        <v>0</v>
      </c>
      <c r="Y246" s="64">
        <f t="shared" si="79"/>
        <v>0</v>
      </c>
      <c r="Z246" s="64">
        <f t="shared" si="80"/>
        <v>0</v>
      </c>
      <c r="AA246" s="64">
        <f t="shared" si="81"/>
        <v>0</v>
      </c>
      <c r="AB246" s="64">
        <f t="shared" si="82"/>
        <v>0</v>
      </c>
      <c r="AC246" s="64">
        <f t="shared" si="83"/>
        <v>0</v>
      </c>
      <c r="AD246" s="64">
        <f t="shared" si="84"/>
        <v>0</v>
      </c>
      <c r="AE246" s="64">
        <f t="shared" si="85"/>
        <v>0</v>
      </c>
      <c r="AF246" s="64">
        <f t="shared" si="86"/>
        <v>0</v>
      </c>
      <c r="AG246" s="29">
        <f t="shared" si="87"/>
        <v>67.95</v>
      </c>
    </row>
    <row r="247" spans="1:33" s="20" customFormat="1">
      <c r="A247" s="265">
        <v>10910006</v>
      </c>
      <c r="B247" s="265" t="s">
        <v>320</v>
      </c>
      <c r="C247" s="265" t="s">
        <v>873</v>
      </c>
      <c r="D247" s="265">
        <v>100000014</v>
      </c>
      <c r="E247" s="265" t="s">
        <v>278</v>
      </c>
      <c r="F247" s="265" t="s">
        <v>301</v>
      </c>
      <c r="G247" s="266">
        <v>117.73</v>
      </c>
      <c r="H247" s="266">
        <v>168.23</v>
      </c>
      <c r="I247" s="268">
        <v>46058</v>
      </c>
      <c r="J247" s="268">
        <v>46086</v>
      </c>
      <c r="K247" s="268">
        <v>46086</v>
      </c>
      <c r="L247" s="224" t="str">
        <f t="shared" si="88"/>
        <v>10910006_USD_100000014_PERDAMAN CHEMICALS &amp; FERTILISERS (FINANCE)PTY LTD</v>
      </c>
      <c r="M247" s="221">
        <f t="shared" si="68"/>
        <v>168.23</v>
      </c>
      <c r="N247" s="24" t="str">
        <f>IF(OR(L247=$L$2,L247=$L$3),$M$10+1,IFERROR(VLOOKUP(A247,'Repricing Maturity Adj.'!$A$3:$C$170,3,0),(IF(K247&lt;$M$10,"Check",K247))))</f>
        <v>Non_sensitive</v>
      </c>
      <c r="O247" s="62" t="b">
        <f t="shared" si="69"/>
        <v>1</v>
      </c>
      <c r="P247" s="63" t="str">
        <f t="shared" si="70"/>
        <v>Asset</v>
      </c>
      <c r="Q247" s="25">
        <f t="shared" si="71"/>
        <v>0</v>
      </c>
      <c r="R247" s="25">
        <f t="shared" si="72"/>
        <v>0</v>
      </c>
      <c r="S247" s="25">
        <f t="shared" si="73"/>
        <v>0</v>
      </c>
      <c r="T247" s="25">
        <f t="shared" si="74"/>
        <v>0</v>
      </c>
      <c r="U247" s="25">
        <f t="shared" si="75"/>
        <v>0</v>
      </c>
      <c r="V247" s="25">
        <f t="shared" si="76"/>
        <v>0</v>
      </c>
      <c r="W247" s="25">
        <f t="shared" si="77"/>
        <v>0</v>
      </c>
      <c r="X247" s="64">
        <f t="shared" si="78"/>
        <v>0</v>
      </c>
      <c r="Y247" s="64">
        <f t="shared" si="79"/>
        <v>0</v>
      </c>
      <c r="Z247" s="64">
        <f t="shared" si="80"/>
        <v>0</v>
      </c>
      <c r="AA247" s="64">
        <f t="shared" si="81"/>
        <v>0</v>
      </c>
      <c r="AB247" s="64">
        <f t="shared" si="82"/>
        <v>0</v>
      </c>
      <c r="AC247" s="64">
        <f t="shared" si="83"/>
        <v>0</v>
      </c>
      <c r="AD247" s="64">
        <f t="shared" si="84"/>
        <v>0</v>
      </c>
      <c r="AE247" s="64">
        <f t="shared" si="85"/>
        <v>0</v>
      </c>
      <c r="AF247" s="64">
        <f t="shared" si="86"/>
        <v>0</v>
      </c>
      <c r="AG247" s="29">
        <f t="shared" si="87"/>
        <v>168.23</v>
      </c>
    </row>
    <row r="248" spans="1:33" s="20" customFormat="1">
      <c r="A248" s="265">
        <v>10910006</v>
      </c>
      <c r="B248" s="265" t="s">
        <v>320</v>
      </c>
      <c r="C248" s="265" t="s">
        <v>885</v>
      </c>
      <c r="D248" s="265">
        <v>100000014</v>
      </c>
      <c r="E248" s="265" t="s">
        <v>278</v>
      </c>
      <c r="F248" s="265" t="s">
        <v>301</v>
      </c>
      <c r="G248" s="266">
        <v>52.08</v>
      </c>
      <c r="H248" s="266">
        <v>74.42</v>
      </c>
      <c r="I248" s="268">
        <v>46058</v>
      </c>
      <c r="J248" s="268">
        <v>46086</v>
      </c>
      <c r="K248" s="268">
        <v>46086</v>
      </c>
      <c r="L248" s="224" t="str">
        <f t="shared" si="88"/>
        <v>10910006_USD_100000014_PERDAMAN CHEMICALS &amp; FERTILISERS (FINANCE)PTY LTD</v>
      </c>
      <c r="M248" s="221">
        <f t="shared" si="68"/>
        <v>74.42</v>
      </c>
      <c r="N248" s="24" t="str">
        <f>IF(OR(L248=$L$2,L248=$L$3),$M$10+1,IFERROR(VLOOKUP(A248,'Repricing Maturity Adj.'!$A$3:$C$170,3,0),(IF(K248&lt;$M$10,"Check",K248))))</f>
        <v>Non_sensitive</v>
      </c>
      <c r="O248" s="62" t="b">
        <f t="shared" si="69"/>
        <v>1</v>
      </c>
      <c r="P248" s="63" t="str">
        <f t="shared" si="70"/>
        <v>Asset</v>
      </c>
      <c r="Q248" s="25">
        <f t="shared" si="71"/>
        <v>0</v>
      </c>
      <c r="R248" s="25">
        <f t="shared" si="72"/>
        <v>0</v>
      </c>
      <c r="S248" s="25">
        <f t="shared" si="73"/>
        <v>0</v>
      </c>
      <c r="T248" s="25">
        <f t="shared" si="74"/>
        <v>0</v>
      </c>
      <c r="U248" s="25">
        <f t="shared" si="75"/>
        <v>0</v>
      </c>
      <c r="V248" s="25">
        <f t="shared" si="76"/>
        <v>0</v>
      </c>
      <c r="W248" s="25">
        <f t="shared" si="77"/>
        <v>0</v>
      </c>
      <c r="X248" s="64">
        <f t="shared" si="78"/>
        <v>0</v>
      </c>
      <c r="Y248" s="64">
        <f t="shared" si="79"/>
        <v>0</v>
      </c>
      <c r="Z248" s="64">
        <f t="shared" si="80"/>
        <v>0</v>
      </c>
      <c r="AA248" s="64">
        <f t="shared" si="81"/>
        <v>0</v>
      </c>
      <c r="AB248" s="64">
        <f t="shared" si="82"/>
        <v>0</v>
      </c>
      <c r="AC248" s="64">
        <f t="shared" si="83"/>
        <v>0</v>
      </c>
      <c r="AD248" s="64">
        <f t="shared" si="84"/>
        <v>0</v>
      </c>
      <c r="AE248" s="64">
        <f t="shared" si="85"/>
        <v>0</v>
      </c>
      <c r="AF248" s="64">
        <f t="shared" si="86"/>
        <v>0</v>
      </c>
      <c r="AG248" s="29">
        <f t="shared" si="87"/>
        <v>74.42</v>
      </c>
    </row>
    <row r="249" spans="1:33" s="20" customFormat="1">
      <c r="A249" s="265">
        <v>10910006</v>
      </c>
      <c r="B249" s="265" t="s">
        <v>320</v>
      </c>
      <c r="C249" s="265" t="s">
        <v>933</v>
      </c>
      <c r="D249" s="265">
        <v>100000014</v>
      </c>
      <c r="E249" s="265" t="s">
        <v>278</v>
      </c>
      <c r="F249" s="265" t="s">
        <v>301</v>
      </c>
      <c r="G249" s="266">
        <v>51.73</v>
      </c>
      <c r="H249" s="266">
        <v>73.92</v>
      </c>
      <c r="I249" s="268">
        <v>46058</v>
      </c>
      <c r="J249" s="268">
        <v>46086</v>
      </c>
      <c r="K249" s="268">
        <v>46086</v>
      </c>
      <c r="L249" s="224" t="str">
        <f t="shared" si="88"/>
        <v>10910006_USD_100000014_PERDAMAN CHEMICALS &amp; FERTILISERS (FINANCE)PTY LTD</v>
      </c>
      <c r="M249" s="221">
        <f t="shared" si="68"/>
        <v>73.92</v>
      </c>
      <c r="N249" s="24" t="str">
        <f>IF(OR(L249=$L$2,L249=$L$3),$M$10+1,IFERROR(VLOOKUP(A249,'Repricing Maturity Adj.'!$A$3:$C$170,3,0),(IF(K249&lt;$M$10,"Check",K249))))</f>
        <v>Non_sensitive</v>
      </c>
      <c r="O249" s="62" t="b">
        <f t="shared" si="69"/>
        <v>1</v>
      </c>
      <c r="P249" s="63" t="str">
        <f t="shared" si="70"/>
        <v>Asset</v>
      </c>
      <c r="Q249" s="25">
        <f t="shared" si="71"/>
        <v>0</v>
      </c>
      <c r="R249" s="25">
        <f t="shared" si="72"/>
        <v>0</v>
      </c>
      <c r="S249" s="25">
        <f t="shared" si="73"/>
        <v>0</v>
      </c>
      <c r="T249" s="25">
        <f t="shared" si="74"/>
        <v>0</v>
      </c>
      <c r="U249" s="25">
        <f t="shared" si="75"/>
        <v>0</v>
      </c>
      <c r="V249" s="25">
        <f t="shared" si="76"/>
        <v>0</v>
      </c>
      <c r="W249" s="25">
        <f t="shared" si="77"/>
        <v>0</v>
      </c>
      <c r="X249" s="64">
        <f t="shared" si="78"/>
        <v>0</v>
      </c>
      <c r="Y249" s="64">
        <f t="shared" si="79"/>
        <v>0</v>
      </c>
      <c r="Z249" s="64">
        <f t="shared" si="80"/>
        <v>0</v>
      </c>
      <c r="AA249" s="64">
        <f t="shared" si="81"/>
        <v>0</v>
      </c>
      <c r="AB249" s="64">
        <f t="shared" si="82"/>
        <v>0</v>
      </c>
      <c r="AC249" s="64">
        <f t="shared" si="83"/>
        <v>0</v>
      </c>
      <c r="AD249" s="64">
        <f t="shared" si="84"/>
        <v>0</v>
      </c>
      <c r="AE249" s="64">
        <f t="shared" si="85"/>
        <v>0</v>
      </c>
      <c r="AF249" s="64">
        <f t="shared" si="86"/>
        <v>0</v>
      </c>
      <c r="AG249" s="29">
        <f t="shared" si="87"/>
        <v>73.92</v>
      </c>
    </row>
    <row r="250" spans="1:33" s="20" customFormat="1">
      <c r="A250" s="265">
        <v>10910012</v>
      </c>
      <c r="B250" s="265" t="s">
        <v>498</v>
      </c>
      <c r="C250" s="265" t="s">
        <v>550</v>
      </c>
      <c r="D250" s="265">
        <v>100000027</v>
      </c>
      <c r="E250" s="265" t="s">
        <v>551</v>
      </c>
      <c r="F250" s="265" t="s">
        <v>0</v>
      </c>
      <c r="G250" s="266">
        <v>61533.15</v>
      </c>
      <c r="H250" s="266">
        <v>61533.15</v>
      </c>
      <c r="I250" s="268">
        <v>45978</v>
      </c>
      <c r="J250" s="268">
        <v>46159</v>
      </c>
      <c r="K250" s="268">
        <v>46159</v>
      </c>
      <c r="L250" s="224" t="str">
        <f t="shared" si="88"/>
        <v>10910012_AUD_100000027_TREASURY CORPORATION OF VICTORIA</v>
      </c>
      <c r="M250" s="221">
        <f t="shared" si="68"/>
        <v>61533.15</v>
      </c>
      <c r="N250" s="24" t="str">
        <f>IF(OR(L250=$L$2,L250=$L$3),$M$10+1,IFERROR(VLOOKUP(A250,'Repricing Maturity Adj.'!$A$3:$C$170,3,0),(IF(K250&lt;$M$10,"Check",K250))))</f>
        <v>Non_sensitive</v>
      </c>
      <c r="O250" s="62" t="b">
        <f t="shared" si="69"/>
        <v>1</v>
      </c>
      <c r="P250" s="63" t="str">
        <f t="shared" si="70"/>
        <v>Asset</v>
      </c>
      <c r="Q250" s="25">
        <f t="shared" si="71"/>
        <v>0</v>
      </c>
      <c r="R250" s="25">
        <f t="shared" si="72"/>
        <v>0</v>
      </c>
      <c r="S250" s="25">
        <f t="shared" si="73"/>
        <v>0</v>
      </c>
      <c r="T250" s="25">
        <f t="shared" si="74"/>
        <v>0</v>
      </c>
      <c r="U250" s="25">
        <f t="shared" si="75"/>
        <v>0</v>
      </c>
      <c r="V250" s="25">
        <f t="shared" si="76"/>
        <v>0</v>
      </c>
      <c r="W250" s="25">
        <f t="shared" si="77"/>
        <v>0</v>
      </c>
      <c r="X250" s="64">
        <f t="shared" si="78"/>
        <v>0</v>
      </c>
      <c r="Y250" s="64">
        <f t="shared" si="79"/>
        <v>0</v>
      </c>
      <c r="Z250" s="64">
        <f t="shared" si="80"/>
        <v>0</v>
      </c>
      <c r="AA250" s="64">
        <f t="shared" si="81"/>
        <v>0</v>
      </c>
      <c r="AB250" s="64">
        <f t="shared" si="82"/>
        <v>0</v>
      </c>
      <c r="AC250" s="64">
        <f t="shared" si="83"/>
        <v>0</v>
      </c>
      <c r="AD250" s="64">
        <f t="shared" si="84"/>
        <v>0</v>
      </c>
      <c r="AE250" s="64">
        <f t="shared" si="85"/>
        <v>0</v>
      </c>
      <c r="AF250" s="64">
        <f t="shared" si="86"/>
        <v>0</v>
      </c>
      <c r="AG250" s="29">
        <f t="shared" si="87"/>
        <v>61533.15</v>
      </c>
    </row>
    <row r="251" spans="1:33" s="20" customFormat="1">
      <c r="A251" s="265">
        <v>10910012</v>
      </c>
      <c r="B251" s="265" t="s">
        <v>498</v>
      </c>
      <c r="C251" s="265" t="s">
        <v>570</v>
      </c>
      <c r="D251" s="265">
        <v>100000034</v>
      </c>
      <c r="E251" s="265" t="s">
        <v>571</v>
      </c>
      <c r="F251" s="265" t="s">
        <v>0</v>
      </c>
      <c r="G251" s="266">
        <v>24368.9</v>
      </c>
      <c r="H251" s="266">
        <v>24368.9</v>
      </c>
      <c r="I251" s="268">
        <v>46001</v>
      </c>
      <c r="J251" s="268">
        <v>46091</v>
      </c>
      <c r="K251" s="268">
        <v>46091</v>
      </c>
      <c r="L251" s="224" t="str">
        <f t="shared" si="88"/>
        <v>10910012_AUD_100000034_WESTERN AUSTRALIAN TREASURY CORPORATION</v>
      </c>
      <c r="M251" s="221">
        <f t="shared" si="68"/>
        <v>24368.9</v>
      </c>
      <c r="N251" s="24" t="str">
        <f>IF(OR(L251=$L$2,L251=$L$3),$M$10+1,IFERROR(VLOOKUP(A251,'Repricing Maturity Adj.'!$A$3:$C$170,3,0),(IF(K251&lt;$M$10,"Check",K251))))</f>
        <v>Non_sensitive</v>
      </c>
      <c r="O251" s="62" t="b">
        <f t="shared" si="69"/>
        <v>1</v>
      </c>
      <c r="P251" s="63" t="str">
        <f t="shared" si="70"/>
        <v>Asset</v>
      </c>
      <c r="Q251" s="25">
        <f t="shared" si="71"/>
        <v>0</v>
      </c>
      <c r="R251" s="25">
        <f t="shared" si="72"/>
        <v>0</v>
      </c>
      <c r="S251" s="25">
        <f t="shared" si="73"/>
        <v>0</v>
      </c>
      <c r="T251" s="25">
        <f t="shared" si="74"/>
        <v>0</v>
      </c>
      <c r="U251" s="25">
        <f t="shared" si="75"/>
        <v>0</v>
      </c>
      <c r="V251" s="25">
        <f t="shared" si="76"/>
        <v>0</v>
      </c>
      <c r="W251" s="25">
        <f t="shared" si="77"/>
        <v>0</v>
      </c>
      <c r="X251" s="64">
        <f t="shared" si="78"/>
        <v>0</v>
      </c>
      <c r="Y251" s="64">
        <f t="shared" si="79"/>
        <v>0</v>
      </c>
      <c r="Z251" s="64">
        <f t="shared" si="80"/>
        <v>0</v>
      </c>
      <c r="AA251" s="64">
        <f t="shared" si="81"/>
        <v>0</v>
      </c>
      <c r="AB251" s="64">
        <f t="shared" si="82"/>
        <v>0</v>
      </c>
      <c r="AC251" s="64">
        <f t="shared" si="83"/>
        <v>0</v>
      </c>
      <c r="AD251" s="64">
        <f t="shared" si="84"/>
        <v>0</v>
      </c>
      <c r="AE251" s="64">
        <f t="shared" si="85"/>
        <v>0</v>
      </c>
      <c r="AF251" s="64">
        <f t="shared" si="86"/>
        <v>0</v>
      </c>
      <c r="AG251" s="29">
        <f t="shared" si="87"/>
        <v>24368.9</v>
      </c>
    </row>
    <row r="252" spans="1:33" s="20" customFormat="1">
      <c r="A252" s="265">
        <v>10910012</v>
      </c>
      <c r="B252" s="265" t="s">
        <v>498</v>
      </c>
      <c r="C252" s="265" t="s">
        <v>630</v>
      </c>
      <c r="D252" s="265">
        <v>100000038</v>
      </c>
      <c r="E252" s="265" t="s">
        <v>631</v>
      </c>
      <c r="F252" s="265" t="s">
        <v>0</v>
      </c>
      <c r="G252" s="266">
        <v>5835.64</v>
      </c>
      <c r="H252" s="266">
        <v>5835.64</v>
      </c>
      <c r="I252" s="268">
        <v>46046</v>
      </c>
      <c r="J252" s="268">
        <v>46227</v>
      </c>
      <c r="K252" s="268">
        <v>46227</v>
      </c>
      <c r="L252" s="224" t="str">
        <f t="shared" si="88"/>
        <v>10910012_AUD_100000038_TASMANIAN PUBLIC FINANCE CORPORATION</v>
      </c>
      <c r="M252" s="221">
        <f t="shared" si="68"/>
        <v>5835.64</v>
      </c>
      <c r="N252" s="24" t="str">
        <f>IF(OR(L252=$L$2,L252=$L$3),$M$10+1,IFERROR(VLOOKUP(A252,'Repricing Maturity Adj.'!$A$3:$C$170,3,0),(IF(K252&lt;$M$10,"Check",K252))))</f>
        <v>Non_sensitive</v>
      </c>
      <c r="O252" s="62" t="b">
        <f t="shared" si="69"/>
        <v>1</v>
      </c>
      <c r="P252" s="63" t="str">
        <f t="shared" si="70"/>
        <v>Asset</v>
      </c>
      <c r="Q252" s="25">
        <f t="shared" si="71"/>
        <v>0</v>
      </c>
      <c r="R252" s="25">
        <f t="shared" si="72"/>
        <v>0</v>
      </c>
      <c r="S252" s="25">
        <f t="shared" si="73"/>
        <v>0</v>
      </c>
      <c r="T252" s="25">
        <f t="shared" si="74"/>
        <v>0</v>
      </c>
      <c r="U252" s="25">
        <f t="shared" si="75"/>
        <v>0</v>
      </c>
      <c r="V252" s="25">
        <f t="shared" si="76"/>
        <v>0</v>
      </c>
      <c r="W252" s="25">
        <f t="shared" si="77"/>
        <v>0</v>
      </c>
      <c r="X252" s="64">
        <f t="shared" si="78"/>
        <v>0</v>
      </c>
      <c r="Y252" s="64">
        <f t="shared" si="79"/>
        <v>0</v>
      </c>
      <c r="Z252" s="64">
        <f t="shared" si="80"/>
        <v>0</v>
      </c>
      <c r="AA252" s="64">
        <f t="shared" si="81"/>
        <v>0</v>
      </c>
      <c r="AB252" s="64">
        <f t="shared" si="82"/>
        <v>0</v>
      </c>
      <c r="AC252" s="64">
        <f t="shared" si="83"/>
        <v>0</v>
      </c>
      <c r="AD252" s="64">
        <f t="shared" si="84"/>
        <v>0</v>
      </c>
      <c r="AE252" s="64">
        <f t="shared" si="85"/>
        <v>0</v>
      </c>
      <c r="AF252" s="64">
        <f t="shared" si="86"/>
        <v>0</v>
      </c>
      <c r="AG252" s="29">
        <f t="shared" si="87"/>
        <v>5835.64</v>
      </c>
    </row>
    <row r="253" spans="1:33" s="20" customFormat="1">
      <c r="A253" s="265">
        <v>10910013</v>
      </c>
      <c r="B253" s="265" t="s">
        <v>607</v>
      </c>
      <c r="C253" s="265" t="s">
        <v>591</v>
      </c>
      <c r="D253" s="265">
        <v>100000037</v>
      </c>
      <c r="E253" s="265" t="s">
        <v>592</v>
      </c>
      <c r="F253" s="265" t="s">
        <v>301</v>
      </c>
      <c r="G253" s="266">
        <v>62447.92</v>
      </c>
      <c r="H253" s="266">
        <v>89236.81</v>
      </c>
      <c r="I253" s="268">
        <v>45947</v>
      </c>
      <c r="J253" s="268">
        <v>46129</v>
      </c>
      <c r="K253" s="268">
        <v>46129</v>
      </c>
      <c r="L253" s="224" t="str">
        <f t="shared" si="88"/>
        <v>10910013_USD_100000037_THE EXPORT-IMPORT BANK OF KOREA</v>
      </c>
      <c r="M253" s="221">
        <f t="shared" si="68"/>
        <v>89236.81</v>
      </c>
      <c r="N253" s="24" t="str">
        <f>IF(OR(L253=$L$2,L253=$L$3),$M$10+1,IFERROR(VLOOKUP(A253,'Repricing Maturity Adj.'!$A$3:$C$170,3,0),(IF(K253&lt;$M$10,"Check",K253))))</f>
        <v>Non_sensitive</v>
      </c>
      <c r="O253" s="62" t="b">
        <f t="shared" si="69"/>
        <v>1</v>
      </c>
      <c r="P253" s="63" t="str">
        <f t="shared" si="70"/>
        <v>Asset</v>
      </c>
      <c r="Q253" s="25">
        <f t="shared" si="71"/>
        <v>0</v>
      </c>
      <c r="R253" s="25">
        <f t="shared" si="72"/>
        <v>0</v>
      </c>
      <c r="S253" s="25">
        <f t="shared" si="73"/>
        <v>0</v>
      </c>
      <c r="T253" s="25">
        <f t="shared" si="74"/>
        <v>0</v>
      </c>
      <c r="U253" s="25">
        <f t="shared" si="75"/>
        <v>0</v>
      </c>
      <c r="V253" s="25">
        <f t="shared" si="76"/>
        <v>0</v>
      </c>
      <c r="W253" s="25">
        <f t="shared" si="77"/>
        <v>0</v>
      </c>
      <c r="X253" s="64">
        <f t="shared" si="78"/>
        <v>0</v>
      </c>
      <c r="Y253" s="64">
        <f t="shared" si="79"/>
        <v>0</v>
      </c>
      <c r="Z253" s="64">
        <f t="shared" si="80"/>
        <v>0</v>
      </c>
      <c r="AA253" s="64">
        <f t="shared" si="81"/>
        <v>0</v>
      </c>
      <c r="AB253" s="64">
        <f t="shared" si="82"/>
        <v>0</v>
      </c>
      <c r="AC253" s="64">
        <f t="shared" si="83"/>
        <v>0</v>
      </c>
      <c r="AD253" s="64">
        <f t="shared" si="84"/>
        <v>0</v>
      </c>
      <c r="AE253" s="64">
        <f t="shared" si="85"/>
        <v>0</v>
      </c>
      <c r="AF253" s="64">
        <f t="shared" si="86"/>
        <v>0</v>
      </c>
      <c r="AG253" s="29">
        <f t="shared" si="87"/>
        <v>89236.81</v>
      </c>
    </row>
    <row r="254" spans="1:33" s="20" customFormat="1">
      <c r="A254" s="265">
        <v>10910013</v>
      </c>
      <c r="B254" s="265" t="s">
        <v>607</v>
      </c>
      <c r="C254" s="265" t="s">
        <v>610</v>
      </c>
      <c r="D254" s="265">
        <v>100000037</v>
      </c>
      <c r="E254" s="265" t="s">
        <v>592</v>
      </c>
      <c r="F254" s="265" t="s">
        <v>301</v>
      </c>
      <c r="G254" s="266">
        <v>14131.94</v>
      </c>
      <c r="H254" s="266">
        <v>20194.259999999998</v>
      </c>
      <c r="I254" s="268">
        <v>46036</v>
      </c>
      <c r="J254" s="268">
        <v>46217</v>
      </c>
      <c r="K254" s="268">
        <v>46217</v>
      </c>
      <c r="L254" s="224" t="str">
        <f t="shared" si="88"/>
        <v>10910013_USD_100000037_THE EXPORT-IMPORT BANK OF KOREA</v>
      </c>
      <c r="M254" s="221">
        <f t="shared" si="68"/>
        <v>20194.259999999998</v>
      </c>
      <c r="N254" s="24" t="str">
        <f>IF(OR(L254=$L$2,L254=$L$3),$M$10+1,IFERROR(VLOOKUP(A254,'Repricing Maturity Adj.'!$A$3:$C$170,3,0),(IF(K254&lt;$M$10,"Check",K254))))</f>
        <v>Non_sensitive</v>
      </c>
      <c r="O254" s="62" t="b">
        <f t="shared" si="69"/>
        <v>1</v>
      </c>
      <c r="P254" s="63" t="str">
        <f t="shared" si="70"/>
        <v>Asset</v>
      </c>
      <c r="Q254" s="25">
        <f t="shared" si="71"/>
        <v>0</v>
      </c>
      <c r="R254" s="25">
        <f t="shared" si="72"/>
        <v>0</v>
      </c>
      <c r="S254" s="25">
        <f t="shared" si="73"/>
        <v>0</v>
      </c>
      <c r="T254" s="25">
        <f t="shared" si="74"/>
        <v>0</v>
      </c>
      <c r="U254" s="25">
        <f t="shared" si="75"/>
        <v>0</v>
      </c>
      <c r="V254" s="25">
        <f t="shared" si="76"/>
        <v>0</v>
      </c>
      <c r="W254" s="25">
        <f t="shared" si="77"/>
        <v>0</v>
      </c>
      <c r="X254" s="64">
        <f t="shared" si="78"/>
        <v>0</v>
      </c>
      <c r="Y254" s="64">
        <f t="shared" si="79"/>
        <v>0</v>
      </c>
      <c r="Z254" s="64">
        <f t="shared" si="80"/>
        <v>0</v>
      </c>
      <c r="AA254" s="64">
        <f t="shared" si="81"/>
        <v>0</v>
      </c>
      <c r="AB254" s="64">
        <f t="shared" si="82"/>
        <v>0</v>
      </c>
      <c r="AC254" s="64">
        <f t="shared" si="83"/>
        <v>0</v>
      </c>
      <c r="AD254" s="64">
        <f t="shared" si="84"/>
        <v>0</v>
      </c>
      <c r="AE254" s="64">
        <f t="shared" si="85"/>
        <v>0</v>
      </c>
      <c r="AF254" s="64">
        <f t="shared" si="86"/>
        <v>0</v>
      </c>
      <c r="AG254" s="29">
        <f t="shared" si="87"/>
        <v>20194.259999999998</v>
      </c>
    </row>
    <row r="255" spans="1:33" s="20" customFormat="1">
      <c r="A255" s="265">
        <v>10910013</v>
      </c>
      <c r="B255" s="265" t="s">
        <v>607</v>
      </c>
      <c r="C255" s="265" t="s">
        <v>632</v>
      </c>
      <c r="D255" s="265">
        <v>100000037</v>
      </c>
      <c r="E255" s="265" t="s">
        <v>592</v>
      </c>
      <c r="F255" s="265" t="s">
        <v>301</v>
      </c>
      <c r="G255" s="266">
        <v>49937.5</v>
      </c>
      <c r="H255" s="266">
        <v>71359.67</v>
      </c>
      <c r="I255" s="268">
        <v>45915</v>
      </c>
      <c r="J255" s="268">
        <v>46096</v>
      </c>
      <c r="K255" s="268">
        <v>46096</v>
      </c>
      <c r="L255" s="224" t="str">
        <f t="shared" si="88"/>
        <v>10910013_USD_100000037_THE EXPORT-IMPORT BANK OF KOREA</v>
      </c>
      <c r="M255" s="221">
        <f t="shared" ref="M255:M318" si="89">IF(COUNTIF($A$2:$A$8,A255)&gt;0,-H255,H255)</f>
        <v>71359.67</v>
      </c>
      <c r="N255" s="24" t="str">
        <f>IF(OR(L255=$L$2,L255=$L$3),$M$10+1,IFERROR(VLOOKUP(A255,'Repricing Maturity Adj.'!$A$3:$C$170,3,0),(IF(K255&lt;$M$10,"Check",K255))))</f>
        <v>Non_sensitive</v>
      </c>
      <c r="O255" s="62" t="b">
        <f t="shared" ref="O255:O318" si="90">M255=SUM(Q255:AG255)</f>
        <v>1</v>
      </c>
      <c r="P255" s="63" t="str">
        <f t="shared" ref="P255:P318" si="91">IF(A255="","N/A",IF(COUNTIF($A$2:$A$7,A255)&gt;0,"Liability",IF(COUNTIF($A$8,A255)&gt;0,"Asset",IF(A255&lt;20000000,"Asset",IF(AND(A255&gt;20000000,A255&lt;28800000),"Liability",IF(A255&gt;28800000,"Equity",""))))))</f>
        <v>Asset</v>
      </c>
      <c r="Q255" s="25">
        <f t="shared" ref="Q255:Q318" si="92">IF(AND(N255&gt;$Q$9,N255&lt;$Q$10),M255,IF(N255=$Q$10,M255,0))</f>
        <v>0</v>
      </c>
      <c r="R255" s="25">
        <f t="shared" ref="R255:R318" si="93">IF(AND(N255&gt;$R$9,N255&lt;$R$10),M255,IF(N255=$R$10,M255,0))</f>
        <v>0</v>
      </c>
      <c r="S255" s="25">
        <f t="shared" ref="S255:S318" si="94">IF(AND(N255&gt;$S$9,N255&lt;$S$10),M255,IF(N255=$S$10,M255,0))</f>
        <v>0</v>
      </c>
      <c r="T255" s="25">
        <f t="shared" ref="T255:T318" si="95">IF(AND(N255&gt;$T$9,N255&lt;$T$10),M255,IF(N255=$T$10,M255,0))</f>
        <v>0</v>
      </c>
      <c r="U255" s="25">
        <f t="shared" ref="U255:U318" si="96">IF(AND(N255&gt;$U$9,N255&lt;$U$10),M255,IF(N255=$U$10,M255,0))</f>
        <v>0</v>
      </c>
      <c r="V255" s="25">
        <f t="shared" ref="V255:V318" si="97">IF(AND(N255&gt;$V$9,N255&lt;$V$10),M255,IF(N255=$V$10,M255,0))</f>
        <v>0</v>
      </c>
      <c r="W255" s="25">
        <f t="shared" ref="W255:W318" si="98">IF(AND(N255&gt;$W$9,N255&lt;$W$10),M255,IF(N255=$W$10,M255,0))</f>
        <v>0</v>
      </c>
      <c r="X255" s="64">
        <f t="shared" ref="X255:X318" si="99">IF(AND(N255&gt;$X$9,N255&lt;$X$10),M255,IF(N255=$X$10,M255,0))</f>
        <v>0</v>
      </c>
      <c r="Y255" s="64">
        <f t="shared" ref="Y255:Y318" si="100">IF(AND(N255&gt;$Y$9,N255&lt;$Y$10),M255,IF(N255=$Y$10,M255,0))</f>
        <v>0</v>
      </c>
      <c r="Z255" s="64">
        <f t="shared" ref="Z255:Z318" si="101">IF(AND(N255&gt;$Z$9,N255&lt;$Z$10),M255,IF(N255=$Z$10,M255,0))</f>
        <v>0</v>
      </c>
      <c r="AA255" s="64">
        <f t="shared" ref="AA255:AA318" si="102">IF(AND(N255&gt;$AA$9,N255&lt;$AA$10),M255,IF(N255=$AA$10,M255,0))</f>
        <v>0</v>
      </c>
      <c r="AB255" s="64">
        <f t="shared" ref="AB255:AB318" si="103">IF(AND(N255&gt;$AB$9,N255&lt;$AB$10),M255,IF(N255=$AB$10,M255,0))</f>
        <v>0</v>
      </c>
      <c r="AC255" s="64">
        <f t="shared" ref="AC255:AC318" si="104">IF(AND(N255&gt;$AC$9,N255&lt;$AC$10),M255,IF(N255=$AC$10,M255,0))</f>
        <v>0</v>
      </c>
      <c r="AD255" s="64">
        <f t="shared" ref="AD255:AD318" si="105">IF(AND(N255&gt;$AD$9,N255&lt;$AD$10),M255,IF(N255=$AD$10,M255,0))</f>
        <v>0</v>
      </c>
      <c r="AE255" s="64">
        <f t="shared" ref="AE255:AE318" si="106">IF(AND(N255&gt;$AE$9,N255&lt;$AE$10),M255,IF(N255=$AE$10,M255,0))</f>
        <v>0</v>
      </c>
      <c r="AF255" s="64">
        <f t="shared" ref="AF255:AF318" si="107">IF(AND(N255&gt;$AF$9,N255&lt;$AF$10),M255,IF(N255=$AF$10,M255,0))</f>
        <v>0</v>
      </c>
      <c r="AG255" s="29">
        <f t="shared" ref="AG255:AG318" si="108">IF(N255=$AG$9,M255,0)</f>
        <v>71359.67</v>
      </c>
    </row>
    <row r="256" spans="1:33" s="20" customFormat="1">
      <c r="A256" s="265">
        <v>10910021</v>
      </c>
      <c r="B256" s="265" t="s">
        <v>547</v>
      </c>
      <c r="C256" s="265" t="s">
        <v>871</v>
      </c>
      <c r="D256" s="265">
        <v>100000008</v>
      </c>
      <c r="E256" s="265" t="s">
        <v>305</v>
      </c>
      <c r="F256" s="265" t="s">
        <v>0</v>
      </c>
      <c r="G256" s="266">
        <v>50509.59</v>
      </c>
      <c r="H256" s="266">
        <v>50509.59</v>
      </c>
      <c r="I256" s="268">
        <v>46015</v>
      </c>
      <c r="J256" s="268">
        <v>46106</v>
      </c>
      <c r="K256" s="268">
        <v>46106</v>
      </c>
      <c r="L256" s="224" t="str">
        <f t="shared" ref="L256:L319" si="109">A256&amp;"_"&amp;F256&amp;"_"&amp;D256&amp;"_"&amp;E256</f>
        <v>10910021_AUD_100000008_E.SUN COMMERCIAL BANK LTD</v>
      </c>
      <c r="M256" s="221">
        <f t="shared" si="89"/>
        <v>50509.59</v>
      </c>
      <c r="N256" s="24" t="str">
        <f>IF(OR(L256=$L$2,L256=$L$3),$M$10+1,IFERROR(VLOOKUP(A256,'Repricing Maturity Adj.'!$A$3:$C$170,3,0),(IF(K256&lt;$M$10,"Check",K256))))</f>
        <v>Non_sensitive</v>
      </c>
      <c r="O256" s="62" t="b">
        <f t="shared" si="90"/>
        <v>1</v>
      </c>
      <c r="P256" s="63" t="str">
        <f t="shared" si="91"/>
        <v>Asset</v>
      </c>
      <c r="Q256" s="25">
        <f t="shared" si="92"/>
        <v>0</v>
      </c>
      <c r="R256" s="25">
        <f t="shared" si="93"/>
        <v>0</v>
      </c>
      <c r="S256" s="25">
        <f t="shared" si="94"/>
        <v>0</v>
      </c>
      <c r="T256" s="25">
        <f t="shared" si="95"/>
        <v>0</v>
      </c>
      <c r="U256" s="25">
        <f t="shared" si="96"/>
        <v>0</v>
      </c>
      <c r="V256" s="25">
        <f t="shared" si="97"/>
        <v>0</v>
      </c>
      <c r="W256" s="25">
        <f t="shared" si="98"/>
        <v>0</v>
      </c>
      <c r="X256" s="64">
        <f t="shared" si="99"/>
        <v>0</v>
      </c>
      <c r="Y256" s="64">
        <f t="shared" si="100"/>
        <v>0</v>
      </c>
      <c r="Z256" s="64">
        <f t="shared" si="101"/>
        <v>0</v>
      </c>
      <c r="AA256" s="64">
        <f t="shared" si="102"/>
        <v>0</v>
      </c>
      <c r="AB256" s="64">
        <f t="shared" si="103"/>
        <v>0</v>
      </c>
      <c r="AC256" s="64">
        <f t="shared" si="104"/>
        <v>0</v>
      </c>
      <c r="AD256" s="64">
        <f t="shared" si="105"/>
        <v>0</v>
      </c>
      <c r="AE256" s="64">
        <f t="shared" si="106"/>
        <v>0</v>
      </c>
      <c r="AF256" s="64">
        <f t="shared" si="107"/>
        <v>0</v>
      </c>
      <c r="AG256" s="29">
        <f t="shared" si="108"/>
        <v>50509.59</v>
      </c>
    </row>
    <row r="257" spans="1:33" s="20" customFormat="1">
      <c r="A257" s="265">
        <v>10910021</v>
      </c>
      <c r="B257" s="265" t="s">
        <v>547</v>
      </c>
      <c r="C257" s="265" t="s">
        <v>891</v>
      </c>
      <c r="D257" s="265">
        <v>100000008</v>
      </c>
      <c r="E257" s="265" t="s">
        <v>305</v>
      </c>
      <c r="F257" s="265" t="s">
        <v>0</v>
      </c>
      <c r="G257" s="266">
        <v>8146.85</v>
      </c>
      <c r="H257" s="266">
        <v>8146.85</v>
      </c>
      <c r="I257" s="268">
        <v>46035</v>
      </c>
      <c r="J257" s="268">
        <v>46090</v>
      </c>
      <c r="K257" s="268">
        <v>46090</v>
      </c>
      <c r="L257" s="224" t="str">
        <f t="shared" si="109"/>
        <v>10910021_AUD_100000008_E.SUN COMMERCIAL BANK LTD</v>
      </c>
      <c r="M257" s="221">
        <f t="shared" si="89"/>
        <v>8146.85</v>
      </c>
      <c r="N257" s="24" t="str">
        <f>IF(OR(L257=$L$2,L257=$L$3),$M$10+1,IFERROR(VLOOKUP(A257,'Repricing Maturity Adj.'!$A$3:$C$170,3,0),(IF(K257&lt;$M$10,"Check",K257))))</f>
        <v>Non_sensitive</v>
      </c>
      <c r="O257" s="62" t="b">
        <f t="shared" si="90"/>
        <v>1</v>
      </c>
      <c r="P257" s="63" t="str">
        <f t="shared" si="91"/>
        <v>Asset</v>
      </c>
      <c r="Q257" s="25">
        <f t="shared" si="92"/>
        <v>0</v>
      </c>
      <c r="R257" s="25">
        <f t="shared" si="93"/>
        <v>0</v>
      </c>
      <c r="S257" s="25">
        <f t="shared" si="94"/>
        <v>0</v>
      </c>
      <c r="T257" s="25">
        <f t="shared" si="95"/>
        <v>0</v>
      </c>
      <c r="U257" s="25">
        <f t="shared" si="96"/>
        <v>0</v>
      </c>
      <c r="V257" s="25">
        <f t="shared" si="97"/>
        <v>0</v>
      </c>
      <c r="W257" s="25">
        <f t="shared" si="98"/>
        <v>0</v>
      </c>
      <c r="X257" s="64">
        <f t="shared" si="99"/>
        <v>0</v>
      </c>
      <c r="Y257" s="64">
        <f t="shared" si="100"/>
        <v>0</v>
      </c>
      <c r="Z257" s="64">
        <f t="shared" si="101"/>
        <v>0</v>
      </c>
      <c r="AA257" s="64">
        <f t="shared" si="102"/>
        <v>0</v>
      </c>
      <c r="AB257" s="64">
        <f t="shared" si="103"/>
        <v>0</v>
      </c>
      <c r="AC257" s="64">
        <f t="shared" si="104"/>
        <v>0</v>
      </c>
      <c r="AD257" s="64">
        <f t="shared" si="105"/>
        <v>0</v>
      </c>
      <c r="AE257" s="64">
        <f t="shared" si="106"/>
        <v>0</v>
      </c>
      <c r="AF257" s="64">
        <f t="shared" si="107"/>
        <v>0</v>
      </c>
      <c r="AG257" s="29">
        <f t="shared" si="108"/>
        <v>8146.85</v>
      </c>
    </row>
    <row r="258" spans="1:33" s="20" customFormat="1">
      <c r="A258" s="265">
        <v>10910021</v>
      </c>
      <c r="B258" s="265" t="s">
        <v>547</v>
      </c>
      <c r="C258" s="265" t="s">
        <v>892</v>
      </c>
      <c r="D258" s="265">
        <v>100000008</v>
      </c>
      <c r="E258" s="265" t="s">
        <v>305</v>
      </c>
      <c r="F258" s="265" t="s">
        <v>0</v>
      </c>
      <c r="G258" s="266">
        <v>11151.78</v>
      </c>
      <c r="H258" s="266">
        <v>11151.78</v>
      </c>
      <c r="I258" s="268">
        <v>46035</v>
      </c>
      <c r="J258" s="268">
        <v>46125</v>
      </c>
      <c r="K258" s="268">
        <v>46125</v>
      </c>
      <c r="L258" s="224" t="str">
        <f t="shared" si="109"/>
        <v>10910021_AUD_100000008_E.SUN COMMERCIAL BANK LTD</v>
      </c>
      <c r="M258" s="221">
        <f t="shared" si="89"/>
        <v>11151.78</v>
      </c>
      <c r="N258" s="24" t="str">
        <f>IF(OR(L258=$L$2,L258=$L$3),$M$10+1,IFERROR(VLOOKUP(A258,'Repricing Maturity Adj.'!$A$3:$C$170,3,0),(IF(K258&lt;$M$10,"Check",K258))))</f>
        <v>Non_sensitive</v>
      </c>
      <c r="O258" s="62" t="b">
        <f t="shared" si="90"/>
        <v>1</v>
      </c>
      <c r="P258" s="63" t="str">
        <f t="shared" si="91"/>
        <v>Asset</v>
      </c>
      <c r="Q258" s="25">
        <f t="shared" si="92"/>
        <v>0</v>
      </c>
      <c r="R258" s="25">
        <f t="shared" si="93"/>
        <v>0</v>
      </c>
      <c r="S258" s="25">
        <f t="shared" si="94"/>
        <v>0</v>
      </c>
      <c r="T258" s="25">
        <f t="shared" si="95"/>
        <v>0</v>
      </c>
      <c r="U258" s="25">
        <f t="shared" si="96"/>
        <v>0</v>
      </c>
      <c r="V258" s="25">
        <f t="shared" si="97"/>
        <v>0</v>
      </c>
      <c r="W258" s="25">
        <f t="shared" si="98"/>
        <v>0</v>
      </c>
      <c r="X258" s="64">
        <f t="shared" si="99"/>
        <v>0</v>
      </c>
      <c r="Y258" s="64">
        <f t="shared" si="100"/>
        <v>0</v>
      </c>
      <c r="Z258" s="64">
        <f t="shared" si="101"/>
        <v>0</v>
      </c>
      <c r="AA258" s="64">
        <f t="shared" si="102"/>
        <v>0</v>
      </c>
      <c r="AB258" s="64">
        <f t="shared" si="103"/>
        <v>0</v>
      </c>
      <c r="AC258" s="64">
        <f t="shared" si="104"/>
        <v>0</v>
      </c>
      <c r="AD258" s="64">
        <f t="shared" si="105"/>
        <v>0</v>
      </c>
      <c r="AE258" s="64">
        <f t="shared" si="106"/>
        <v>0</v>
      </c>
      <c r="AF258" s="64">
        <f t="shared" si="107"/>
        <v>0</v>
      </c>
      <c r="AG258" s="29">
        <f t="shared" si="108"/>
        <v>11151.78</v>
      </c>
    </row>
    <row r="259" spans="1:33" s="20" customFormat="1">
      <c r="A259" s="265">
        <v>10920011</v>
      </c>
      <c r="B259" s="265" t="s">
        <v>321</v>
      </c>
      <c r="C259" s="265" t="s">
        <v>322</v>
      </c>
      <c r="D259" s="265">
        <v>100000001</v>
      </c>
      <c r="E259" s="265" t="s">
        <v>51</v>
      </c>
      <c r="F259" s="265" t="s">
        <v>0</v>
      </c>
      <c r="G259" s="266">
        <v>70.98</v>
      </c>
      <c r="H259" s="266">
        <v>70.98</v>
      </c>
      <c r="I259" s="267"/>
      <c r="J259" s="267"/>
      <c r="K259" s="267"/>
      <c r="L259" s="224" t="str">
        <f t="shared" si="109"/>
        <v>10920011_AUD_100000001_NONGHYUP BANK SYDNEY BRANCH</v>
      </c>
      <c r="M259" s="221">
        <f t="shared" si="89"/>
        <v>70.98</v>
      </c>
      <c r="N259" s="24" t="str">
        <f>IF(OR(L259=$L$2,L259=$L$3),$M$10+1,IFERROR(VLOOKUP(A259,'Repricing Maturity Adj.'!$A$3:$C$170,3,0),(IF(K259&lt;$M$10,"Check",K259))))</f>
        <v>Non_sensitive</v>
      </c>
      <c r="O259" s="62" t="b">
        <f t="shared" si="90"/>
        <v>1</v>
      </c>
      <c r="P259" s="63" t="str">
        <f t="shared" si="91"/>
        <v>Asset</v>
      </c>
      <c r="Q259" s="25">
        <f t="shared" si="92"/>
        <v>0</v>
      </c>
      <c r="R259" s="25">
        <f t="shared" si="93"/>
        <v>0</v>
      </c>
      <c r="S259" s="25">
        <f t="shared" si="94"/>
        <v>0</v>
      </c>
      <c r="T259" s="25">
        <f t="shared" si="95"/>
        <v>0</v>
      </c>
      <c r="U259" s="25">
        <f t="shared" si="96"/>
        <v>0</v>
      </c>
      <c r="V259" s="25">
        <f t="shared" si="97"/>
        <v>0</v>
      </c>
      <c r="W259" s="25">
        <f t="shared" si="98"/>
        <v>0</v>
      </c>
      <c r="X259" s="64">
        <f t="shared" si="99"/>
        <v>0</v>
      </c>
      <c r="Y259" s="64">
        <f t="shared" si="100"/>
        <v>0</v>
      </c>
      <c r="Z259" s="64">
        <f t="shared" si="101"/>
        <v>0</v>
      </c>
      <c r="AA259" s="64">
        <f t="shared" si="102"/>
        <v>0</v>
      </c>
      <c r="AB259" s="64">
        <f t="shared" si="103"/>
        <v>0</v>
      </c>
      <c r="AC259" s="64">
        <f t="shared" si="104"/>
        <v>0</v>
      </c>
      <c r="AD259" s="64">
        <f t="shared" si="105"/>
        <v>0</v>
      </c>
      <c r="AE259" s="64">
        <f t="shared" si="106"/>
        <v>0</v>
      </c>
      <c r="AF259" s="64">
        <f t="shared" si="107"/>
        <v>0</v>
      </c>
      <c r="AG259" s="29">
        <f t="shared" si="108"/>
        <v>70.98</v>
      </c>
    </row>
    <row r="260" spans="1:33" s="20" customFormat="1">
      <c r="A260" s="265">
        <v>10920011</v>
      </c>
      <c r="B260" s="265" t="s">
        <v>321</v>
      </c>
      <c r="C260" s="265" t="s">
        <v>323</v>
      </c>
      <c r="D260" s="265">
        <v>100000001</v>
      </c>
      <c r="E260" s="265" t="s">
        <v>51</v>
      </c>
      <c r="F260" s="265" t="s">
        <v>0</v>
      </c>
      <c r="G260" s="266">
        <v>51.78</v>
      </c>
      <c r="H260" s="266">
        <v>51.78</v>
      </c>
      <c r="I260" s="267"/>
      <c r="J260" s="267"/>
      <c r="K260" s="267"/>
      <c r="L260" s="224" t="str">
        <f t="shared" si="109"/>
        <v>10920011_AUD_100000001_NONGHYUP BANK SYDNEY BRANCH</v>
      </c>
      <c r="M260" s="221">
        <f t="shared" si="89"/>
        <v>51.78</v>
      </c>
      <c r="N260" s="24" t="str">
        <f>IF(OR(L260=$L$2,L260=$L$3),$M$10+1,IFERROR(VLOOKUP(A260,'Repricing Maturity Adj.'!$A$3:$C$170,3,0),(IF(K260&lt;$M$10,"Check",K260))))</f>
        <v>Non_sensitive</v>
      </c>
      <c r="O260" s="62" t="b">
        <f t="shared" si="90"/>
        <v>1</v>
      </c>
      <c r="P260" s="63" t="str">
        <f t="shared" si="91"/>
        <v>Asset</v>
      </c>
      <c r="Q260" s="25">
        <f t="shared" si="92"/>
        <v>0</v>
      </c>
      <c r="R260" s="25">
        <f t="shared" si="93"/>
        <v>0</v>
      </c>
      <c r="S260" s="25">
        <f t="shared" si="94"/>
        <v>0</v>
      </c>
      <c r="T260" s="25">
        <f t="shared" si="95"/>
        <v>0</v>
      </c>
      <c r="U260" s="25">
        <f t="shared" si="96"/>
        <v>0</v>
      </c>
      <c r="V260" s="25">
        <f t="shared" si="97"/>
        <v>0</v>
      </c>
      <c r="W260" s="25">
        <f t="shared" si="98"/>
        <v>0</v>
      </c>
      <c r="X260" s="64">
        <f t="shared" si="99"/>
        <v>0</v>
      </c>
      <c r="Y260" s="64">
        <f t="shared" si="100"/>
        <v>0</v>
      </c>
      <c r="Z260" s="64">
        <f t="shared" si="101"/>
        <v>0</v>
      </c>
      <c r="AA260" s="64">
        <f t="shared" si="102"/>
        <v>0</v>
      </c>
      <c r="AB260" s="64">
        <f t="shared" si="103"/>
        <v>0</v>
      </c>
      <c r="AC260" s="64">
        <f t="shared" si="104"/>
        <v>0</v>
      </c>
      <c r="AD260" s="64">
        <f t="shared" si="105"/>
        <v>0</v>
      </c>
      <c r="AE260" s="64">
        <f t="shared" si="106"/>
        <v>0</v>
      </c>
      <c r="AF260" s="64">
        <f t="shared" si="107"/>
        <v>0</v>
      </c>
      <c r="AG260" s="29">
        <f t="shared" si="108"/>
        <v>51.78</v>
      </c>
    </row>
    <row r="261" spans="1:33" s="20" customFormat="1">
      <c r="A261" s="265">
        <v>10920011</v>
      </c>
      <c r="B261" s="265" t="s">
        <v>321</v>
      </c>
      <c r="C261" s="265" t="s">
        <v>324</v>
      </c>
      <c r="D261" s="265">
        <v>100000001</v>
      </c>
      <c r="E261" s="265" t="s">
        <v>51</v>
      </c>
      <c r="F261" s="265" t="s">
        <v>0</v>
      </c>
      <c r="G261" s="266">
        <v>51.52</v>
      </c>
      <c r="H261" s="266">
        <v>51.52</v>
      </c>
      <c r="I261" s="267"/>
      <c r="J261" s="267"/>
      <c r="K261" s="267"/>
      <c r="L261" s="224" t="str">
        <f t="shared" si="109"/>
        <v>10920011_AUD_100000001_NONGHYUP BANK SYDNEY BRANCH</v>
      </c>
      <c r="M261" s="221">
        <f t="shared" si="89"/>
        <v>51.52</v>
      </c>
      <c r="N261" s="24" t="str">
        <f>IF(OR(L261=$L$2,L261=$L$3),$M$10+1,IFERROR(VLOOKUP(A261,'Repricing Maturity Adj.'!$A$3:$C$170,3,0),(IF(K261&lt;$M$10,"Check",K261))))</f>
        <v>Non_sensitive</v>
      </c>
      <c r="O261" s="62" t="b">
        <f t="shared" si="90"/>
        <v>1</v>
      </c>
      <c r="P261" s="63" t="str">
        <f t="shared" si="91"/>
        <v>Asset</v>
      </c>
      <c r="Q261" s="25">
        <f t="shared" si="92"/>
        <v>0</v>
      </c>
      <c r="R261" s="25">
        <f t="shared" si="93"/>
        <v>0</v>
      </c>
      <c r="S261" s="25">
        <f t="shared" si="94"/>
        <v>0</v>
      </c>
      <c r="T261" s="25">
        <f t="shared" si="95"/>
        <v>0</v>
      </c>
      <c r="U261" s="25">
        <f t="shared" si="96"/>
        <v>0</v>
      </c>
      <c r="V261" s="25">
        <f t="shared" si="97"/>
        <v>0</v>
      </c>
      <c r="W261" s="25">
        <f t="shared" si="98"/>
        <v>0</v>
      </c>
      <c r="X261" s="64">
        <f t="shared" si="99"/>
        <v>0</v>
      </c>
      <c r="Y261" s="64">
        <f t="shared" si="100"/>
        <v>0</v>
      </c>
      <c r="Z261" s="64">
        <f t="shared" si="101"/>
        <v>0</v>
      </c>
      <c r="AA261" s="64">
        <f t="shared" si="102"/>
        <v>0</v>
      </c>
      <c r="AB261" s="64">
        <f t="shared" si="103"/>
        <v>0</v>
      </c>
      <c r="AC261" s="64">
        <f t="shared" si="104"/>
        <v>0</v>
      </c>
      <c r="AD261" s="64">
        <f t="shared" si="105"/>
        <v>0</v>
      </c>
      <c r="AE261" s="64">
        <f t="shared" si="106"/>
        <v>0</v>
      </c>
      <c r="AF261" s="64">
        <f t="shared" si="107"/>
        <v>0</v>
      </c>
      <c r="AG261" s="29">
        <f t="shared" si="108"/>
        <v>51.52</v>
      </c>
    </row>
    <row r="262" spans="1:33" s="20" customFormat="1">
      <c r="A262" s="265">
        <v>10920011</v>
      </c>
      <c r="B262" s="265" t="s">
        <v>321</v>
      </c>
      <c r="C262" s="265" t="s">
        <v>325</v>
      </c>
      <c r="D262" s="265">
        <v>100000001</v>
      </c>
      <c r="E262" s="265" t="s">
        <v>51</v>
      </c>
      <c r="F262" s="265" t="s">
        <v>0</v>
      </c>
      <c r="G262" s="266">
        <v>70.38</v>
      </c>
      <c r="H262" s="266">
        <v>70.38</v>
      </c>
      <c r="I262" s="267"/>
      <c r="J262" s="267"/>
      <c r="K262" s="267"/>
      <c r="L262" s="224" t="str">
        <f t="shared" si="109"/>
        <v>10920011_AUD_100000001_NONGHYUP BANK SYDNEY BRANCH</v>
      </c>
      <c r="M262" s="221">
        <f t="shared" si="89"/>
        <v>70.38</v>
      </c>
      <c r="N262" s="24" t="str">
        <f>IF(OR(L262=$L$2,L262=$L$3),$M$10+1,IFERROR(VLOOKUP(A262,'Repricing Maturity Adj.'!$A$3:$C$170,3,0),(IF(K262&lt;$M$10,"Check",K262))))</f>
        <v>Non_sensitive</v>
      </c>
      <c r="O262" s="62" t="b">
        <f t="shared" si="90"/>
        <v>1</v>
      </c>
      <c r="P262" s="63" t="str">
        <f t="shared" si="91"/>
        <v>Asset</v>
      </c>
      <c r="Q262" s="25">
        <f t="shared" si="92"/>
        <v>0</v>
      </c>
      <c r="R262" s="25">
        <f t="shared" si="93"/>
        <v>0</v>
      </c>
      <c r="S262" s="25">
        <f t="shared" si="94"/>
        <v>0</v>
      </c>
      <c r="T262" s="25">
        <f t="shared" si="95"/>
        <v>0</v>
      </c>
      <c r="U262" s="25">
        <f t="shared" si="96"/>
        <v>0</v>
      </c>
      <c r="V262" s="25">
        <f t="shared" si="97"/>
        <v>0</v>
      </c>
      <c r="W262" s="25">
        <f t="shared" si="98"/>
        <v>0</v>
      </c>
      <c r="X262" s="64">
        <f t="shared" si="99"/>
        <v>0</v>
      </c>
      <c r="Y262" s="64">
        <f t="shared" si="100"/>
        <v>0</v>
      </c>
      <c r="Z262" s="64">
        <f t="shared" si="101"/>
        <v>0</v>
      </c>
      <c r="AA262" s="64">
        <f t="shared" si="102"/>
        <v>0</v>
      </c>
      <c r="AB262" s="64">
        <f t="shared" si="103"/>
        <v>0</v>
      </c>
      <c r="AC262" s="64">
        <f t="shared" si="104"/>
        <v>0</v>
      </c>
      <c r="AD262" s="64">
        <f t="shared" si="105"/>
        <v>0</v>
      </c>
      <c r="AE262" s="64">
        <f t="shared" si="106"/>
        <v>0</v>
      </c>
      <c r="AF262" s="64">
        <f t="shared" si="107"/>
        <v>0</v>
      </c>
      <c r="AG262" s="29">
        <f t="shared" si="108"/>
        <v>70.38</v>
      </c>
    </row>
    <row r="263" spans="1:33" s="20" customFormat="1">
      <c r="A263" s="265">
        <v>10920011</v>
      </c>
      <c r="B263" s="265" t="s">
        <v>321</v>
      </c>
      <c r="C263" s="265" t="s">
        <v>326</v>
      </c>
      <c r="D263" s="265">
        <v>100000001</v>
      </c>
      <c r="E263" s="265" t="s">
        <v>51</v>
      </c>
      <c r="F263" s="265" t="s">
        <v>0</v>
      </c>
      <c r="G263" s="266">
        <v>1424.8</v>
      </c>
      <c r="H263" s="266">
        <v>1424.8</v>
      </c>
      <c r="I263" s="267"/>
      <c r="J263" s="267"/>
      <c r="K263" s="267"/>
      <c r="L263" s="224" t="str">
        <f t="shared" si="109"/>
        <v>10920011_AUD_100000001_NONGHYUP BANK SYDNEY BRANCH</v>
      </c>
      <c r="M263" s="221">
        <f t="shared" si="89"/>
        <v>1424.8</v>
      </c>
      <c r="N263" s="24" t="str">
        <f>IF(OR(L263=$L$2,L263=$L$3),$M$10+1,IFERROR(VLOOKUP(A263,'Repricing Maturity Adj.'!$A$3:$C$170,3,0),(IF(K263&lt;$M$10,"Check",K263))))</f>
        <v>Non_sensitive</v>
      </c>
      <c r="O263" s="62" t="b">
        <f t="shared" si="90"/>
        <v>1</v>
      </c>
      <c r="P263" s="63" t="str">
        <f t="shared" si="91"/>
        <v>Asset</v>
      </c>
      <c r="Q263" s="25">
        <f t="shared" si="92"/>
        <v>0</v>
      </c>
      <c r="R263" s="25">
        <f t="shared" si="93"/>
        <v>0</v>
      </c>
      <c r="S263" s="25">
        <f t="shared" si="94"/>
        <v>0</v>
      </c>
      <c r="T263" s="25">
        <f t="shared" si="95"/>
        <v>0</v>
      </c>
      <c r="U263" s="25">
        <f t="shared" si="96"/>
        <v>0</v>
      </c>
      <c r="V263" s="25">
        <f t="shared" si="97"/>
        <v>0</v>
      </c>
      <c r="W263" s="25">
        <f t="shared" si="98"/>
        <v>0</v>
      </c>
      <c r="X263" s="64">
        <f t="shared" si="99"/>
        <v>0</v>
      </c>
      <c r="Y263" s="64">
        <f t="shared" si="100"/>
        <v>0</v>
      </c>
      <c r="Z263" s="64">
        <f t="shared" si="101"/>
        <v>0</v>
      </c>
      <c r="AA263" s="64">
        <f t="shared" si="102"/>
        <v>0</v>
      </c>
      <c r="AB263" s="64">
        <f t="shared" si="103"/>
        <v>0</v>
      </c>
      <c r="AC263" s="64">
        <f t="shared" si="104"/>
        <v>0</v>
      </c>
      <c r="AD263" s="64">
        <f t="shared" si="105"/>
        <v>0</v>
      </c>
      <c r="AE263" s="64">
        <f t="shared" si="106"/>
        <v>0</v>
      </c>
      <c r="AF263" s="64">
        <f t="shared" si="107"/>
        <v>0</v>
      </c>
      <c r="AG263" s="29">
        <f t="shared" si="108"/>
        <v>1424.8</v>
      </c>
    </row>
    <row r="264" spans="1:33" s="20" customFormat="1">
      <c r="A264" s="265">
        <v>10920011</v>
      </c>
      <c r="B264" s="265" t="s">
        <v>321</v>
      </c>
      <c r="C264" s="265" t="s">
        <v>327</v>
      </c>
      <c r="D264" s="265">
        <v>100000001</v>
      </c>
      <c r="E264" s="265" t="s">
        <v>51</v>
      </c>
      <c r="F264" s="265" t="s">
        <v>0</v>
      </c>
      <c r="G264" s="266">
        <v>83.5</v>
      </c>
      <c r="H264" s="266">
        <v>83.5</v>
      </c>
      <c r="I264" s="267"/>
      <c r="J264" s="267"/>
      <c r="K264" s="267"/>
      <c r="L264" s="224" t="str">
        <f t="shared" si="109"/>
        <v>10920011_AUD_100000001_NONGHYUP BANK SYDNEY BRANCH</v>
      </c>
      <c r="M264" s="221">
        <f t="shared" si="89"/>
        <v>83.5</v>
      </c>
      <c r="N264" s="24" t="str">
        <f>IF(OR(L264=$L$2,L264=$L$3),$M$10+1,IFERROR(VLOOKUP(A264,'Repricing Maturity Adj.'!$A$3:$C$170,3,0),(IF(K264&lt;$M$10,"Check",K264))))</f>
        <v>Non_sensitive</v>
      </c>
      <c r="O264" s="62" t="b">
        <f t="shared" si="90"/>
        <v>1</v>
      </c>
      <c r="P264" s="63" t="str">
        <f t="shared" si="91"/>
        <v>Asset</v>
      </c>
      <c r="Q264" s="25">
        <f t="shared" si="92"/>
        <v>0</v>
      </c>
      <c r="R264" s="25">
        <f t="shared" si="93"/>
        <v>0</v>
      </c>
      <c r="S264" s="25">
        <f t="shared" si="94"/>
        <v>0</v>
      </c>
      <c r="T264" s="25">
        <f t="shared" si="95"/>
        <v>0</v>
      </c>
      <c r="U264" s="25">
        <f t="shared" si="96"/>
        <v>0</v>
      </c>
      <c r="V264" s="25">
        <f t="shared" si="97"/>
        <v>0</v>
      </c>
      <c r="W264" s="25">
        <f t="shared" si="98"/>
        <v>0</v>
      </c>
      <c r="X264" s="64">
        <f t="shared" si="99"/>
        <v>0</v>
      </c>
      <c r="Y264" s="64">
        <f t="shared" si="100"/>
        <v>0</v>
      </c>
      <c r="Z264" s="64">
        <f t="shared" si="101"/>
        <v>0</v>
      </c>
      <c r="AA264" s="64">
        <f t="shared" si="102"/>
        <v>0</v>
      </c>
      <c r="AB264" s="64">
        <f t="shared" si="103"/>
        <v>0</v>
      </c>
      <c r="AC264" s="64">
        <f t="shared" si="104"/>
        <v>0</v>
      </c>
      <c r="AD264" s="64">
        <f t="shared" si="105"/>
        <v>0</v>
      </c>
      <c r="AE264" s="64">
        <f t="shared" si="106"/>
        <v>0</v>
      </c>
      <c r="AF264" s="64">
        <f t="shared" si="107"/>
        <v>0</v>
      </c>
      <c r="AG264" s="29">
        <f t="shared" si="108"/>
        <v>83.5</v>
      </c>
    </row>
    <row r="265" spans="1:33" s="20" customFormat="1">
      <c r="A265" s="265">
        <v>10920011</v>
      </c>
      <c r="B265" s="265" t="s">
        <v>321</v>
      </c>
      <c r="C265" s="265" t="s">
        <v>328</v>
      </c>
      <c r="D265" s="265">
        <v>100000001</v>
      </c>
      <c r="E265" s="265" t="s">
        <v>51</v>
      </c>
      <c r="F265" s="265" t="s">
        <v>0</v>
      </c>
      <c r="G265" s="266">
        <v>4</v>
      </c>
      <c r="H265" s="266">
        <v>4</v>
      </c>
      <c r="I265" s="267"/>
      <c r="J265" s="267"/>
      <c r="K265" s="267"/>
      <c r="L265" s="224" t="str">
        <f t="shared" si="109"/>
        <v>10920011_AUD_100000001_NONGHYUP BANK SYDNEY BRANCH</v>
      </c>
      <c r="M265" s="221">
        <f t="shared" si="89"/>
        <v>4</v>
      </c>
      <c r="N265" s="24" t="str">
        <f>IF(OR(L265=$L$2,L265=$L$3),$M$10+1,IFERROR(VLOOKUP(A265,'Repricing Maturity Adj.'!$A$3:$C$170,3,0),(IF(K265&lt;$M$10,"Check",K265))))</f>
        <v>Non_sensitive</v>
      </c>
      <c r="O265" s="62" t="b">
        <f t="shared" si="90"/>
        <v>1</v>
      </c>
      <c r="P265" s="63" t="str">
        <f t="shared" si="91"/>
        <v>Asset</v>
      </c>
      <c r="Q265" s="25">
        <f t="shared" si="92"/>
        <v>0</v>
      </c>
      <c r="R265" s="25">
        <f t="shared" si="93"/>
        <v>0</v>
      </c>
      <c r="S265" s="25">
        <f t="shared" si="94"/>
        <v>0</v>
      </c>
      <c r="T265" s="25">
        <f t="shared" si="95"/>
        <v>0</v>
      </c>
      <c r="U265" s="25">
        <f t="shared" si="96"/>
        <v>0</v>
      </c>
      <c r="V265" s="25">
        <f t="shared" si="97"/>
        <v>0</v>
      </c>
      <c r="W265" s="25">
        <f t="shared" si="98"/>
        <v>0</v>
      </c>
      <c r="X265" s="64">
        <f t="shared" si="99"/>
        <v>0</v>
      </c>
      <c r="Y265" s="64">
        <f t="shared" si="100"/>
        <v>0</v>
      </c>
      <c r="Z265" s="64">
        <f t="shared" si="101"/>
        <v>0</v>
      </c>
      <c r="AA265" s="64">
        <f t="shared" si="102"/>
        <v>0</v>
      </c>
      <c r="AB265" s="64">
        <f t="shared" si="103"/>
        <v>0</v>
      </c>
      <c r="AC265" s="64">
        <f t="shared" si="104"/>
        <v>0</v>
      </c>
      <c r="AD265" s="64">
        <f t="shared" si="105"/>
        <v>0</v>
      </c>
      <c r="AE265" s="64">
        <f t="shared" si="106"/>
        <v>0</v>
      </c>
      <c r="AF265" s="64">
        <f t="shared" si="107"/>
        <v>0</v>
      </c>
      <c r="AG265" s="29">
        <f t="shared" si="108"/>
        <v>4</v>
      </c>
    </row>
    <row r="266" spans="1:33" s="20" customFormat="1">
      <c r="A266" s="265">
        <v>10920011</v>
      </c>
      <c r="B266" s="265" t="s">
        <v>321</v>
      </c>
      <c r="C266" s="265" t="s">
        <v>329</v>
      </c>
      <c r="D266" s="265">
        <v>100000001</v>
      </c>
      <c r="E266" s="265" t="s">
        <v>51</v>
      </c>
      <c r="F266" s="265" t="s">
        <v>0</v>
      </c>
      <c r="G266" s="266">
        <v>1721.03</v>
      </c>
      <c r="H266" s="266">
        <v>1721.03</v>
      </c>
      <c r="I266" s="267"/>
      <c r="J266" s="267"/>
      <c r="K266" s="267"/>
      <c r="L266" s="224" t="str">
        <f t="shared" si="109"/>
        <v>10920011_AUD_100000001_NONGHYUP BANK SYDNEY BRANCH</v>
      </c>
      <c r="M266" s="221">
        <f t="shared" si="89"/>
        <v>1721.03</v>
      </c>
      <c r="N266" s="24" t="str">
        <f>IF(OR(L266=$L$2,L266=$L$3),$M$10+1,IFERROR(VLOOKUP(A266,'Repricing Maturity Adj.'!$A$3:$C$170,3,0),(IF(K266&lt;$M$10,"Check",K266))))</f>
        <v>Non_sensitive</v>
      </c>
      <c r="O266" s="62" t="b">
        <f t="shared" si="90"/>
        <v>1</v>
      </c>
      <c r="P266" s="63" t="str">
        <f t="shared" si="91"/>
        <v>Asset</v>
      </c>
      <c r="Q266" s="25">
        <f t="shared" si="92"/>
        <v>0</v>
      </c>
      <c r="R266" s="25">
        <f t="shared" si="93"/>
        <v>0</v>
      </c>
      <c r="S266" s="25">
        <f t="shared" si="94"/>
        <v>0</v>
      </c>
      <c r="T266" s="25">
        <f t="shared" si="95"/>
        <v>0</v>
      </c>
      <c r="U266" s="25">
        <f t="shared" si="96"/>
        <v>0</v>
      </c>
      <c r="V266" s="25">
        <f t="shared" si="97"/>
        <v>0</v>
      </c>
      <c r="W266" s="25">
        <f t="shared" si="98"/>
        <v>0</v>
      </c>
      <c r="X266" s="64">
        <f t="shared" si="99"/>
        <v>0</v>
      </c>
      <c r="Y266" s="64">
        <f t="shared" si="100"/>
        <v>0</v>
      </c>
      <c r="Z266" s="64">
        <f t="shared" si="101"/>
        <v>0</v>
      </c>
      <c r="AA266" s="64">
        <f t="shared" si="102"/>
        <v>0</v>
      </c>
      <c r="AB266" s="64">
        <f t="shared" si="103"/>
        <v>0</v>
      </c>
      <c r="AC266" s="64">
        <f t="shared" si="104"/>
        <v>0</v>
      </c>
      <c r="AD266" s="64">
        <f t="shared" si="105"/>
        <v>0</v>
      </c>
      <c r="AE266" s="64">
        <f t="shared" si="106"/>
        <v>0</v>
      </c>
      <c r="AF266" s="64">
        <f t="shared" si="107"/>
        <v>0</v>
      </c>
      <c r="AG266" s="29">
        <f t="shared" si="108"/>
        <v>1721.03</v>
      </c>
    </row>
    <row r="267" spans="1:33" s="20" customFormat="1">
      <c r="A267" s="265">
        <v>10920011</v>
      </c>
      <c r="B267" s="265" t="s">
        <v>321</v>
      </c>
      <c r="C267" s="265" t="s">
        <v>330</v>
      </c>
      <c r="D267" s="265">
        <v>100000001</v>
      </c>
      <c r="E267" s="265" t="s">
        <v>51</v>
      </c>
      <c r="F267" s="265" t="s">
        <v>0</v>
      </c>
      <c r="G267" s="266">
        <v>44.31</v>
      </c>
      <c r="H267" s="266">
        <v>44.31</v>
      </c>
      <c r="I267" s="267"/>
      <c r="J267" s="267"/>
      <c r="K267" s="267"/>
      <c r="L267" s="224" t="str">
        <f t="shared" si="109"/>
        <v>10920011_AUD_100000001_NONGHYUP BANK SYDNEY BRANCH</v>
      </c>
      <c r="M267" s="221">
        <f t="shared" si="89"/>
        <v>44.31</v>
      </c>
      <c r="N267" s="24" t="str">
        <f>IF(OR(L267=$L$2,L267=$L$3),$M$10+1,IFERROR(VLOOKUP(A267,'Repricing Maturity Adj.'!$A$3:$C$170,3,0),(IF(K267&lt;$M$10,"Check",K267))))</f>
        <v>Non_sensitive</v>
      </c>
      <c r="O267" s="62" t="b">
        <f t="shared" si="90"/>
        <v>1</v>
      </c>
      <c r="P267" s="63" t="str">
        <f t="shared" si="91"/>
        <v>Asset</v>
      </c>
      <c r="Q267" s="25">
        <f t="shared" si="92"/>
        <v>0</v>
      </c>
      <c r="R267" s="25">
        <f t="shared" si="93"/>
        <v>0</v>
      </c>
      <c r="S267" s="25">
        <f t="shared" si="94"/>
        <v>0</v>
      </c>
      <c r="T267" s="25">
        <f t="shared" si="95"/>
        <v>0</v>
      </c>
      <c r="U267" s="25">
        <f t="shared" si="96"/>
        <v>0</v>
      </c>
      <c r="V267" s="25">
        <f t="shared" si="97"/>
        <v>0</v>
      </c>
      <c r="W267" s="25">
        <f t="shared" si="98"/>
        <v>0</v>
      </c>
      <c r="X267" s="64">
        <f t="shared" si="99"/>
        <v>0</v>
      </c>
      <c r="Y267" s="64">
        <f t="shared" si="100"/>
        <v>0</v>
      </c>
      <c r="Z267" s="64">
        <f t="shared" si="101"/>
        <v>0</v>
      </c>
      <c r="AA267" s="64">
        <f t="shared" si="102"/>
        <v>0</v>
      </c>
      <c r="AB267" s="64">
        <f t="shared" si="103"/>
        <v>0</v>
      </c>
      <c r="AC267" s="64">
        <f t="shared" si="104"/>
        <v>0</v>
      </c>
      <c r="AD267" s="64">
        <f t="shared" si="105"/>
        <v>0</v>
      </c>
      <c r="AE267" s="64">
        <f t="shared" si="106"/>
        <v>0</v>
      </c>
      <c r="AF267" s="64">
        <f t="shared" si="107"/>
        <v>0</v>
      </c>
      <c r="AG267" s="29">
        <f t="shared" si="108"/>
        <v>44.31</v>
      </c>
    </row>
    <row r="268" spans="1:33" s="20" customFormat="1">
      <c r="A268" s="265">
        <v>10920011</v>
      </c>
      <c r="B268" s="265" t="s">
        <v>321</v>
      </c>
      <c r="C268" s="265" t="s">
        <v>331</v>
      </c>
      <c r="D268" s="265">
        <v>100000001</v>
      </c>
      <c r="E268" s="265" t="s">
        <v>51</v>
      </c>
      <c r="F268" s="265" t="s">
        <v>0</v>
      </c>
      <c r="G268" s="266">
        <v>526.87</v>
      </c>
      <c r="H268" s="266">
        <v>526.87</v>
      </c>
      <c r="I268" s="267"/>
      <c r="J268" s="267"/>
      <c r="K268" s="267"/>
      <c r="L268" s="224" t="str">
        <f t="shared" si="109"/>
        <v>10920011_AUD_100000001_NONGHYUP BANK SYDNEY BRANCH</v>
      </c>
      <c r="M268" s="221">
        <f t="shared" si="89"/>
        <v>526.87</v>
      </c>
      <c r="N268" s="24" t="str">
        <f>IF(OR(L268=$L$2,L268=$L$3),$M$10+1,IFERROR(VLOOKUP(A268,'Repricing Maturity Adj.'!$A$3:$C$170,3,0),(IF(K268&lt;$M$10,"Check",K268))))</f>
        <v>Non_sensitive</v>
      </c>
      <c r="O268" s="62" t="b">
        <f t="shared" si="90"/>
        <v>1</v>
      </c>
      <c r="P268" s="63" t="str">
        <f t="shared" si="91"/>
        <v>Asset</v>
      </c>
      <c r="Q268" s="25">
        <f t="shared" si="92"/>
        <v>0</v>
      </c>
      <c r="R268" s="25">
        <f t="shared" si="93"/>
        <v>0</v>
      </c>
      <c r="S268" s="25">
        <f t="shared" si="94"/>
        <v>0</v>
      </c>
      <c r="T268" s="25">
        <f t="shared" si="95"/>
        <v>0</v>
      </c>
      <c r="U268" s="25">
        <f t="shared" si="96"/>
        <v>0</v>
      </c>
      <c r="V268" s="25">
        <f t="shared" si="97"/>
        <v>0</v>
      </c>
      <c r="W268" s="25">
        <f t="shared" si="98"/>
        <v>0</v>
      </c>
      <c r="X268" s="64">
        <f t="shared" si="99"/>
        <v>0</v>
      </c>
      <c r="Y268" s="64">
        <f t="shared" si="100"/>
        <v>0</v>
      </c>
      <c r="Z268" s="64">
        <f t="shared" si="101"/>
        <v>0</v>
      </c>
      <c r="AA268" s="64">
        <f t="shared" si="102"/>
        <v>0</v>
      </c>
      <c r="AB268" s="64">
        <f t="shared" si="103"/>
        <v>0</v>
      </c>
      <c r="AC268" s="64">
        <f t="shared" si="104"/>
        <v>0</v>
      </c>
      <c r="AD268" s="64">
        <f t="shared" si="105"/>
        <v>0</v>
      </c>
      <c r="AE268" s="64">
        <f t="shared" si="106"/>
        <v>0</v>
      </c>
      <c r="AF268" s="64">
        <f t="shared" si="107"/>
        <v>0</v>
      </c>
      <c r="AG268" s="29">
        <f t="shared" si="108"/>
        <v>526.87</v>
      </c>
    </row>
    <row r="269" spans="1:33" s="20" customFormat="1">
      <c r="A269" s="265">
        <v>10920011</v>
      </c>
      <c r="B269" s="265" t="s">
        <v>321</v>
      </c>
      <c r="C269" s="265" t="s">
        <v>332</v>
      </c>
      <c r="D269" s="265">
        <v>100000001</v>
      </c>
      <c r="E269" s="265" t="s">
        <v>51</v>
      </c>
      <c r="F269" s="265" t="s">
        <v>0</v>
      </c>
      <c r="G269" s="266">
        <v>508.28</v>
      </c>
      <c r="H269" s="266">
        <v>508.28</v>
      </c>
      <c r="I269" s="267"/>
      <c r="J269" s="267"/>
      <c r="K269" s="267"/>
      <c r="L269" s="224" t="str">
        <f t="shared" si="109"/>
        <v>10920011_AUD_100000001_NONGHYUP BANK SYDNEY BRANCH</v>
      </c>
      <c r="M269" s="221">
        <f t="shared" si="89"/>
        <v>508.28</v>
      </c>
      <c r="N269" s="24" t="str">
        <f>IF(OR(L269=$L$2,L269=$L$3),$M$10+1,IFERROR(VLOOKUP(A269,'Repricing Maturity Adj.'!$A$3:$C$170,3,0),(IF(K269&lt;$M$10,"Check",K269))))</f>
        <v>Non_sensitive</v>
      </c>
      <c r="O269" s="62" t="b">
        <f t="shared" si="90"/>
        <v>1</v>
      </c>
      <c r="P269" s="63" t="str">
        <f t="shared" si="91"/>
        <v>Asset</v>
      </c>
      <c r="Q269" s="25">
        <f t="shared" si="92"/>
        <v>0</v>
      </c>
      <c r="R269" s="25">
        <f t="shared" si="93"/>
        <v>0</v>
      </c>
      <c r="S269" s="25">
        <f t="shared" si="94"/>
        <v>0</v>
      </c>
      <c r="T269" s="25">
        <f t="shared" si="95"/>
        <v>0</v>
      </c>
      <c r="U269" s="25">
        <f t="shared" si="96"/>
        <v>0</v>
      </c>
      <c r="V269" s="25">
        <f t="shared" si="97"/>
        <v>0</v>
      </c>
      <c r="W269" s="25">
        <f t="shared" si="98"/>
        <v>0</v>
      </c>
      <c r="X269" s="64">
        <f t="shared" si="99"/>
        <v>0</v>
      </c>
      <c r="Y269" s="64">
        <f t="shared" si="100"/>
        <v>0</v>
      </c>
      <c r="Z269" s="64">
        <f t="shared" si="101"/>
        <v>0</v>
      </c>
      <c r="AA269" s="64">
        <f t="shared" si="102"/>
        <v>0</v>
      </c>
      <c r="AB269" s="64">
        <f t="shared" si="103"/>
        <v>0</v>
      </c>
      <c r="AC269" s="64">
        <f t="shared" si="104"/>
        <v>0</v>
      </c>
      <c r="AD269" s="64">
        <f t="shared" si="105"/>
        <v>0</v>
      </c>
      <c r="AE269" s="64">
        <f t="shared" si="106"/>
        <v>0</v>
      </c>
      <c r="AF269" s="64">
        <f t="shared" si="107"/>
        <v>0</v>
      </c>
      <c r="AG269" s="29">
        <f t="shared" si="108"/>
        <v>508.28</v>
      </c>
    </row>
    <row r="270" spans="1:33" s="20" customFormat="1">
      <c r="A270" s="265">
        <v>10920011</v>
      </c>
      <c r="B270" s="265" t="s">
        <v>321</v>
      </c>
      <c r="C270" s="265" t="s">
        <v>333</v>
      </c>
      <c r="D270" s="265">
        <v>100000001</v>
      </c>
      <c r="E270" s="265" t="s">
        <v>51</v>
      </c>
      <c r="F270" s="265" t="s">
        <v>0</v>
      </c>
      <c r="G270" s="266">
        <v>23817.31</v>
      </c>
      <c r="H270" s="266">
        <v>23817.31</v>
      </c>
      <c r="I270" s="267"/>
      <c r="J270" s="267"/>
      <c r="K270" s="267"/>
      <c r="L270" s="224" t="str">
        <f t="shared" si="109"/>
        <v>10920011_AUD_100000001_NONGHYUP BANK SYDNEY BRANCH</v>
      </c>
      <c r="M270" s="221">
        <f t="shared" si="89"/>
        <v>23817.31</v>
      </c>
      <c r="N270" s="24" t="str">
        <f>IF(OR(L270=$L$2,L270=$L$3),$M$10+1,IFERROR(VLOOKUP(A270,'Repricing Maturity Adj.'!$A$3:$C$170,3,0),(IF(K270&lt;$M$10,"Check",K270))))</f>
        <v>Non_sensitive</v>
      </c>
      <c r="O270" s="62" t="b">
        <f t="shared" si="90"/>
        <v>1</v>
      </c>
      <c r="P270" s="63" t="str">
        <f t="shared" si="91"/>
        <v>Asset</v>
      </c>
      <c r="Q270" s="25">
        <f t="shared" si="92"/>
        <v>0</v>
      </c>
      <c r="R270" s="25">
        <f t="shared" si="93"/>
        <v>0</v>
      </c>
      <c r="S270" s="25">
        <f t="shared" si="94"/>
        <v>0</v>
      </c>
      <c r="T270" s="25">
        <f t="shared" si="95"/>
        <v>0</v>
      </c>
      <c r="U270" s="25">
        <f t="shared" si="96"/>
        <v>0</v>
      </c>
      <c r="V270" s="25">
        <f t="shared" si="97"/>
        <v>0</v>
      </c>
      <c r="W270" s="25">
        <f t="shared" si="98"/>
        <v>0</v>
      </c>
      <c r="X270" s="64">
        <f t="shared" si="99"/>
        <v>0</v>
      </c>
      <c r="Y270" s="64">
        <f t="shared" si="100"/>
        <v>0</v>
      </c>
      <c r="Z270" s="64">
        <f t="shared" si="101"/>
        <v>0</v>
      </c>
      <c r="AA270" s="64">
        <f t="shared" si="102"/>
        <v>0</v>
      </c>
      <c r="AB270" s="64">
        <f t="shared" si="103"/>
        <v>0</v>
      </c>
      <c r="AC270" s="64">
        <f t="shared" si="104"/>
        <v>0</v>
      </c>
      <c r="AD270" s="64">
        <f t="shared" si="105"/>
        <v>0</v>
      </c>
      <c r="AE270" s="64">
        <f t="shared" si="106"/>
        <v>0</v>
      </c>
      <c r="AF270" s="64">
        <f t="shared" si="107"/>
        <v>0</v>
      </c>
      <c r="AG270" s="29">
        <f t="shared" si="108"/>
        <v>23817.31</v>
      </c>
    </row>
    <row r="271" spans="1:33" s="20" customFormat="1">
      <c r="A271" s="265">
        <v>10920011</v>
      </c>
      <c r="B271" s="265" t="s">
        <v>321</v>
      </c>
      <c r="C271" s="265" t="s">
        <v>334</v>
      </c>
      <c r="D271" s="265">
        <v>100000001</v>
      </c>
      <c r="E271" s="265" t="s">
        <v>51</v>
      </c>
      <c r="F271" s="265" t="s">
        <v>0</v>
      </c>
      <c r="G271" s="266">
        <v>1.36</v>
      </c>
      <c r="H271" s="266">
        <v>1.36</v>
      </c>
      <c r="I271" s="267"/>
      <c r="J271" s="267"/>
      <c r="K271" s="267"/>
      <c r="L271" s="224" t="str">
        <f t="shared" si="109"/>
        <v>10920011_AUD_100000001_NONGHYUP BANK SYDNEY BRANCH</v>
      </c>
      <c r="M271" s="221">
        <f t="shared" si="89"/>
        <v>1.36</v>
      </c>
      <c r="N271" s="24" t="str">
        <f>IF(OR(L271=$L$2,L271=$L$3),$M$10+1,IFERROR(VLOOKUP(A271,'Repricing Maturity Adj.'!$A$3:$C$170,3,0),(IF(K271&lt;$M$10,"Check",K271))))</f>
        <v>Non_sensitive</v>
      </c>
      <c r="O271" s="62" t="b">
        <f t="shared" si="90"/>
        <v>1</v>
      </c>
      <c r="P271" s="63" t="str">
        <f t="shared" si="91"/>
        <v>Asset</v>
      </c>
      <c r="Q271" s="25">
        <f t="shared" si="92"/>
        <v>0</v>
      </c>
      <c r="R271" s="25">
        <f t="shared" si="93"/>
        <v>0</v>
      </c>
      <c r="S271" s="25">
        <f t="shared" si="94"/>
        <v>0</v>
      </c>
      <c r="T271" s="25">
        <f t="shared" si="95"/>
        <v>0</v>
      </c>
      <c r="U271" s="25">
        <f t="shared" si="96"/>
        <v>0</v>
      </c>
      <c r="V271" s="25">
        <f t="shared" si="97"/>
        <v>0</v>
      </c>
      <c r="W271" s="25">
        <f t="shared" si="98"/>
        <v>0</v>
      </c>
      <c r="X271" s="64">
        <f t="shared" si="99"/>
        <v>0</v>
      </c>
      <c r="Y271" s="64">
        <f t="shared" si="100"/>
        <v>0</v>
      </c>
      <c r="Z271" s="64">
        <f t="shared" si="101"/>
        <v>0</v>
      </c>
      <c r="AA271" s="64">
        <f t="shared" si="102"/>
        <v>0</v>
      </c>
      <c r="AB271" s="64">
        <f t="shared" si="103"/>
        <v>0</v>
      </c>
      <c r="AC271" s="64">
        <f t="shared" si="104"/>
        <v>0</v>
      </c>
      <c r="AD271" s="64">
        <f t="shared" si="105"/>
        <v>0</v>
      </c>
      <c r="AE271" s="64">
        <f t="shared" si="106"/>
        <v>0</v>
      </c>
      <c r="AF271" s="64">
        <f t="shared" si="107"/>
        <v>0</v>
      </c>
      <c r="AG271" s="29">
        <f t="shared" si="108"/>
        <v>1.36</v>
      </c>
    </row>
    <row r="272" spans="1:33" s="20" customFormat="1">
      <c r="A272" s="265">
        <v>10920011</v>
      </c>
      <c r="B272" s="265" t="s">
        <v>321</v>
      </c>
      <c r="C272" s="265" t="s">
        <v>335</v>
      </c>
      <c r="D272" s="265">
        <v>100000001</v>
      </c>
      <c r="E272" s="265" t="s">
        <v>51</v>
      </c>
      <c r="F272" s="265" t="s">
        <v>0</v>
      </c>
      <c r="G272" s="266">
        <v>9616.2199999999993</v>
      </c>
      <c r="H272" s="266">
        <v>9616.2199999999993</v>
      </c>
      <c r="I272" s="267"/>
      <c r="J272" s="267"/>
      <c r="K272" s="267"/>
      <c r="L272" s="224" t="str">
        <f t="shared" si="109"/>
        <v>10920011_AUD_100000001_NONGHYUP BANK SYDNEY BRANCH</v>
      </c>
      <c r="M272" s="221">
        <f t="shared" si="89"/>
        <v>9616.2199999999993</v>
      </c>
      <c r="N272" s="24" t="str">
        <f>IF(OR(L272=$L$2,L272=$L$3),$M$10+1,IFERROR(VLOOKUP(A272,'Repricing Maturity Adj.'!$A$3:$C$170,3,0),(IF(K272&lt;$M$10,"Check",K272))))</f>
        <v>Non_sensitive</v>
      </c>
      <c r="O272" s="62" t="b">
        <f t="shared" si="90"/>
        <v>1</v>
      </c>
      <c r="P272" s="63" t="str">
        <f t="shared" si="91"/>
        <v>Asset</v>
      </c>
      <c r="Q272" s="25">
        <f t="shared" si="92"/>
        <v>0</v>
      </c>
      <c r="R272" s="25">
        <f t="shared" si="93"/>
        <v>0</v>
      </c>
      <c r="S272" s="25">
        <f t="shared" si="94"/>
        <v>0</v>
      </c>
      <c r="T272" s="25">
        <f t="shared" si="95"/>
        <v>0</v>
      </c>
      <c r="U272" s="25">
        <f t="shared" si="96"/>
        <v>0</v>
      </c>
      <c r="V272" s="25">
        <f t="shared" si="97"/>
        <v>0</v>
      </c>
      <c r="W272" s="25">
        <f t="shared" si="98"/>
        <v>0</v>
      </c>
      <c r="X272" s="64">
        <f t="shared" si="99"/>
        <v>0</v>
      </c>
      <c r="Y272" s="64">
        <f t="shared" si="100"/>
        <v>0</v>
      </c>
      <c r="Z272" s="64">
        <f t="shared" si="101"/>
        <v>0</v>
      </c>
      <c r="AA272" s="64">
        <f t="shared" si="102"/>
        <v>0</v>
      </c>
      <c r="AB272" s="64">
        <f t="shared" si="103"/>
        <v>0</v>
      </c>
      <c r="AC272" s="64">
        <f t="shared" si="104"/>
        <v>0</v>
      </c>
      <c r="AD272" s="64">
        <f t="shared" si="105"/>
        <v>0</v>
      </c>
      <c r="AE272" s="64">
        <f t="shared" si="106"/>
        <v>0</v>
      </c>
      <c r="AF272" s="64">
        <f t="shared" si="107"/>
        <v>0</v>
      </c>
      <c r="AG272" s="29">
        <f t="shared" si="108"/>
        <v>9616.2199999999993</v>
      </c>
    </row>
    <row r="273" spans="1:33" s="20" customFormat="1">
      <c r="A273" s="265">
        <v>10920011</v>
      </c>
      <c r="B273" s="265" t="s">
        <v>321</v>
      </c>
      <c r="C273" s="265" t="s">
        <v>336</v>
      </c>
      <c r="D273" s="265">
        <v>100000001</v>
      </c>
      <c r="E273" s="265" t="s">
        <v>51</v>
      </c>
      <c r="F273" s="265" t="s">
        <v>0</v>
      </c>
      <c r="G273" s="266">
        <v>69.33</v>
      </c>
      <c r="H273" s="266">
        <v>69.33</v>
      </c>
      <c r="I273" s="267"/>
      <c r="J273" s="267"/>
      <c r="K273" s="267"/>
      <c r="L273" s="224" t="str">
        <f t="shared" si="109"/>
        <v>10920011_AUD_100000001_NONGHYUP BANK SYDNEY BRANCH</v>
      </c>
      <c r="M273" s="221">
        <f t="shared" si="89"/>
        <v>69.33</v>
      </c>
      <c r="N273" s="24" t="str">
        <f>IF(OR(L273=$L$2,L273=$L$3),$M$10+1,IFERROR(VLOOKUP(A273,'Repricing Maturity Adj.'!$A$3:$C$170,3,0),(IF(K273&lt;$M$10,"Check",K273))))</f>
        <v>Non_sensitive</v>
      </c>
      <c r="O273" s="62" t="b">
        <f t="shared" si="90"/>
        <v>1</v>
      </c>
      <c r="P273" s="63" t="str">
        <f t="shared" si="91"/>
        <v>Asset</v>
      </c>
      <c r="Q273" s="25">
        <f t="shared" si="92"/>
        <v>0</v>
      </c>
      <c r="R273" s="25">
        <f t="shared" si="93"/>
        <v>0</v>
      </c>
      <c r="S273" s="25">
        <f t="shared" si="94"/>
        <v>0</v>
      </c>
      <c r="T273" s="25">
        <f t="shared" si="95"/>
        <v>0</v>
      </c>
      <c r="U273" s="25">
        <f t="shared" si="96"/>
        <v>0</v>
      </c>
      <c r="V273" s="25">
        <f t="shared" si="97"/>
        <v>0</v>
      </c>
      <c r="W273" s="25">
        <f t="shared" si="98"/>
        <v>0</v>
      </c>
      <c r="X273" s="64">
        <f t="shared" si="99"/>
        <v>0</v>
      </c>
      <c r="Y273" s="64">
        <f t="shared" si="100"/>
        <v>0</v>
      </c>
      <c r="Z273" s="64">
        <f t="shared" si="101"/>
        <v>0</v>
      </c>
      <c r="AA273" s="64">
        <f t="shared" si="102"/>
        <v>0</v>
      </c>
      <c r="AB273" s="64">
        <f t="shared" si="103"/>
        <v>0</v>
      </c>
      <c r="AC273" s="64">
        <f t="shared" si="104"/>
        <v>0</v>
      </c>
      <c r="AD273" s="64">
        <f t="shared" si="105"/>
        <v>0</v>
      </c>
      <c r="AE273" s="64">
        <f t="shared" si="106"/>
        <v>0</v>
      </c>
      <c r="AF273" s="64">
        <f t="shared" si="107"/>
        <v>0</v>
      </c>
      <c r="AG273" s="29">
        <f t="shared" si="108"/>
        <v>69.33</v>
      </c>
    </row>
    <row r="274" spans="1:33" s="20" customFormat="1">
      <c r="A274" s="265">
        <v>10920011</v>
      </c>
      <c r="B274" s="265" t="s">
        <v>321</v>
      </c>
      <c r="C274" s="265" t="s">
        <v>337</v>
      </c>
      <c r="D274" s="265">
        <v>100000001</v>
      </c>
      <c r="E274" s="265" t="s">
        <v>51</v>
      </c>
      <c r="F274" s="265" t="s">
        <v>0</v>
      </c>
      <c r="G274" s="266">
        <v>34.14</v>
      </c>
      <c r="H274" s="266">
        <v>34.14</v>
      </c>
      <c r="I274" s="267"/>
      <c r="J274" s="267"/>
      <c r="K274" s="267"/>
      <c r="L274" s="224" t="str">
        <f t="shared" si="109"/>
        <v>10920011_AUD_100000001_NONGHYUP BANK SYDNEY BRANCH</v>
      </c>
      <c r="M274" s="221">
        <f t="shared" si="89"/>
        <v>34.14</v>
      </c>
      <c r="N274" s="24" t="str">
        <f>IF(OR(L274=$L$2,L274=$L$3),$M$10+1,IFERROR(VLOOKUP(A274,'Repricing Maturity Adj.'!$A$3:$C$170,3,0),(IF(K274&lt;$M$10,"Check",K274))))</f>
        <v>Non_sensitive</v>
      </c>
      <c r="O274" s="62" t="b">
        <f t="shared" si="90"/>
        <v>1</v>
      </c>
      <c r="P274" s="63" t="str">
        <f t="shared" si="91"/>
        <v>Asset</v>
      </c>
      <c r="Q274" s="25">
        <f t="shared" si="92"/>
        <v>0</v>
      </c>
      <c r="R274" s="25">
        <f t="shared" si="93"/>
        <v>0</v>
      </c>
      <c r="S274" s="25">
        <f t="shared" si="94"/>
        <v>0</v>
      </c>
      <c r="T274" s="25">
        <f t="shared" si="95"/>
        <v>0</v>
      </c>
      <c r="U274" s="25">
        <f t="shared" si="96"/>
        <v>0</v>
      </c>
      <c r="V274" s="25">
        <f t="shared" si="97"/>
        <v>0</v>
      </c>
      <c r="W274" s="25">
        <f t="shared" si="98"/>
        <v>0</v>
      </c>
      <c r="X274" s="64">
        <f t="shared" si="99"/>
        <v>0</v>
      </c>
      <c r="Y274" s="64">
        <f t="shared" si="100"/>
        <v>0</v>
      </c>
      <c r="Z274" s="64">
        <f t="shared" si="101"/>
        <v>0</v>
      </c>
      <c r="AA274" s="64">
        <f t="shared" si="102"/>
        <v>0</v>
      </c>
      <c r="AB274" s="64">
        <f t="shared" si="103"/>
        <v>0</v>
      </c>
      <c r="AC274" s="64">
        <f t="shared" si="104"/>
        <v>0</v>
      </c>
      <c r="AD274" s="64">
        <f t="shared" si="105"/>
        <v>0</v>
      </c>
      <c r="AE274" s="64">
        <f t="shared" si="106"/>
        <v>0</v>
      </c>
      <c r="AF274" s="64">
        <f t="shared" si="107"/>
        <v>0</v>
      </c>
      <c r="AG274" s="29">
        <f t="shared" si="108"/>
        <v>34.14</v>
      </c>
    </row>
    <row r="275" spans="1:33" s="20" customFormat="1">
      <c r="A275" s="265">
        <v>10920011</v>
      </c>
      <c r="B275" s="265" t="s">
        <v>321</v>
      </c>
      <c r="C275" s="265" t="s">
        <v>338</v>
      </c>
      <c r="D275" s="265">
        <v>100000001</v>
      </c>
      <c r="E275" s="265" t="s">
        <v>51</v>
      </c>
      <c r="F275" s="265" t="s">
        <v>0</v>
      </c>
      <c r="G275" s="266">
        <v>62.17</v>
      </c>
      <c r="H275" s="266">
        <v>62.17</v>
      </c>
      <c r="I275" s="267"/>
      <c r="J275" s="267"/>
      <c r="K275" s="267"/>
      <c r="L275" s="224" t="str">
        <f t="shared" si="109"/>
        <v>10920011_AUD_100000001_NONGHYUP BANK SYDNEY BRANCH</v>
      </c>
      <c r="M275" s="221">
        <f t="shared" si="89"/>
        <v>62.17</v>
      </c>
      <c r="N275" s="24" t="str">
        <f>IF(OR(L275=$L$2,L275=$L$3),$M$10+1,IFERROR(VLOOKUP(A275,'Repricing Maturity Adj.'!$A$3:$C$170,3,0),(IF(K275&lt;$M$10,"Check",K275))))</f>
        <v>Non_sensitive</v>
      </c>
      <c r="O275" s="62" t="b">
        <f t="shared" si="90"/>
        <v>1</v>
      </c>
      <c r="P275" s="63" t="str">
        <f t="shared" si="91"/>
        <v>Asset</v>
      </c>
      <c r="Q275" s="25">
        <f t="shared" si="92"/>
        <v>0</v>
      </c>
      <c r="R275" s="25">
        <f t="shared" si="93"/>
        <v>0</v>
      </c>
      <c r="S275" s="25">
        <f t="shared" si="94"/>
        <v>0</v>
      </c>
      <c r="T275" s="25">
        <f t="shared" si="95"/>
        <v>0</v>
      </c>
      <c r="U275" s="25">
        <f t="shared" si="96"/>
        <v>0</v>
      </c>
      <c r="V275" s="25">
        <f t="shared" si="97"/>
        <v>0</v>
      </c>
      <c r="W275" s="25">
        <f t="shared" si="98"/>
        <v>0</v>
      </c>
      <c r="X275" s="64">
        <f t="shared" si="99"/>
        <v>0</v>
      </c>
      <c r="Y275" s="64">
        <f t="shared" si="100"/>
        <v>0</v>
      </c>
      <c r="Z275" s="64">
        <f t="shared" si="101"/>
        <v>0</v>
      </c>
      <c r="AA275" s="64">
        <f t="shared" si="102"/>
        <v>0</v>
      </c>
      <c r="AB275" s="64">
        <f t="shared" si="103"/>
        <v>0</v>
      </c>
      <c r="AC275" s="64">
        <f t="shared" si="104"/>
        <v>0</v>
      </c>
      <c r="AD275" s="64">
        <f t="shared" si="105"/>
        <v>0</v>
      </c>
      <c r="AE275" s="64">
        <f t="shared" si="106"/>
        <v>0</v>
      </c>
      <c r="AF275" s="64">
        <f t="shared" si="107"/>
        <v>0</v>
      </c>
      <c r="AG275" s="29">
        <f t="shared" si="108"/>
        <v>62.17</v>
      </c>
    </row>
    <row r="276" spans="1:33" s="20" customFormat="1">
      <c r="A276" s="265">
        <v>10920011</v>
      </c>
      <c r="B276" s="265" t="s">
        <v>321</v>
      </c>
      <c r="C276" s="265" t="s">
        <v>339</v>
      </c>
      <c r="D276" s="265">
        <v>100000001</v>
      </c>
      <c r="E276" s="265" t="s">
        <v>51</v>
      </c>
      <c r="F276" s="265" t="s">
        <v>0</v>
      </c>
      <c r="G276" s="266">
        <v>61196</v>
      </c>
      <c r="H276" s="266">
        <v>61196</v>
      </c>
      <c r="I276" s="267"/>
      <c r="J276" s="267"/>
      <c r="K276" s="267"/>
      <c r="L276" s="224" t="str">
        <f t="shared" si="109"/>
        <v>10920011_AUD_100000001_NONGHYUP BANK SYDNEY BRANCH</v>
      </c>
      <c r="M276" s="221">
        <f t="shared" si="89"/>
        <v>61196</v>
      </c>
      <c r="N276" s="24" t="str">
        <f>IF(OR(L276=$L$2,L276=$L$3),$M$10+1,IFERROR(VLOOKUP(A276,'Repricing Maturity Adj.'!$A$3:$C$170,3,0),(IF(K276&lt;$M$10,"Check",K276))))</f>
        <v>Non_sensitive</v>
      </c>
      <c r="O276" s="62" t="b">
        <f t="shared" si="90"/>
        <v>1</v>
      </c>
      <c r="P276" s="63" t="str">
        <f t="shared" si="91"/>
        <v>Asset</v>
      </c>
      <c r="Q276" s="25">
        <f t="shared" si="92"/>
        <v>0</v>
      </c>
      <c r="R276" s="25">
        <f t="shared" si="93"/>
        <v>0</v>
      </c>
      <c r="S276" s="25">
        <f t="shared" si="94"/>
        <v>0</v>
      </c>
      <c r="T276" s="25">
        <f t="shared" si="95"/>
        <v>0</v>
      </c>
      <c r="U276" s="25">
        <f t="shared" si="96"/>
        <v>0</v>
      </c>
      <c r="V276" s="25">
        <f t="shared" si="97"/>
        <v>0</v>
      </c>
      <c r="W276" s="25">
        <f t="shared" si="98"/>
        <v>0</v>
      </c>
      <c r="X276" s="64">
        <f t="shared" si="99"/>
        <v>0</v>
      </c>
      <c r="Y276" s="64">
        <f t="shared" si="100"/>
        <v>0</v>
      </c>
      <c r="Z276" s="64">
        <f t="shared" si="101"/>
        <v>0</v>
      </c>
      <c r="AA276" s="64">
        <f t="shared" si="102"/>
        <v>0</v>
      </c>
      <c r="AB276" s="64">
        <f t="shared" si="103"/>
        <v>0</v>
      </c>
      <c r="AC276" s="64">
        <f t="shared" si="104"/>
        <v>0</v>
      </c>
      <c r="AD276" s="64">
        <f t="shared" si="105"/>
        <v>0</v>
      </c>
      <c r="AE276" s="64">
        <f t="shared" si="106"/>
        <v>0</v>
      </c>
      <c r="AF276" s="64">
        <f t="shared" si="107"/>
        <v>0</v>
      </c>
      <c r="AG276" s="29">
        <f t="shared" si="108"/>
        <v>61196</v>
      </c>
    </row>
    <row r="277" spans="1:33" s="20" customFormat="1">
      <c r="A277" s="265">
        <v>10920011</v>
      </c>
      <c r="B277" s="265" t="s">
        <v>321</v>
      </c>
      <c r="C277" s="265" t="s">
        <v>340</v>
      </c>
      <c r="D277" s="265">
        <v>100000001</v>
      </c>
      <c r="E277" s="265" t="s">
        <v>51</v>
      </c>
      <c r="F277" s="265" t="s">
        <v>0</v>
      </c>
      <c r="G277" s="266">
        <v>234</v>
      </c>
      <c r="H277" s="266">
        <v>234</v>
      </c>
      <c r="I277" s="267"/>
      <c r="J277" s="267"/>
      <c r="K277" s="267"/>
      <c r="L277" s="224" t="str">
        <f t="shared" si="109"/>
        <v>10920011_AUD_100000001_NONGHYUP BANK SYDNEY BRANCH</v>
      </c>
      <c r="M277" s="221">
        <f t="shared" si="89"/>
        <v>234</v>
      </c>
      <c r="N277" s="24" t="str">
        <f>IF(OR(L277=$L$2,L277=$L$3),$M$10+1,IFERROR(VLOOKUP(A277,'Repricing Maturity Adj.'!$A$3:$C$170,3,0),(IF(K277&lt;$M$10,"Check",K277))))</f>
        <v>Non_sensitive</v>
      </c>
      <c r="O277" s="62" t="b">
        <f t="shared" si="90"/>
        <v>1</v>
      </c>
      <c r="P277" s="63" t="str">
        <f t="shared" si="91"/>
        <v>Asset</v>
      </c>
      <c r="Q277" s="25">
        <f t="shared" si="92"/>
        <v>0</v>
      </c>
      <c r="R277" s="25">
        <f t="shared" si="93"/>
        <v>0</v>
      </c>
      <c r="S277" s="25">
        <f t="shared" si="94"/>
        <v>0</v>
      </c>
      <c r="T277" s="25">
        <f t="shared" si="95"/>
        <v>0</v>
      </c>
      <c r="U277" s="25">
        <f t="shared" si="96"/>
        <v>0</v>
      </c>
      <c r="V277" s="25">
        <f t="shared" si="97"/>
        <v>0</v>
      </c>
      <c r="W277" s="25">
        <f t="shared" si="98"/>
        <v>0</v>
      </c>
      <c r="X277" s="64">
        <f t="shared" si="99"/>
        <v>0</v>
      </c>
      <c r="Y277" s="64">
        <f t="shared" si="100"/>
        <v>0</v>
      </c>
      <c r="Z277" s="64">
        <f t="shared" si="101"/>
        <v>0</v>
      </c>
      <c r="AA277" s="64">
        <f t="shared" si="102"/>
        <v>0</v>
      </c>
      <c r="AB277" s="64">
        <f t="shared" si="103"/>
        <v>0</v>
      </c>
      <c r="AC277" s="64">
        <f t="shared" si="104"/>
        <v>0</v>
      </c>
      <c r="AD277" s="64">
        <f t="shared" si="105"/>
        <v>0</v>
      </c>
      <c r="AE277" s="64">
        <f t="shared" si="106"/>
        <v>0</v>
      </c>
      <c r="AF277" s="64">
        <f t="shared" si="107"/>
        <v>0</v>
      </c>
      <c r="AG277" s="29">
        <f t="shared" si="108"/>
        <v>234</v>
      </c>
    </row>
    <row r="278" spans="1:33" s="20" customFormat="1">
      <c r="A278" s="265">
        <v>10920011</v>
      </c>
      <c r="B278" s="265" t="s">
        <v>321</v>
      </c>
      <c r="C278" s="265" t="s">
        <v>341</v>
      </c>
      <c r="D278" s="265">
        <v>100000001</v>
      </c>
      <c r="E278" s="265" t="s">
        <v>51</v>
      </c>
      <c r="F278" s="265" t="s">
        <v>0</v>
      </c>
      <c r="G278" s="266">
        <v>-3038</v>
      </c>
      <c r="H278" s="266">
        <v>-3038</v>
      </c>
      <c r="I278" s="267"/>
      <c r="J278" s="267"/>
      <c r="K278" s="267"/>
      <c r="L278" s="224" t="str">
        <f t="shared" si="109"/>
        <v>10920011_AUD_100000001_NONGHYUP BANK SYDNEY BRANCH</v>
      </c>
      <c r="M278" s="221">
        <f t="shared" si="89"/>
        <v>-3038</v>
      </c>
      <c r="N278" s="24" t="str">
        <f>IF(OR(L278=$L$2,L278=$L$3),$M$10+1,IFERROR(VLOOKUP(A278,'Repricing Maturity Adj.'!$A$3:$C$170,3,0),(IF(K278&lt;$M$10,"Check",K278))))</f>
        <v>Non_sensitive</v>
      </c>
      <c r="O278" s="62" t="b">
        <f t="shared" si="90"/>
        <v>1</v>
      </c>
      <c r="P278" s="63" t="str">
        <f t="shared" si="91"/>
        <v>Asset</v>
      </c>
      <c r="Q278" s="25">
        <f t="shared" si="92"/>
        <v>0</v>
      </c>
      <c r="R278" s="25">
        <f t="shared" si="93"/>
        <v>0</v>
      </c>
      <c r="S278" s="25">
        <f t="shared" si="94"/>
        <v>0</v>
      </c>
      <c r="T278" s="25">
        <f t="shared" si="95"/>
        <v>0</v>
      </c>
      <c r="U278" s="25">
        <f t="shared" si="96"/>
        <v>0</v>
      </c>
      <c r="V278" s="25">
        <f t="shared" si="97"/>
        <v>0</v>
      </c>
      <c r="W278" s="25">
        <f t="shared" si="98"/>
        <v>0</v>
      </c>
      <c r="X278" s="64">
        <f t="shared" si="99"/>
        <v>0</v>
      </c>
      <c r="Y278" s="64">
        <f t="shared" si="100"/>
        <v>0</v>
      </c>
      <c r="Z278" s="64">
        <f t="shared" si="101"/>
        <v>0</v>
      </c>
      <c r="AA278" s="64">
        <f t="shared" si="102"/>
        <v>0</v>
      </c>
      <c r="AB278" s="64">
        <f t="shared" si="103"/>
        <v>0</v>
      </c>
      <c r="AC278" s="64">
        <f t="shared" si="104"/>
        <v>0</v>
      </c>
      <c r="AD278" s="64">
        <f t="shared" si="105"/>
        <v>0</v>
      </c>
      <c r="AE278" s="64">
        <f t="shared" si="106"/>
        <v>0</v>
      </c>
      <c r="AF278" s="64">
        <f t="shared" si="107"/>
        <v>0</v>
      </c>
      <c r="AG278" s="29">
        <f t="shared" si="108"/>
        <v>-3038</v>
      </c>
    </row>
    <row r="279" spans="1:33" s="20" customFormat="1">
      <c r="A279" s="265">
        <v>10920011</v>
      </c>
      <c r="B279" s="265" t="s">
        <v>321</v>
      </c>
      <c r="C279" s="265" t="s">
        <v>342</v>
      </c>
      <c r="D279" s="265">
        <v>100000001</v>
      </c>
      <c r="E279" s="265" t="s">
        <v>51</v>
      </c>
      <c r="F279" s="265" t="s">
        <v>0</v>
      </c>
      <c r="G279" s="266">
        <v>-27735</v>
      </c>
      <c r="H279" s="266">
        <v>-27735</v>
      </c>
      <c r="I279" s="267"/>
      <c r="J279" s="267"/>
      <c r="K279" s="267"/>
      <c r="L279" s="224" t="str">
        <f t="shared" si="109"/>
        <v>10920011_AUD_100000001_NONGHYUP BANK SYDNEY BRANCH</v>
      </c>
      <c r="M279" s="221">
        <f t="shared" si="89"/>
        <v>-27735</v>
      </c>
      <c r="N279" s="24" t="str">
        <f>IF(OR(L279=$L$2,L279=$L$3),$M$10+1,IFERROR(VLOOKUP(A279,'Repricing Maturity Adj.'!$A$3:$C$170,3,0),(IF(K279&lt;$M$10,"Check",K279))))</f>
        <v>Non_sensitive</v>
      </c>
      <c r="O279" s="62" t="b">
        <f t="shared" si="90"/>
        <v>1</v>
      </c>
      <c r="P279" s="63" t="str">
        <f t="shared" si="91"/>
        <v>Asset</v>
      </c>
      <c r="Q279" s="25">
        <f t="shared" si="92"/>
        <v>0</v>
      </c>
      <c r="R279" s="25">
        <f t="shared" si="93"/>
        <v>0</v>
      </c>
      <c r="S279" s="25">
        <f t="shared" si="94"/>
        <v>0</v>
      </c>
      <c r="T279" s="25">
        <f t="shared" si="95"/>
        <v>0</v>
      </c>
      <c r="U279" s="25">
        <f t="shared" si="96"/>
        <v>0</v>
      </c>
      <c r="V279" s="25">
        <f t="shared" si="97"/>
        <v>0</v>
      </c>
      <c r="W279" s="25">
        <f t="shared" si="98"/>
        <v>0</v>
      </c>
      <c r="X279" s="64">
        <f t="shared" si="99"/>
        <v>0</v>
      </c>
      <c r="Y279" s="64">
        <f t="shared" si="100"/>
        <v>0</v>
      </c>
      <c r="Z279" s="64">
        <f t="shared" si="101"/>
        <v>0</v>
      </c>
      <c r="AA279" s="64">
        <f t="shared" si="102"/>
        <v>0</v>
      </c>
      <c r="AB279" s="64">
        <f t="shared" si="103"/>
        <v>0</v>
      </c>
      <c r="AC279" s="64">
        <f t="shared" si="104"/>
        <v>0</v>
      </c>
      <c r="AD279" s="64">
        <f t="shared" si="105"/>
        <v>0</v>
      </c>
      <c r="AE279" s="64">
        <f t="shared" si="106"/>
        <v>0</v>
      </c>
      <c r="AF279" s="64">
        <f t="shared" si="107"/>
        <v>0</v>
      </c>
      <c r="AG279" s="29">
        <f t="shared" si="108"/>
        <v>-27735</v>
      </c>
    </row>
    <row r="280" spans="1:33" s="20" customFormat="1">
      <c r="A280" s="265">
        <v>10920011</v>
      </c>
      <c r="B280" s="265" t="s">
        <v>321</v>
      </c>
      <c r="C280" s="265" t="s">
        <v>343</v>
      </c>
      <c r="D280" s="265">
        <v>100000001</v>
      </c>
      <c r="E280" s="265" t="s">
        <v>51</v>
      </c>
      <c r="F280" s="265" t="s">
        <v>0</v>
      </c>
      <c r="G280" s="266">
        <v>-15051</v>
      </c>
      <c r="H280" s="266">
        <v>-15051</v>
      </c>
      <c r="I280" s="267"/>
      <c r="J280" s="267"/>
      <c r="K280" s="267"/>
      <c r="L280" s="224" t="str">
        <f t="shared" si="109"/>
        <v>10920011_AUD_100000001_NONGHYUP BANK SYDNEY BRANCH</v>
      </c>
      <c r="M280" s="221">
        <f t="shared" si="89"/>
        <v>-15051</v>
      </c>
      <c r="N280" s="24" t="str">
        <f>IF(OR(L280=$L$2,L280=$L$3),$M$10+1,IFERROR(VLOOKUP(A280,'Repricing Maturity Adj.'!$A$3:$C$170,3,0),(IF(K280&lt;$M$10,"Check",K280))))</f>
        <v>Non_sensitive</v>
      </c>
      <c r="O280" s="62" t="b">
        <f t="shared" si="90"/>
        <v>1</v>
      </c>
      <c r="P280" s="63" t="str">
        <f t="shared" si="91"/>
        <v>Asset</v>
      </c>
      <c r="Q280" s="25">
        <f t="shared" si="92"/>
        <v>0</v>
      </c>
      <c r="R280" s="25">
        <f t="shared" si="93"/>
        <v>0</v>
      </c>
      <c r="S280" s="25">
        <f t="shared" si="94"/>
        <v>0</v>
      </c>
      <c r="T280" s="25">
        <f t="shared" si="95"/>
        <v>0</v>
      </c>
      <c r="U280" s="25">
        <f t="shared" si="96"/>
        <v>0</v>
      </c>
      <c r="V280" s="25">
        <f t="shared" si="97"/>
        <v>0</v>
      </c>
      <c r="W280" s="25">
        <f t="shared" si="98"/>
        <v>0</v>
      </c>
      <c r="X280" s="64">
        <f t="shared" si="99"/>
        <v>0</v>
      </c>
      <c r="Y280" s="64">
        <f t="shared" si="100"/>
        <v>0</v>
      </c>
      <c r="Z280" s="64">
        <f t="shared" si="101"/>
        <v>0</v>
      </c>
      <c r="AA280" s="64">
        <f t="shared" si="102"/>
        <v>0</v>
      </c>
      <c r="AB280" s="64">
        <f t="shared" si="103"/>
        <v>0</v>
      </c>
      <c r="AC280" s="64">
        <f t="shared" si="104"/>
        <v>0</v>
      </c>
      <c r="AD280" s="64">
        <f t="shared" si="105"/>
        <v>0</v>
      </c>
      <c r="AE280" s="64">
        <f t="shared" si="106"/>
        <v>0</v>
      </c>
      <c r="AF280" s="64">
        <f t="shared" si="107"/>
        <v>0</v>
      </c>
      <c r="AG280" s="29">
        <f t="shared" si="108"/>
        <v>-15051</v>
      </c>
    </row>
    <row r="281" spans="1:33" s="20" customFormat="1">
      <c r="A281" s="265">
        <v>10920011</v>
      </c>
      <c r="B281" s="265" t="s">
        <v>321</v>
      </c>
      <c r="C281" s="265" t="s">
        <v>344</v>
      </c>
      <c r="D281" s="265">
        <v>100000001</v>
      </c>
      <c r="E281" s="265" t="s">
        <v>51</v>
      </c>
      <c r="F281" s="265" t="s">
        <v>0</v>
      </c>
      <c r="G281" s="266">
        <v>-1311.14</v>
      </c>
      <c r="H281" s="266">
        <v>-1311.14</v>
      </c>
      <c r="I281" s="267"/>
      <c r="J281" s="267"/>
      <c r="K281" s="267"/>
      <c r="L281" s="224" t="str">
        <f t="shared" si="109"/>
        <v>10920011_AUD_100000001_NONGHYUP BANK SYDNEY BRANCH</v>
      </c>
      <c r="M281" s="221">
        <f t="shared" si="89"/>
        <v>-1311.14</v>
      </c>
      <c r="N281" s="24" t="str">
        <f>IF(OR(L281=$L$2,L281=$L$3),$M$10+1,IFERROR(VLOOKUP(A281,'Repricing Maturity Adj.'!$A$3:$C$170,3,0),(IF(K281&lt;$M$10,"Check",K281))))</f>
        <v>Non_sensitive</v>
      </c>
      <c r="O281" s="62" t="b">
        <f t="shared" si="90"/>
        <v>1</v>
      </c>
      <c r="P281" s="63" t="str">
        <f t="shared" si="91"/>
        <v>Asset</v>
      </c>
      <c r="Q281" s="25">
        <f t="shared" si="92"/>
        <v>0</v>
      </c>
      <c r="R281" s="25">
        <f t="shared" si="93"/>
        <v>0</v>
      </c>
      <c r="S281" s="25">
        <f t="shared" si="94"/>
        <v>0</v>
      </c>
      <c r="T281" s="25">
        <f t="shared" si="95"/>
        <v>0</v>
      </c>
      <c r="U281" s="25">
        <f t="shared" si="96"/>
        <v>0</v>
      </c>
      <c r="V281" s="25">
        <f t="shared" si="97"/>
        <v>0</v>
      </c>
      <c r="W281" s="25">
        <f t="shared" si="98"/>
        <v>0</v>
      </c>
      <c r="X281" s="64">
        <f t="shared" si="99"/>
        <v>0</v>
      </c>
      <c r="Y281" s="64">
        <f t="shared" si="100"/>
        <v>0</v>
      </c>
      <c r="Z281" s="64">
        <f t="shared" si="101"/>
        <v>0</v>
      </c>
      <c r="AA281" s="64">
        <f t="shared" si="102"/>
        <v>0</v>
      </c>
      <c r="AB281" s="64">
        <f t="shared" si="103"/>
        <v>0</v>
      </c>
      <c r="AC281" s="64">
        <f t="shared" si="104"/>
        <v>0</v>
      </c>
      <c r="AD281" s="64">
        <f t="shared" si="105"/>
        <v>0</v>
      </c>
      <c r="AE281" s="64">
        <f t="shared" si="106"/>
        <v>0</v>
      </c>
      <c r="AF281" s="64">
        <f t="shared" si="107"/>
        <v>0</v>
      </c>
      <c r="AG281" s="29">
        <f t="shared" si="108"/>
        <v>-1311.14</v>
      </c>
    </row>
    <row r="282" spans="1:33" s="20" customFormat="1">
      <c r="A282" s="265">
        <v>10920011</v>
      </c>
      <c r="B282" s="265" t="s">
        <v>321</v>
      </c>
      <c r="C282" s="265" t="s">
        <v>345</v>
      </c>
      <c r="D282" s="265">
        <v>100000001</v>
      </c>
      <c r="E282" s="265" t="s">
        <v>51</v>
      </c>
      <c r="F282" s="265" t="s">
        <v>0</v>
      </c>
      <c r="G282" s="266">
        <v>-151.99</v>
      </c>
      <c r="H282" s="266">
        <v>-151.99</v>
      </c>
      <c r="I282" s="267"/>
      <c r="J282" s="267"/>
      <c r="K282" s="267"/>
      <c r="L282" s="224" t="str">
        <f t="shared" si="109"/>
        <v>10920011_AUD_100000001_NONGHYUP BANK SYDNEY BRANCH</v>
      </c>
      <c r="M282" s="221">
        <f t="shared" si="89"/>
        <v>-151.99</v>
      </c>
      <c r="N282" s="24" t="str">
        <f>IF(OR(L282=$L$2,L282=$L$3),$M$10+1,IFERROR(VLOOKUP(A282,'Repricing Maturity Adj.'!$A$3:$C$170,3,0),(IF(K282&lt;$M$10,"Check",K282))))</f>
        <v>Non_sensitive</v>
      </c>
      <c r="O282" s="62" t="b">
        <f t="shared" si="90"/>
        <v>1</v>
      </c>
      <c r="P282" s="63" t="str">
        <f t="shared" si="91"/>
        <v>Asset</v>
      </c>
      <c r="Q282" s="25">
        <f t="shared" si="92"/>
        <v>0</v>
      </c>
      <c r="R282" s="25">
        <f t="shared" si="93"/>
        <v>0</v>
      </c>
      <c r="S282" s="25">
        <f t="shared" si="94"/>
        <v>0</v>
      </c>
      <c r="T282" s="25">
        <f t="shared" si="95"/>
        <v>0</v>
      </c>
      <c r="U282" s="25">
        <f t="shared" si="96"/>
        <v>0</v>
      </c>
      <c r="V282" s="25">
        <f t="shared" si="97"/>
        <v>0</v>
      </c>
      <c r="W282" s="25">
        <f t="shared" si="98"/>
        <v>0</v>
      </c>
      <c r="X282" s="64">
        <f t="shared" si="99"/>
        <v>0</v>
      </c>
      <c r="Y282" s="64">
        <f t="shared" si="100"/>
        <v>0</v>
      </c>
      <c r="Z282" s="64">
        <f t="shared" si="101"/>
        <v>0</v>
      </c>
      <c r="AA282" s="64">
        <f t="shared" si="102"/>
        <v>0</v>
      </c>
      <c r="AB282" s="64">
        <f t="shared" si="103"/>
        <v>0</v>
      </c>
      <c r="AC282" s="64">
        <f t="shared" si="104"/>
        <v>0</v>
      </c>
      <c r="AD282" s="64">
        <f t="shared" si="105"/>
        <v>0</v>
      </c>
      <c r="AE282" s="64">
        <f t="shared" si="106"/>
        <v>0</v>
      </c>
      <c r="AF282" s="64">
        <f t="shared" si="107"/>
        <v>0</v>
      </c>
      <c r="AG282" s="29">
        <f t="shared" si="108"/>
        <v>-151.99</v>
      </c>
    </row>
    <row r="283" spans="1:33" s="20" customFormat="1">
      <c r="A283" s="265">
        <v>10920011</v>
      </c>
      <c r="B283" s="265" t="s">
        <v>321</v>
      </c>
      <c r="C283" s="265" t="s">
        <v>346</v>
      </c>
      <c r="D283" s="265">
        <v>100000001</v>
      </c>
      <c r="E283" s="265" t="s">
        <v>51</v>
      </c>
      <c r="F283" s="265" t="s">
        <v>0</v>
      </c>
      <c r="G283" s="266">
        <v>-114.76</v>
      </c>
      <c r="H283" s="266">
        <v>-114.76</v>
      </c>
      <c r="I283" s="267"/>
      <c r="J283" s="267"/>
      <c r="K283" s="267"/>
      <c r="L283" s="224" t="str">
        <f t="shared" si="109"/>
        <v>10920011_AUD_100000001_NONGHYUP BANK SYDNEY BRANCH</v>
      </c>
      <c r="M283" s="221">
        <f t="shared" si="89"/>
        <v>-114.76</v>
      </c>
      <c r="N283" s="24" t="str">
        <f>IF(OR(L283=$L$2,L283=$L$3),$M$10+1,IFERROR(VLOOKUP(A283,'Repricing Maturity Adj.'!$A$3:$C$170,3,0),(IF(K283&lt;$M$10,"Check",K283))))</f>
        <v>Non_sensitive</v>
      </c>
      <c r="O283" s="62" t="b">
        <f t="shared" si="90"/>
        <v>1</v>
      </c>
      <c r="P283" s="63" t="str">
        <f t="shared" si="91"/>
        <v>Asset</v>
      </c>
      <c r="Q283" s="25">
        <f t="shared" si="92"/>
        <v>0</v>
      </c>
      <c r="R283" s="25">
        <f t="shared" si="93"/>
        <v>0</v>
      </c>
      <c r="S283" s="25">
        <f t="shared" si="94"/>
        <v>0</v>
      </c>
      <c r="T283" s="25">
        <f t="shared" si="95"/>
        <v>0</v>
      </c>
      <c r="U283" s="25">
        <f t="shared" si="96"/>
        <v>0</v>
      </c>
      <c r="V283" s="25">
        <f t="shared" si="97"/>
        <v>0</v>
      </c>
      <c r="W283" s="25">
        <f t="shared" si="98"/>
        <v>0</v>
      </c>
      <c r="X283" s="64">
        <f t="shared" si="99"/>
        <v>0</v>
      </c>
      <c r="Y283" s="64">
        <f t="shared" si="100"/>
        <v>0</v>
      </c>
      <c r="Z283" s="64">
        <f t="shared" si="101"/>
        <v>0</v>
      </c>
      <c r="AA283" s="64">
        <f t="shared" si="102"/>
        <v>0</v>
      </c>
      <c r="AB283" s="64">
        <f t="shared" si="103"/>
        <v>0</v>
      </c>
      <c r="AC283" s="64">
        <f t="shared" si="104"/>
        <v>0</v>
      </c>
      <c r="AD283" s="64">
        <f t="shared" si="105"/>
        <v>0</v>
      </c>
      <c r="AE283" s="64">
        <f t="shared" si="106"/>
        <v>0</v>
      </c>
      <c r="AF283" s="64">
        <f t="shared" si="107"/>
        <v>0</v>
      </c>
      <c r="AG283" s="29">
        <f t="shared" si="108"/>
        <v>-114.76</v>
      </c>
    </row>
    <row r="284" spans="1:33" s="20" customFormat="1">
      <c r="A284" s="265">
        <v>10920011</v>
      </c>
      <c r="B284" s="265" t="s">
        <v>321</v>
      </c>
      <c r="C284" s="265" t="s">
        <v>347</v>
      </c>
      <c r="D284" s="265">
        <v>100000001</v>
      </c>
      <c r="E284" s="265" t="s">
        <v>51</v>
      </c>
      <c r="F284" s="265" t="s">
        <v>0</v>
      </c>
      <c r="G284" s="266">
        <v>-63.17</v>
      </c>
      <c r="H284" s="266">
        <v>-63.17</v>
      </c>
      <c r="I284" s="267"/>
      <c r="J284" s="267"/>
      <c r="K284" s="267"/>
      <c r="L284" s="224" t="str">
        <f t="shared" si="109"/>
        <v>10920011_AUD_100000001_NONGHYUP BANK SYDNEY BRANCH</v>
      </c>
      <c r="M284" s="221">
        <f t="shared" si="89"/>
        <v>-63.17</v>
      </c>
      <c r="N284" s="24" t="str">
        <f>IF(OR(L284=$L$2,L284=$L$3),$M$10+1,IFERROR(VLOOKUP(A284,'Repricing Maturity Adj.'!$A$3:$C$170,3,0),(IF(K284&lt;$M$10,"Check",K284))))</f>
        <v>Non_sensitive</v>
      </c>
      <c r="O284" s="62" t="b">
        <f t="shared" si="90"/>
        <v>1</v>
      </c>
      <c r="P284" s="63" t="str">
        <f t="shared" si="91"/>
        <v>Asset</v>
      </c>
      <c r="Q284" s="25">
        <f t="shared" si="92"/>
        <v>0</v>
      </c>
      <c r="R284" s="25">
        <f t="shared" si="93"/>
        <v>0</v>
      </c>
      <c r="S284" s="25">
        <f t="shared" si="94"/>
        <v>0</v>
      </c>
      <c r="T284" s="25">
        <f t="shared" si="95"/>
        <v>0</v>
      </c>
      <c r="U284" s="25">
        <f t="shared" si="96"/>
        <v>0</v>
      </c>
      <c r="V284" s="25">
        <f t="shared" si="97"/>
        <v>0</v>
      </c>
      <c r="W284" s="25">
        <f t="shared" si="98"/>
        <v>0</v>
      </c>
      <c r="X284" s="64">
        <f t="shared" si="99"/>
        <v>0</v>
      </c>
      <c r="Y284" s="64">
        <f t="shared" si="100"/>
        <v>0</v>
      </c>
      <c r="Z284" s="64">
        <f t="shared" si="101"/>
        <v>0</v>
      </c>
      <c r="AA284" s="64">
        <f t="shared" si="102"/>
        <v>0</v>
      </c>
      <c r="AB284" s="64">
        <f t="shared" si="103"/>
        <v>0</v>
      </c>
      <c r="AC284" s="64">
        <f t="shared" si="104"/>
        <v>0</v>
      </c>
      <c r="AD284" s="64">
        <f t="shared" si="105"/>
        <v>0</v>
      </c>
      <c r="AE284" s="64">
        <f t="shared" si="106"/>
        <v>0</v>
      </c>
      <c r="AF284" s="64">
        <f t="shared" si="107"/>
        <v>0</v>
      </c>
      <c r="AG284" s="29">
        <f t="shared" si="108"/>
        <v>-63.17</v>
      </c>
    </row>
    <row r="285" spans="1:33" s="20" customFormat="1">
      <c r="A285" s="265">
        <v>10920011</v>
      </c>
      <c r="B285" s="265" t="s">
        <v>321</v>
      </c>
      <c r="C285" s="265" t="s">
        <v>348</v>
      </c>
      <c r="D285" s="265">
        <v>100000001</v>
      </c>
      <c r="E285" s="265" t="s">
        <v>51</v>
      </c>
      <c r="F285" s="265" t="s">
        <v>0</v>
      </c>
      <c r="G285" s="266">
        <v>-119.26</v>
      </c>
      <c r="H285" s="266">
        <v>-119.26</v>
      </c>
      <c r="I285" s="267"/>
      <c r="J285" s="267"/>
      <c r="K285" s="267"/>
      <c r="L285" s="224" t="str">
        <f t="shared" si="109"/>
        <v>10920011_AUD_100000001_NONGHYUP BANK SYDNEY BRANCH</v>
      </c>
      <c r="M285" s="221">
        <f t="shared" si="89"/>
        <v>-119.26</v>
      </c>
      <c r="N285" s="24" t="str">
        <f>IF(OR(L285=$L$2,L285=$L$3),$M$10+1,IFERROR(VLOOKUP(A285,'Repricing Maturity Adj.'!$A$3:$C$170,3,0),(IF(K285&lt;$M$10,"Check",K285))))</f>
        <v>Non_sensitive</v>
      </c>
      <c r="O285" s="62" t="b">
        <f t="shared" si="90"/>
        <v>1</v>
      </c>
      <c r="P285" s="63" t="str">
        <f t="shared" si="91"/>
        <v>Asset</v>
      </c>
      <c r="Q285" s="25">
        <f t="shared" si="92"/>
        <v>0</v>
      </c>
      <c r="R285" s="25">
        <f t="shared" si="93"/>
        <v>0</v>
      </c>
      <c r="S285" s="25">
        <f t="shared" si="94"/>
        <v>0</v>
      </c>
      <c r="T285" s="25">
        <f t="shared" si="95"/>
        <v>0</v>
      </c>
      <c r="U285" s="25">
        <f t="shared" si="96"/>
        <v>0</v>
      </c>
      <c r="V285" s="25">
        <f t="shared" si="97"/>
        <v>0</v>
      </c>
      <c r="W285" s="25">
        <f t="shared" si="98"/>
        <v>0</v>
      </c>
      <c r="X285" s="64">
        <f t="shared" si="99"/>
        <v>0</v>
      </c>
      <c r="Y285" s="64">
        <f t="shared" si="100"/>
        <v>0</v>
      </c>
      <c r="Z285" s="64">
        <f t="shared" si="101"/>
        <v>0</v>
      </c>
      <c r="AA285" s="64">
        <f t="shared" si="102"/>
        <v>0</v>
      </c>
      <c r="AB285" s="64">
        <f t="shared" si="103"/>
        <v>0</v>
      </c>
      <c r="AC285" s="64">
        <f t="shared" si="104"/>
        <v>0</v>
      </c>
      <c r="AD285" s="64">
        <f t="shared" si="105"/>
        <v>0</v>
      </c>
      <c r="AE285" s="64">
        <f t="shared" si="106"/>
        <v>0</v>
      </c>
      <c r="AF285" s="64">
        <f t="shared" si="107"/>
        <v>0</v>
      </c>
      <c r="AG285" s="29">
        <f t="shared" si="108"/>
        <v>-119.26</v>
      </c>
    </row>
    <row r="286" spans="1:33" s="20" customFormat="1">
      <c r="A286" s="265">
        <v>10920011</v>
      </c>
      <c r="B286" s="265" t="s">
        <v>321</v>
      </c>
      <c r="C286" s="265" t="s">
        <v>349</v>
      </c>
      <c r="D286" s="265">
        <v>100000001</v>
      </c>
      <c r="E286" s="265" t="s">
        <v>51</v>
      </c>
      <c r="F286" s="265" t="s">
        <v>0</v>
      </c>
      <c r="G286" s="266">
        <v>-44.67</v>
      </c>
      <c r="H286" s="266">
        <v>-44.67</v>
      </c>
      <c r="I286" s="267"/>
      <c r="J286" s="267"/>
      <c r="K286" s="267"/>
      <c r="L286" s="224" t="str">
        <f t="shared" si="109"/>
        <v>10920011_AUD_100000001_NONGHYUP BANK SYDNEY BRANCH</v>
      </c>
      <c r="M286" s="221">
        <f t="shared" si="89"/>
        <v>-44.67</v>
      </c>
      <c r="N286" s="24" t="str">
        <f>IF(OR(L286=$L$2,L286=$L$3),$M$10+1,IFERROR(VLOOKUP(A286,'Repricing Maturity Adj.'!$A$3:$C$170,3,0),(IF(K286&lt;$M$10,"Check",K286))))</f>
        <v>Non_sensitive</v>
      </c>
      <c r="O286" s="62" t="b">
        <f t="shared" si="90"/>
        <v>1</v>
      </c>
      <c r="P286" s="63" t="str">
        <f t="shared" si="91"/>
        <v>Asset</v>
      </c>
      <c r="Q286" s="25">
        <f t="shared" si="92"/>
        <v>0</v>
      </c>
      <c r="R286" s="25">
        <f t="shared" si="93"/>
        <v>0</v>
      </c>
      <c r="S286" s="25">
        <f t="shared" si="94"/>
        <v>0</v>
      </c>
      <c r="T286" s="25">
        <f t="shared" si="95"/>
        <v>0</v>
      </c>
      <c r="U286" s="25">
        <f t="shared" si="96"/>
        <v>0</v>
      </c>
      <c r="V286" s="25">
        <f t="shared" si="97"/>
        <v>0</v>
      </c>
      <c r="W286" s="25">
        <f t="shared" si="98"/>
        <v>0</v>
      </c>
      <c r="X286" s="64">
        <f t="shared" si="99"/>
        <v>0</v>
      </c>
      <c r="Y286" s="64">
        <f t="shared" si="100"/>
        <v>0</v>
      </c>
      <c r="Z286" s="64">
        <f t="shared" si="101"/>
        <v>0</v>
      </c>
      <c r="AA286" s="64">
        <f t="shared" si="102"/>
        <v>0</v>
      </c>
      <c r="AB286" s="64">
        <f t="shared" si="103"/>
        <v>0</v>
      </c>
      <c r="AC286" s="64">
        <f t="shared" si="104"/>
        <v>0</v>
      </c>
      <c r="AD286" s="64">
        <f t="shared" si="105"/>
        <v>0</v>
      </c>
      <c r="AE286" s="64">
        <f t="shared" si="106"/>
        <v>0</v>
      </c>
      <c r="AF286" s="64">
        <f t="shared" si="107"/>
        <v>0</v>
      </c>
      <c r="AG286" s="29">
        <f t="shared" si="108"/>
        <v>-44.67</v>
      </c>
    </row>
    <row r="287" spans="1:33" s="20" customFormat="1">
      <c r="A287" s="265">
        <v>10920011</v>
      </c>
      <c r="B287" s="265" t="s">
        <v>321</v>
      </c>
      <c r="C287" s="265" t="s">
        <v>350</v>
      </c>
      <c r="D287" s="265">
        <v>100000001</v>
      </c>
      <c r="E287" s="265" t="s">
        <v>51</v>
      </c>
      <c r="F287" s="265" t="s">
        <v>0</v>
      </c>
      <c r="G287" s="266">
        <v>-17861.439999999999</v>
      </c>
      <c r="H287" s="266">
        <v>-17861.439999999999</v>
      </c>
      <c r="I287" s="267"/>
      <c r="J287" s="267"/>
      <c r="K287" s="267"/>
      <c r="L287" s="224" t="str">
        <f t="shared" si="109"/>
        <v>10920011_AUD_100000001_NONGHYUP BANK SYDNEY BRANCH</v>
      </c>
      <c r="M287" s="221">
        <f t="shared" si="89"/>
        <v>-17861.439999999999</v>
      </c>
      <c r="N287" s="24" t="str">
        <f>IF(OR(L287=$L$2,L287=$L$3),$M$10+1,IFERROR(VLOOKUP(A287,'Repricing Maturity Adj.'!$A$3:$C$170,3,0),(IF(K287&lt;$M$10,"Check",K287))))</f>
        <v>Non_sensitive</v>
      </c>
      <c r="O287" s="62" t="b">
        <f t="shared" si="90"/>
        <v>1</v>
      </c>
      <c r="P287" s="63" t="str">
        <f t="shared" si="91"/>
        <v>Asset</v>
      </c>
      <c r="Q287" s="25">
        <f t="shared" si="92"/>
        <v>0</v>
      </c>
      <c r="R287" s="25">
        <f t="shared" si="93"/>
        <v>0</v>
      </c>
      <c r="S287" s="25">
        <f t="shared" si="94"/>
        <v>0</v>
      </c>
      <c r="T287" s="25">
        <f t="shared" si="95"/>
        <v>0</v>
      </c>
      <c r="U287" s="25">
        <f t="shared" si="96"/>
        <v>0</v>
      </c>
      <c r="V287" s="25">
        <f t="shared" si="97"/>
        <v>0</v>
      </c>
      <c r="W287" s="25">
        <f t="shared" si="98"/>
        <v>0</v>
      </c>
      <c r="X287" s="64">
        <f t="shared" si="99"/>
        <v>0</v>
      </c>
      <c r="Y287" s="64">
        <f t="shared" si="100"/>
        <v>0</v>
      </c>
      <c r="Z287" s="64">
        <f t="shared" si="101"/>
        <v>0</v>
      </c>
      <c r="AA287" s="64">
        <f t="shared" si="102"/>
        <v>0</v>
      </c>
      <c r="AB287" s="64">
        <f t="shared" si="103"/>
        <v>0</v>
      </c>
      <c r="AC287" s="64">
        <f t="shared" si="104"/>
        <v>0</v>
      </c>
      <c r="AD287" s="64">
        <f t="shared" si="105"/>
        <v>0</v>
      </c>
      <c r="AE287" s="64">
        <f t="shared" si="106"/>
        <v>0</v>
      </c>
      <c r="AF287" s="64">
        <f t="shared" si="107"/>
        <v>0</v>
      </c>
      <c r="AG287" s="29">
        <f t="shared" si="108"/>
        <v>-17861.439999999999</v>
      </c>
    </row>
    <row r="288" spans="1:33" s="20" customFormat="1">
      <c r="A288" s="265">
        <v>10920011</v>
      </c>
      <c r="B288" s="265" t="s">
        <v>321</v>
      </c>
      <c r="C288" s="265" t="s">
        <v>351</v>
      </c>
      <c r="D288" s="265">
        <v>100000001</v>
      </c>
      <c r="E288" s="265" t="s">
        <v>51</v>
      </c>
      <c r="F288" s="265" t="s">
        <v>0</v>
      </c>
      <c r="G288" s="266">
        <v>-2954</v>
      </c>
      <c r="H288" s="266">
        <v>-2954</v>
      </c>
      <c r="I288" s="267"/>
      <c r="J288" s="267"/>
      <c r="K288" s="267"/>
      <c r="L288" s="224" t="str">
        <f t="shared" si="109"/>
        <v>10920011_AUD_100000001_NONGHYUP BANK SYDNEY BRANCH</v>
      </c>
      <c r="M288" s="221">
        <f t="shared" si="89"/>
        <v>-2954</v>
      </c>
      <c r="N288" s="24" t="str">
        <f>IF(OR(L288=$L$2,L288=$L$3),$M$10+1,IFERROR(VLOOKUP(A288,'Repricing Maturity Adj.'!$A$3:$C$170,3,0),(IF(K288&lt;$M$10,"Check",K288))))</f>
        <v>Non_sensitive</v>
      </c>
      <c r="O288" s="62" t="b">
        <f t="shared" si="90"/>
        <v>1</v>
      </c>
      <c r="P288" s="63" t="str">
        <f t="shared" si="91"/>
        <v>Asset</v>
      </c>
      <c r="Q288" s="25">
        <f t="shared" si="92"/>
        <v>0</v>
      </c>
      <c r="R288" s="25">
        <f t="shared" si="93"/>
        <v>0</v>
      </c>
      <c r="S288" s="25">
        <f t="shared" si="94"/>
        <v>0</v>
      </c>
      <c r="T288" s="25">
        <f t="shared" si="95"/>
        <v>0</v>
      </c>
      <c r="U288" s="25">
        <f t="shared" si="96"/>
        <v>0</v>
      </c>
      <c r="V288" s="25">
        <f t="shared" si="97"/>
        <v>0</v>
      </c>
      <c r="W288" s="25">
        <f t="shared" si="98"/>
        <v>0</v>
      </c>
      <c r="X288" s="64">
        <f t="shared" si="99"/>
        <v>0</v>
      </c>
      <c r="Y288" s="64">
        <f t="shared" si="100"/>
        <v>0</v>
      </c>
      <c r="Z288" s="64">
        <f t="shared" si="101"/>
        <v>0</v>
      </c>
      <c r="AA288" s="64">
        <f t="shared" si="102"/>
        <v>0</v>
      </c>
      <c r="AB288" s="64">
        <f t="shared" si="103"/>
        <v>0</v>
      </c>
      <c r="AC288" s="64">
        <f t="shared" si="104"/>
        <v>0</v>
      </c>
      <c r="AD288" s="64">
        <f t="shared" si="105"/>
        <v>0</v>
      </c>
      <c r="AE288" s="64">
        <f t="shared" si="106"/>
        <v>0</v>
      </c>
      <c r="AF288" s="64">
        <f t="shared" si="107"/>
        <v>0</v>
      </c>
      <c r="AG288" s="29">
        <f t="shared" si="108"/>
        <v>-2954</v>
      </c>
    </row>
    <row r="289" spans="1:33" s="20" customFormat="1">
      <c r="A289" s="265">
        <v>10920011</v>
      </c>
      <c r="B289" s="265" t="s">
        <v>321</v>
      </c>
      <c r="C289" s="265" t="s">
        <v>352</v>
      </c>
      <c r="D289" s="265">
        <v>100000001</v>
      </c>
      <c r="E289" s="265" t="s">
        <v>51</v>
      </c>
      <c r="F289" s="265" t="s">
        <v>0</v>
      </c>
      <c r="G289" s="266">
        <v>-69.09</v>
      </c>
      <c r="H289" s="266">
        <v>-69.09</v>
      </c>
      <c r="I289" s="267"/>
      <c r="J289" s="267"/>
      <c r="K289" s="267"/>
      <c r="L289" s="224" t="str">
        <f t="shared" si="109"/>
        <v>10920011_AUD_100000001_NONGHYUP BANK SYDNEY BRANCH</v>
      </c>
      <c r="M289" s="221">
        <f t="shared" si="89"/>
        <v>-69.09</v>
      </c>
      <c r="N289" s="24" t="str">
        <f>IF(OR(L289=$L$2,L289=$L$3),$M$10+1,IFERROR(VLOOKUP(A289,'Repricing Maturity Adj.'!$A$3:$C$170,3,0),(IF(K289&lt;$M$10,"Check",K289))))</f>
        <v>Non_sensitive</v>
      </c>
      <c r="O289" s="62" t="b">
        <f t="shared" si="90"/>
        <v>1</v>
      </c>
      <c r="P289" s="63" t="str">
        <f t="shared" si="91"/>
        <v>Asset</v>
      </c>
      <c r="Q289" s="25">
        <f t="shared" si="92"/>
        <v>0</v>
      </c>
      <c r="R289" s="25">
        <f t="shared" si="93"/>
        <v>0</v>
      </c>
      <c r="S289" s="25">
        <f t="shared" si="94"/>
        <v>0</v>
      </c>
      <c r="T289" s="25">
        <f t="shared" si="95"/>
        <v>0</v>
      </c>
      <c r="U289" s="25">
        <f t="shared" si="96"/>
        <v>0</v>
      </c>
      <c r="V289" s="25">
        <f t="shared" si="97"/>
        <v>0</v>
      </c>
      <c r="W289" s="25">
        <f t="shared" si="98"/>
        <v>0</v>
      </c>
      <c r="X289" s="64">
        <f t="shared" si="99"/>
        <v>0</v>
      </c>
      <c r="Y289" s="64">
        <f t="shared" si="100"/>
        <v>0</v>
      </c>
      <c r="Z289" s="64">
        <f t="shared" si="101"/>
        <v>0</v>
      </c>
      <c r="AA289" s="64">
        <f t="shared" si="102"/>
        <v>0</v>
      </c>
      <c r="AB289" s="64">
        <f t="shared" si="103"/>
        <v>0</v>
      </c>
      <c r="AC289" s="64">
        <f t="shared" si="104"/>
        <v>0</v>
      </c>
      <c r="AD289" s="64">
        <f t="shared" si="105"/>
        <v>0</v>
      </c>
      <c r="AE289" s="64">
        <f t="shared" si="106"/>
        <v>0</v>
      </c>
      <c r="AF289" s="64">
        <f t="shared" si="107"/>
        <v>0</v>
      </c>
      <c r="AG289" s="29">
        <f t="shared" si="108"/>
        <v>-69.09</v>
      </c>
    </row>
    <row r="290" spans="1:33" s="20" customFormat="1">
      <c r="A290" s="265">
        <v>10920011</v>
      </c>
      <c r="B290" s="265" t="s">
        <v>321</v>
      </c>
      <c r="C290" s="265" t="s">
        <v>353</v>
      </c>
      <c r="D290" s="265">
        <v>100000001</v>
      </c>
      <c r="E290" s="265" t="s">
        <v>51</v>
      </c>
      <c r="F290" s="265" t="s">
        <v>0</v>
      </c>
      <c r="G290" s="266">
        <v>-135.88</v>
      </c>
      <c r="H290" s="266">
        <v>-135.88</v>
      </c>
      <c r="I290" s="267"/>
      <c r="J290" s="267"/>
      <c r="K290" s="267"/>
      <c r="L290" s="224" t="str">
        <f t="shared" si="109"/>
        <v>10920011_AUD_100000001_NONGHYUP BANK SYDNEY BRANCH</v>
      </c>
      <c r="M290" s="221">
        <f t="shared" si="89"/>
        <v>-135.88</v>
      </c>
      <c r="N290" s="24" t="str">
        <f>IF(OR(L290=$L$2,L290=$L$3),$M$10+1,IFERROR(VLOOKUP(A290,'Repricing Maturity Adj.'!$A$3:$C$170,3,0),(IF(K290&lt;$M$10,"Check",K290))))</f>
        <v>Non_sensitive</v>
      </c>
      <c r="O290" s="62" t="b">
        <f t="shared" si="90"/>
        <v>1</v>
      </c>
      <c r="P290" s="63" t="str">
        <f t="shared" si="91"/>
        <v>Asset</v>
      </c>
      <c r="Q290" s="25">
        <f t="shared" si="92"/>
        <v>0</v>
      </c>
      <c r="R290" s="25">
        <f t="shared" si="93"/>
        <v>0</v>
      </c>
      <c r="S290" s="25">
        <f t="shared" si="94"/>
        <v>0</v>
      </c>
      <c r="T290" s="25">
        <f t="shared" si="95"/>
        <v>0</v>
      </c>
      <c r="U290" s="25">
        <f t="shared" si="96"/>
        <v>0</v>
      </c>
      <c r="V290" s="25">
        <f t="shared" si="97"/>
        <v>0</v>
      </c>
      <c r="W290" s="25">
        <f t="shared" si="98"/>
        <v>0</v>
      </c>
      <c r="X290" s="64">
        <f t="shared" si="99"/>
        <v>0</v>
      </c>
      <c r="Y290" s="64">
        <f t="shared" si="100"/>
        <v>0</v>
      </c>
      <c r="Z290" s="64">
        <f t="shared" si="101"/>
        <v>0</v>
      </c>
      <c r="AA290" s="64">
        <f t="shared" si="102"/>
        <v>0</v>
      </c>
      <c r="AB290" s="64">
        <f t="shared" si="103"/>
        <v>0</v>
      </c>
      <c r="AC290" s="64">
        <f t="shared" si="104"/>
        <v>0</v>
      </c>
      <c r="AD290" s="64">
        <f t="shared" si="105"/>
        <v>0</v>
      </c>
      <c r="AE290" s="64">
        <f t="shared" si="106"/>
        <v>0</v>
      </c>
      <c r="AF290" s="64">
        <f t="shared" si="107"/>
        <v>0</v>
      </c>
      <c r="AG290" s="29">
        <f t="shared" si="108"/>
        <v>-135.88</v>
      </c>
    </row>
    <row r="291" spans="1:33" s="20" customFormat="1">
      <c r="A291" s="265">
        <v>10920011</v>
      </c>
      <c r="B291" s="265" t="s">
        <v>321</v>
      </c>
      <c r="C291" s="265" t="s">
        <v>354</v>
      </c>
      <c r="D291" s="265">
        <v>100000001</v>
      </c>
      <c r="E291" s="265" t="s">
        <v>51</v>
      </c>
      <c r="F291" s="265" t="s">
        <v>0</v>
      </c>
      <c r="G291" s="266">
        <v>-704.07</v>
      </c>
      <c r="H291" s="266">
        <v>-704.07</v>
      </c>
      <c r="I291" s="267"/>
      <c r="J291" s="267"/>
      <c r="K291" s="267"/>
      <c r="L291" s="224" t="str">
        <f t="shared" si="109"/>
        <v>10920011_AUD_100000001_NONGHYUP BANK SYDNEY BRANCH</v>
      </c>
      <c r="M291" s="221">
        <f t="shared" si="89"/>
        <v>-704.07</v>
      </c>
      <c r="N291" s="24" t="str">
        <f>IF(OR(L291=$L$2,L291=$L$3),$M$10+1,IFERROR(VLOOKUP(A291,'Repricing Maturity Adj.'!$A$3:$C$170,3,0),(IF(K291&lt;$M$10,"Check",K291))))</f>
        <v>Non_sensitive</v>
      </c>
      <c r="O291" s="62" t="b">
        <f t="shared" si="90"/>
        <v>1</v>
      </c>
      <c r="P291" s="63" t="str">
        <f t="shared" si="91"/>
        <v>Asset</v>
      </c>
      <c r="Q291" s="25">
        <f t="shared" si="92"/>
        <v>0</v>
      </c>
      <c r="R291" s="25">
        <f t="shared" si="93"/>
        <v>0</v>
      </c>
      <c r="S291" s="25">
        <f t="shared" si="94"/>
        <v>0</v>
      </c>
      <c r="T291" s="25">
        <f t="shared" si="95"/>
        <v>0</v>
      </c>
      <c r="U291" s="25">
        <f t="shared" si="96"/>
        <v>0</v>
      </c>
      <c r="V291" s="25">
        <f t="shared" si="97"/>
        <v>0</v>
      </c>
      <c r="W291" s="25">
        <f t="shared" si="98"/>
        <v>0</v>
      </c>
      <c r="X291" s="64">
        <f t="shared" si="99"/>
        <v>0</v>
      </c>
      <c r="Y291" s="64">
        <f t="shared" si="100"/>
        <v>0</v>
      </c>
      <c r="Z291" s="64">
        <f t="shared" si="101"/>
        <v>0</v>
      </c>
      <c r="AA291" s="64">
        <f t="shared" si="102"/>
        <v>0</v>
      </c>
      <c r="AB291" s="64">
        <f t="shared" si="103"/>
        <v>0</v>
      </c>
      <c r="AC291" s="64">
        <f t="shared" si="104"/>
        <v>0</v>
      </c>
      <c r="AD291" s="64">
        <f t="shared" si="105"/>
        <v>0</v>
      </c>
      <c r="AE291" s="64">
        <f t="shared" si="106"/>
        <v>0</v>
      </c>
      <c r="AF291" s="64">
        <f t="shared" si="107"/>
        <v>0</v>
      </c>
      <c r="AG291" s="29">
        <f t="shared" si="108"/>
        <v>-704.07</v>
      </c>
    </row>
    <row r="292" spans="1:33" s="20" customFormat="1">
      <c r="A292" s="265">
        <v>10920011</v>
      </c>
      <c r="B292" s="265" t="s">
        <v>321</v>
      </c>
      <c r="C292" s="265" t="s">
        <v>355</v>
      </c>
      <c r="D292" s="265">
        <v>100000001</v>
      </c>
      <c r="E292" s="265" t="s">
        <v>51</v>
      </c>
      <c r="F292" s="265" t="s">
        <v>0</v>
      </c>
      <c r="G292" s="266">
        <v>-9</v>
      </c>
      <c r="H292" s="266">
        <v>-9</v>
      </c>
      <c r="I292" s="267"/>
      <c r="J292" s="267"/>
      <c r="K292" s="267"/>
      <c r="L292" s="224" t="str">
        <f t="shared" si="109"/>
        <v>10920011_AUD_100000001_NONGHYUP BANK SYDNEY BRANCH</v>
      </c>
      <c r="M292" s="221">
        <f t="shared" si="89"/>
        <v>-9</v>
      </c>
      <c r="N292" s="24" t="str">
        <f>IF(OR(L292=$L$2,L292=$L$3),$M$10+1,IFERROR(VLOOKUP(A292,'Repricing Maturity Adj.'!$A$3:$C$170,3,0),(IF(K292&lt;$M$10,"Check",K292))))</f>
        <v>Non_sensitive</v>
      </c>
      <c r="O292" s="62" t="b">
        <f t="shared" si="90"/>
        <v>1</v>
      </c>
      <c r="P292" s="63" t="str">
        <f t="shared" si="91"/>
        <v>Asset</v>
      </c>
      <c r="Q292" s="25">
        <f t="shared" si="92"/>
        <v>0</v>
      </c>
      <c r="R292" s="25">
        <f t="shared" si="93"/>
        <v>0</v>
      </c>
      <c r="S292" s="25">
        <f t="shared" si="94"/>
        <v>0</v>
      </c>
      <c r="T292" s="25">
        <f t="shared" si="95"/>
        <v>0</v>
      </c>
      <c r="U292" s="25">
        <f t="shared" si="96"/>
        <v>0</v>
      </c>
      <c r="V292" s="25">
        <f t="shared" si="97"/>
        <v>0</v>
      </c>
      <c r="W292" s="25">
        <f t="shared" si="98"/>
        <v>0</v>
      </c>
      <c r="X292" s="64">
        <f t="shared" si="99"/>
        <v>0</v>
      </c>
      <c r="Y292" s="64">
        <f t="shared" si="100"/>
        <v>0</v>
      </c>
      <c r="Z292" s="64">
        <f t="shared" si="101"/>
        <v>0</v>
      </c>
      <c r="AA292" s="64">
        <f t="shared" si="102"/>
        <v>0</v>
      </c>
      <c r="AB292" s="64">
        <f t="shared" si="103"/>
        <v>0</v>
      </c>
      <c r="AC292" s="64">
        <f t="shared" si="104"/>
        <v>0</v>
      </c>
      <c r="AD292" s="64">
        <f t="shared" si="105"/>
        <v>0</v>
      </c>
      <c r="AE292" s="64">
        <f t="shared" si="106"/>
        <v>0</v>
      </c>
      <c r="AF292" s="64">
        <f t="shared" si="107"/>
        <v>0</v>
      </c>
      <c r="AG292" s="29">
        <f t="shared" si="108"/>
        <v>-9</v>
      </c>
    </row>
    <row r="293" spans="1:33" s="20" customFormat="1">
      <c r="A293" s="265">
        <v>10920011</v>
      </c>
      <c r="B293" s="265" t="s">
        <v>321</v>
      </c>
      <c r="C293" s="265" t="s">
        <v>356</v>
      </c>
      <c r="D293" s="265">
        <v>100000001</v>
      </c>
      <c r="E293" s="265" t="s">
        <v>51</v>
      </c>
      <c r="F293" s="265" t="s">
        <v>0</v>
      </c>
      <c r="G293" s="266">
        <v>143</v>
      </c>
      <c r="H293" s="266">
        <v>143</v>
      </c>
      <c r="I293" s="267"/>
      <c r="J293" s="267"/>
      <c r="K293" s="267"/>
      <c r="L293" s="224" t="str">
        <f t="shared" si="109"/>
        <v>10920011_AUD_100000001_NONGHYUP BANK SYDNEY BRANCH</v>
      </c>
      <c r="M293" s="221">
        <f t="shared" si="89"/>
        <v>143</v>
      </c>
      <c r="N293" s="24" t="str">
        <f>IF(OR(L293=$L$2,L293=$L$3),$M$10+1,IFERROR(VLOOKUP(A293,'Repricing Maturity Adj.'!$A$3:$C$170,3,0),(IF(K293&lt;$M$10,"Check",K293))))</f>
        <v>Non_sensitive</v>
      </c>
      <c r="O293" s="62" t="b">
        <f t="shared" si="90"/>
        <v>1</v>
      </c>
      <c r="P293" s="63" t="str">
        <f t="shared" si="91"/>
        <v>Asset</v>
      </c>
      <c r="Q293" s="25">
        <f t="shared" si="92"/>
        <v>0</v>
      </c>
      <c r="R293" s="25">
        <f t="shared" si="93"/>
        <v>0</v>
      </c>
      <c r="S293" s="25">
        <f t="shared" si="94"/>
        <v>0</v>
      </c>
      <c r="T293" s="25">
        <f t="shared" si="95"/>
        <v>0</v>
      </c>
      <c r="U293" s="25">
        <f t="shared" si="96"/>
        <v>0</v>
      </c>
      <c r="V293" s="25">
        <f t="shared" si="97"/>
        <v>0</v>
      </c>
      <c r="W293" s="25">
        <f t="shared" si="98"/>
        <v>0</v>
      </c>
      <c r="X293" s="64">
        <f t="shared" si="99"/>
        <v>0</v>
      </c>
      <c r="Y293" s="64">
        <f t="shared" si="100"/>
        <v>0</v>
      </c>
      <c r="Z293" s="64">
        <f t="shared" si="101"/>
        <v>0</v>
      </c>
      <c r="AA293" s="64">
        <f t="shared" si="102"/>
        <v>0</v>
      </c>
      <c r="AB293" s="64">
        <f t="shared" si="103"/>
        <v>0</v>
      </c>
      <c r="AC293" s="64">
        <f t="shared" si="104"/>
        <v>0</v>
      </c>
      <c r="AD293" s="64">
        <f t="shared" si="105"/>
        <v>0</v>
      </c>
      <c r="AE293" s="64">
        <f t="shared" si="106"/>
        <v>0</v>
      </c>
      <c r="AF293" s="64">
        <f t="shared" si="107"/>
        <v>0</v>
      </c>
      <c r="AG293" s="29">
        <f t="shared" si="108"/>
        <v>143</v>
      </c>
    </row>
    <row r="294" spans="1:33" s="20" customFormat="1">
      <c r="A294" s="265">
        <v>10920011</v>
      </c>
      <c r="B294" s="265" t="s">
        <v>321</v>
      </c>
      <c r="C294" s="265" t="s">
        <v>357</v>
      </c>
      <c r="D294" s="265">
        <v>100000001</v>
      </c>
      <c r="E294" s="265" t="s">
        <v>51</v>
      </c>
      <c r="F294" s="265" t="s">
        <v>0</v>
      </c>
      <c r="G294" s="266">
        <v>-3277.3</v>
      </c>
      <c r="H294" s="266">
        <v>-3277.3</v>
      </c>
      <c r="I294" s="267"/>
      <c r="J294" s="267"/>
      <c r="K294" s="267"/>
      <c r="L294" s="224" t="str">
        <f t="shared" si="109"/>
        <v>10920011_AUD_100000001_NONGHYUP BANK SYDNEY BRANCH</v>
      </c>
      <c r="M294" s="221">
        <f t="shared" si="89"/>
        <v>-3277.3</v>
      </c>
      <c r="N294" s="24" t="str">
        <f>IF(OR(L294=$L$2,L294=$L$3),$M$10+1,IFERROR(VLOOKUP(A294,'Repricing Maturity Adj.'!$A$3:$C$170,3,0),(IF(K294&lt;$M$10,"Check",K294))))</f>
        <v>Non_sensitive</v>
      </c>
      <c r="O294" s="62" t="b">
        <f t="shared" si="90"/>
        <v>1</v>
      </c>
      <c r="P294" s="63" t="str">
        <f t="shared" si="91"/>
        <v>Asset</v>
      </c>
      <c r="Q294" s="25">
        <f t="shared" si="92"/>
        <v>0</v>
      </c>
      <c r="R294" s="25">
        <f t="shared" si="93"/>
        <v>0</v>
      </c>
      <c r="S294" s="25">
        <f t="shared" si="94"/>
        <v>0</v>
      </c>
      <c r="T294" s="25">
        <f t="shared" si="95"/>
        <v>0</v>
      </c>
      <c r="U294" s="25">
        <f t="shared" si="96"/>
        <v>0</v>
      </c>
      <c r="V294" s="25">
        <f t="shared" si="97"/>
        <v>0</v>
      </c>
      <c r="W294" s="25">
        <f t="shared" si="98"/>
        <v>0</v>
      </c>
      <c r="X294" s="64">
        <f t="shared" si="99"/>
        <v>0</v>
      </c>
      <c r="Y294" s="64">
        <f t="shared" si="100"/>
        <v>0</v>
      </c>
      <c r="Z294" s="64">
        <f t="shared" si="101"/>
        <v>0</v>
      </c>
      <c r="AA294" s="64">
        <f t="shared" si="102"/>
        <v>0</v>
      </c>
      <c r="AB294" s="64">
        <f t="shared" si="103"/>
        <v>0</v>
      </c>
      <c r="AC294" s="64">
        <f t="shared" si="104"/>
        <v>0</v>
      </c>
      <c r="AD294" s="64">
        <f t="shared" si="105"/>
        <v>0</v>
      </c>
      <c r="AE294" s="64">
        <f t="shared" si="106"/>
        <v>0</v>
      </c>
      <c r="AF294" s="64">
        <f t="shared" si="107"/>
        <v>0</v>
      </c>
      <c r="AG294" s="29">
        <f t="shared" si="108"/>
        <v>-3277.3</v>
      </c>
    </row>
    <row r="295" spans="1:33" s="20" customFormat="1">
      <c r="A295" s="265">
        <v>10920011</v>
      </c>
      <c r="B295" s="265" t="s">
        <v>321</v>
      </c>
      <c r="C295" s="265" t="s">
        <v>358</v>
      </c>
      <c r="D295" s="265">
        <v>100000001</v>
      </c>
      <c r="E295" s="265" t="s">
        <v>51</v>
      </c>
      <c r="F295" s="265" t="s">
        <v>0</v>
      </c>
      <c r="G295" s="266">
        <v>15681.52</v>
      </c>
      <c r="H295" s="266">
        <v>15681.52</v>
      </c>
      <c r="I295" s="267"/>
      <c r="J295" s="267"/>
      <c r="K295" s="267"/>
      <c r="L295" s="224" t="str">
        <f t="shared" si="109"/>
        <v>10920011_AUD_100000001_NONGHYUP BANK SYDNEY BRANCH</v>
      </c>
      <c r="M295" s="221">
        <f t="shared" si="89"/>
        <v>15681.52</v>
      </c>
      <c r="N295" s="24" t="str">
        <f>IF(OR(L295=$L$2,L295=$L$3),$M$10+1,IFERROR(VLOOKUP(A295,'Repricing Maturity Adj.'!$A$3:$C$170,3,0),(IF(K295&lt;$M$10,"Check",K295))))</f>
        <v>Non_sensitive</v>
      </c>
      <c r="O295" s="62" t="b">
        <f t="shared" si="90"/>
        <v>1</v>
      </c>
      <c r="P295" s="63" t="str">
        <f t="shared" si="91"/>
        <v>Asset</v>
      </c>
      <c r="Q295" s="25">
        <f t="shared" si="92"/>
        <v>0</v>
      </c>
      <c r="R295" s="25">
        <f t="shared" si="93"/>
        <v>0</v>
      </c>
      <c r="S295" s="25">
        <f t="shared" si="94"/>
        <v>0</v>
      </c>
      <c r="T295" s="25">
        <f t="shared" si="95"/>
        <v>0</v>
      </c>
      <c r="U295" s="25">
        <f t="shared" si="96"/>
        <v>0</v>
      </c>
      <c r="V295" s="25">
        <f t="shared" si="97"/>
        <v>0</v>
      </c>
      <c r="W295" s="25">
        <f t="shared" si="98"/>
        <v>0</v>
      </c>
      <c r="X295" s="64">
        <f t="shared" si="99"/>
        <v>0</v>
      </c>
      <c r="Y295" s="64">
        <f t="shared" si="100"/>
        <v>0</v>
      </c>
      <c r="Z295" s="64">
        <f t="shared" si="101"/>
        <v>0</v>
      </c>
      <c r="AA295" s="64">
        <f t="shared" si="102"/>
        <v>0</v>
      </c>
      <c r="AB295" s="64">
        <f t="shared" si="103"/>
        <v>0</v>
      </c>
      <c r="AC295" s="64">
        <f t="shared" si="104"/>
        <v>0</v>
      </c>
      <c r="AD295" s="64">
        <f t="shared" si="105"/>
        <v>0</v>
      </c>
      <c r="AE295" s="64">
        <f t="shared" si="106"/>
        <v>0</v>
      </c>
      <c r="AF295" s="64">
        <f t="shared" si="107"/>
        <v>0</v>
      </c>
      <c r="AG295" s="29">
        <f t="shared" si="108"/>
        <v>15681.52</v>
      </c>
    </row>
    <row r="296" spans="1:33" s="20" customFormat="1">
      <c r="A296" s="265">
        <v>10920011</v>
      </c>
      <c r="B296" s="265" t="s">
        <v>321</v>
      </c>
      <c r="C296" s="265" t="s">
        <v>359</v>
      </c>
      <c r="D296" s="265">
        <v>100000001</v>
      </c>
      <c r="E296" s="265" t="s">
        <v>51</v>
      </c>
      <c r="F296" s="265" t="s">
        <v>0</v>
      </c>
      <c r="G296" s="266">
        <v>4214.3900000000003</v>
      </c>
      <c r="H296" s="266">
        <v>4214.3900000000003</v>
      </c>
      <c r="I296" s="267"/>
      <c r="J296" s="267"/>
      <c r="K296" s="267"/>
      <c r="L296" s="224" t="str">
        <f t="shared" si="109"/>
        <v>10920011_AUD_100000001_NONGHYUP BANK SYDNEY BRANCH</v>
      </c>
      <c r="M296" s="221">
        <f t="shared" si="89"/>
        <v>4214.3900000000003</v>
      </c>
      <c r="N296" s="24" t="str">
        <f>IF(OR(L296=$L$2,L296=$L$3),$M$10+1,IFERROR(VLOOKUP(A296,'Repricing Maturity Adj.'!$A$3:$C$170,3,0),(IF(K296&lt;$M$10,"Check",K296))))</f>
        <v>Non_sensitive</v>
      </c>
      <c r="O296" s="62" t="b">
        <f t="shared" si="90"/>
        <v>1</v>
      </c>
      <c r="P296" s="63" t="str">
        <f t="shared" si="91"/>
        <v>Asset</v>
      </c>
      <c r="Q296" s="25">
        <f t="shared" si="92"/>
        <v>0</v>
      </c>
      <c r="R296" s="25">
        <f t="shared" si="93"/>
        <v>0</v>
      </c>
      <c r="S296" s="25">
        <f t="shared" si="94"/>
        <v>0</v>
      </c>
      <c r="T296" s="25">
        <f t="shared" si="95"/>
        <v>0</v>
      </c>
      <c r="U296" s="25">
        <f t="shared" si="96"/>
        <v>0</v>
      </c>
      <c r="V296" s="25">
        <f t="shared" si="97"/>
        <v>0</v>
      </c>
      <c r="W296" s="25">
        <f t="shared" si="98"/>
        <v>0</v>
      </c>
      <c r="X296" s="64">
        <f t="shared" si="99"/>
        <v>0</v>
      </c>
      <c r="Y296" s="64">
        <f t="shared" si="100"/>
        <v>0</v>
      </c>
      <c r="Z296" s="64">
        <f t="shared" si="101"/>
        <v>0</v>
      </c>
      <c r="AA296" s="64">
        <f t="shared" si="102"/>
        <v>0</v>
      </c>
      <c r="AB296" s="64">
        <f t="shared" si="103"/>
        <v>0</v>
      </c>
      <c r="AC296" s="64">
        <f t="shared" si="104"/>
        <v>0</v>
      </c>
      <c r="AD296" s="64">
        <f t="shared" si="105"/>
        <v>0</v>
      </c>
      <c r="AE296" s="64">
        <f t="shared" si="106"/>
        <v>0</v>
      </c>
      <c r="AF296" s="64">
        <f t="shared" si="107"/>
        <v>0</v>
      </c>
      <c r="AG296" s="29">
        <f t="shared" si="108"/>
        <v>4214.3900000000003</v>
      </c>
    </row>
    <row r="297" spans="1:33" s="20" customFormat="1">
      <c r="A297" s="265">
        <v>10920011</v>
      </c>
      <c r="B297" s="265" t="s">
        <v>321</v>
      </c>
      <c r="C297" s="265" t="s">
        <v>360</v>
      </c>
      <c r="D297" s="265">
        <v>100000001</v>
      </c>
      <c r="E297" s="265" t="s">
        <v>51</v>
      </c>
      <c r="F297" s="265" t="s">
        <v>0</v>
      </c>
      <c r="G297" s="266">
        <v>-83824.42</v>
      </c>
      <c r="H297" s="266">
        <v>-83824.42</v>
      </c>
      <c r="I297" s="267"/>
      <c r="J297" s="267"/>
      <c r="K297" s="267"/>
      <c r="L297" s="224" t="str">
        <f t="shared" si="109"/>
        <v>10920011_AUD_100000001_NONGHYUP BANK SYDNEY BRANCH</v>
      </c>
      <c r="M297" s="221">
        <f t="shared" si="89"/>
        <v>-83824.42</v>
      </c>
      <c r="N297" s="24" t="str">
        <f>IF(OR(L297=$L$2,L297=$L$3),$M$10+1,IFERROR(VLOOKUP(A297,'Repricing Maturity Adj.'!$A$3:$C$170,3,0),(IF(K297&lt;$M$10,"Check",K297))))</f>
        <v>Non_sensitive</v>
      </c>
      <c r="O297" s="62" t="b">
        <f t="shared" si="90"/>
        <v>1</v>
      </c>
      <c r="P297" s="63" t="str">
        <f t="shared" si="91"/>
        <v>Asset</v>
      </c>
      <c r="Q297" s="25">
        <f t="shared" si="92"/>
        <v>0</v>
      </c>
      <c r="R297" s="25">
        <f t="shared" si="93"/>
        <v>0</v>
      </c>
      <c r="S297" s="25">
        <f t="shared" si="94"/>
        <v>0</v>
      </c>
      <c r="T297" s="25">
        <f t="shared" si="95"/>
        <v>0</v>
      </c>
      <c r="U297" s="25">
        <f t="shared" si="96"/>
        <v>0</v>
      </c>
      <c r="V297" s="25">
        <f t="shared" si="97"/>
        <v>0</v>
      </c>
      <c r="W297" s="25">
        <f t="shared" si="98"/>
        <v>0</v>
      </c>
      <c r="X297" s="64">
        <f t="shared" si="99"/>
        <v>0</v>
      </c>
      <c r="Y297" s="64">
        <f t="shared" si="100"/>
        <v>0</v>
      </c>
      <c r="Z297" s="64">
        <f t="shared" si="101"/>
        <v>0</v>
      </c>
      <c r="AA297" s="64">
        <f t="shared" si="102"/>
        <v>0</v>
      </c>
      <c r="AB297" s="64">
        <f t="shared" si="103"/>
        <v>0</v>
      </c>
      <c r="AC297" s="64">
        <f t="shared" si="104"/>
        <v>0</v>
      </c>
      <c r="AD297" s="64">
        <f t="shared" si="105"/>
        <v>0</v>
      </c>
      <c r="AE297" s="64">
        <f t="shared" si="106"/>
        <v>0</v>
      </c>
      <c r="AF297" s="64">
        <f t="shared" si="107"/>
        <v>0</v>
      </c>
      <c r="AG297" s="29">
        <f t="shared" si="108"/>
        <v>-83824.42</v>
      </c>
    </row>
    <row r="298" spans="1:33" s="20" customFormat="1">
      <c r="A298" s="265">
        <v>10920011</v>
      </c>
      <c r="B298" s="265" t="s">
        <v>321</v>
      </c>
      <c r="C298" s="265" t="s">
        <v>360</v>
      </c>
      <c r="D298" s="265">
        <v>100000001</v>
      </c>
      <c r="E298" s="265" t="s">
        <v>51</v>
      </c>
      <c r="F298" s="265" t="s">
        <v>0</v>
      </c>
      <c r="G298" s="266">
        <v>514.58000000000004</v>
      </c>
      <c r="H298" s="266">
        <v>514.58000000000004</v>
      </c>
      <c r="I298" s="267"/>
      <c r="J298" s="267"/>
      <c r="K298" s="267"/>
      <c r="L298" s="224" t="str">
        <f t="shared" si="109"/>
        <v>10920011_AUD_100000001_NONGHYUP BANK SYDNEY BRANCH</v>
      </c>
      <c r="M298" s="221">
        <f t="shared" si="89"/>
        <v>514.58000000000004</v>
      </c>
      <c r="N298" s="24" t="str">
        <f>IF(OR(L298=$L$2,L298=$L$3),$M$10+1,IFERROR(VLOOKUP(A298,'Repricing Maturity Adj.'!$A$3:$C$170,3,0),(IF(K298&lt;$M$10,"Check",K298))))</f>
        <v>Non_sensitive</v>
      </c>
      <c r="O298" s="62" t="b">
        <f t="shared" si="90"/>
        <v>1</v>
      </c>
      <c r="P298" s="63" t="str">
        <f t="shared" si="91"/>
        <v>Asset</v>
      </c>
      <c r="Q298" s="25">
        <f t="shared" si="92"/>
        <v>0</v>
      </c>
      <c r="R298" s="25">
        <f t="shared" si="93"/>
        <v>0</v>
      </c>
      <c r="S298" s="25">
        <f t="shared" si="94"/>
        <v>0</v>
      </c>
      <c r="T298" s="25">
        <f t="shared" si="95"/>
        <v>0</v>
      </c>
      <c r="U298" s="25">
        <f t="shared" si="96"/>
        <v>0</v>
      </c>
      <c r="V298" s="25">
        <f t="shared" si="97"/>
        <v>0</v>
      </c>
      <c r="W298" s="25">
        <f t="shared" si="98"/>
        <v>0</v>
      </c>
      <c r="X298" s="64">
        <f t="shared" si="99"/>
        <v>0</v>
      </c>
      <c r="Y298" s="64">
        <f t="shared" si="100"/>
        <v>0</v>
      </c>
      <c r="Z298" s="64">
        <f t="shared" si="101"/>
        <v>0</v>
      </c>
      <c r="AA298" s="64">
        <f t="shared" si="102"/>
        <v>0</v>
      </c>
      <c r="AB298" s="64">
        <f t="shared" si="103"/>
        <v>0</v>
      </c>
      <c r="AC298" s="64">
        <f t="shared" si="104"/>
        <v>0</v>
      </c>
      <c r="AD298" s="64">
        <f t="shared" si="105"/>
        <v>0</v>
      </c>
      <c r="AE298" s="64">
        <f t="shared" si="106"/>
        <v>0</v>
      </c>
      <c r="AF298" s="64">
        <f t="shared" si="107"/>
        <v>0</v>
      </c>
      <c r="AG298" s="29">
        <f t="shared" si="108"/>
        <v>514.58000000000004</v>
      </c>
    </row>
    <row r="299" spans="1:33" s="20" customFormat="1">
      <c r="A299" s="265">
        <v>10920011</v>
      </c>
      <c r="B299" s="265" t="s">
        <v>321</v>
      </c>
      <c r="C299" s="265" t="s">
        <v>360</v>
      </c>
      <c r="D299" s="265">
        <v>100000001</v>
      </c>
      <c r="E299" s="265" t="s">
        <v>51</v>
      </c>
      <c r="F299" s="265" t="s">
        <v>0</v>
      </c>
      <c r="G299" s="266">
        <v>36297.01</v>
      </c>
      <c r="H299" s="266">
        <v>36297.01</v>
      </c>
      <c r="I299" s="267"/>
      <c r="J299" s="267"/>
      <c r="K299" s="267"/>
      <c r="L299" s="224" t="str">
        <f t="shared" si="109"/>
        <v>10920011_AUD_100000001_NONGHYUP BANK SYDNEY BRANCH</v>
      </c>
      <c r="M299" s="221">
        <f t="shared" si="89"/>
        <v>36297.01</v>
      </c>
      <c r="N299" s="24" t="str">
        <f>IF(OR(L299=$L$2,L299=$L$3),$M$10+1,IFERROR(VLOOKUP(A299,'Repricing Maturity Adj.'!$A$3:$C$170,3,0),(IF(K299&lt;$M$10,"Check",K299))))</f>
        <v>Non_sensitive</v>
      </c>
      <c r="O299" s="62" t="b">
        <f t="shared" si="90"/>
        <v>1</v>
      </c>
      <c r="P299" s="63" t="str">
        <f t="shared" si="91"/>
        <v>Asset</v>
      </c>
      <c r="Q299" s="25">
        <f t="shared" si="92"/>
        <v>0</v>
      </c>
      <c r="R299" s="25">
        <f t="shared" si="93"/>
        <v>0</v>
      </c>
      <c r="S299" s="25">
        <f t="shared" si="94"/>
        <v>0</v>
      </c>
      <c r="T299" s="25">
        <f t="shared" si="95"/>
        <v>0</v>
      </c>
      <c r="U299" s="25">
        <f t="shared" si="96"/>
        <v>0</v>
      </c>
      <c r="V299" s="25">
        <f t="shared" si="97"/>
        <v>0</v>
      </c>
      <c r="W299" s="25">
        <f t="shared" si="98"/>
        <v>0</v>
      </c>
      <c r="X299" s="64">
        <f t="shared" si="99"/>
        <v>0</v>
      </c>
      <c r="Y299" s="64">
        <f t="shared" si="100"/>
        <v>0</v>
      </c>
      <c r="Z299" s="64">
        <f t="shared" si="101"/>
        <v>0</v>
      </c>
      <c r="AA299" s="64">
        <f t="shared" si="102"/>
        <v>0</v>
      </c>
      <c r="AB299" s="64">
        <f t="shared" si="103"/>
        <v>0</v>
      </c>
      <c r="AC299" s="64">
        <f t="shared" si="104"/>
        <v>0</v>
      </c>
      <c r="AD299" s="64">
        <f t="shared" si="105"/>
        <v>0</v>
      </c>
      <c r="AE299" s="64">
        <f t="shared" si="106"/>
        <v>0</v>
      </c>
      <c r="AF299" s="64">
        <f t="shared" si="107"/>
        <v>0</v>
      </c>
      <c r="AG299" s="29">
        <f t="shared" si="108"/>
        <v>36297.01</v>
      </c>
    </row>
    <row r="300" spans="1:33" s="20" customFormat="1">
      <c r="A300" s="265">
        <v>10920011</v>
      </c>
      <c r="B300" s="265" t="s">
        <v>321</v>
      </c>
      <c r="C300" s="265" t="s">
        <v>361</v>
      </c>
      <c r="D300" s="265">
        <v>100000001</v>
      </c>
      <c r="E300" s="265" t="s">
        <v>51</v>
      </c>
      <c r="F300" s="265" t="s">
        <v>0</v>
      </c>
      <c r="G300" s="266">
        <v>25.71</v>
      </c>
      <c r="H300" s="266">
        <v>25.71</v>
      </c>
      <c r="I300" s="267"/>
      <c r="J300" s="267"/>
      <c r="K300" s="267"/>
      <c r="L300" s="224" t="str">
        <f t="shared" si="109"/>
        <v>10920011_AUD_100000001_NONGHYUP BANK SYDNEY BRANCH</v>
      </c>
      <c r="M300" s="221">
        <f t="shared" si="89"/>
        <v>25.71</v>
      </c>
      <c r="N300" s="24" t="str">
        <f>IF(OR(L300=$L$2,L300=$L$3),$M$10+1,IFERROR(VLOOKUP(A300,'Repricing Maturity Adj.'!$A$3:$C$170,3,0),(IF(K300&lt;$M$10,"Check",K300))))</f>
        <v>Non_sensitive</v>
      </c>
      <c r="O300" s="62" t="b">
        <f t="shared" si="90"/>
        <v>1</v>
      </c>
      <c r="P300" s="63" t="str">
        <f t="shared" si="91"/>
        <v>Asset</v>
      </c>
      <c r="Q300" s="25">
        <f t="shared" si="92"/>
        <v>0</v>
      </c>
      <c r="R300" s="25">
        <f t="shared" si="93"/>
        <v>0</v>
      </c>
      <c r="S300" s="25">
        <f t="shared" si="94"/>
        <v>0</v>
      </c>
      <c r="T300" s="25">
        <f t="shared" si="95"/>
        <v>0</v>
      </c>
      <c r="U300" s="25">
        <f t="shared" si="96"/>
        <v>0</v>
      </c>
      <c r="V300" s="25">
        <f t="shared" si="97"/>
        <v>0</v>
      </c>
      <c r="W300" s="25">
        <f t="shared" si="98"/>
        <v>0</v>
      </c>
      <c r="X300" s="64">
        <f t="shared" si="99"/>
        <v>0</v>
      </c>
      <c r="Y300" s="64">
        <f t="shared" si="100"/>
        <v>0</v>
      </c>
      <c r="Z300" s="64">
        <f t="shared" si="101"/>
        <v>0</v>
      </c>
      <c r="AA300" s="64">
        <f t="shared" si="102"/>
        <v>0</v>
      </c>
      <c r="AB300" s="64">
        <f t="shared" si="103"/>
        <v>0</v>
      </c>
      <c r="AC300" s="64">
        <f t="shared" si="104"/>
        <v>0</v>
      </c>
      <c r="AD300" s="64">
        <f t="shared" si="105"/>
        <v>0</v>
      </c>
      <c r="AE300" s="64">
        <f t="shared" si="106"/>
        <v>0</v>
      </c>
      <c r="AF300" s="64">
        <f t="shared" si="107"/>
        <v>0</v>
      </c>
      <c r="AG300" s="29">
        <f t="shared" si="108"/>
        <v>25.71</v>
      </c>
    </row>
    <row r="301" spans="1:33" s="20" customFormat="1">
      <c r="A301" s="265">
        <v>10999002</v>
      </c>
      <c r="B301" s="265" t="s">
        <v>893</v>
      </c>
      <c r="C301" s="265" t="s">
        <v>894</v>
      </c>
      <c r="D301" s="265">
        <v>100000001</v>
      </c>
      <c r="E301" s="265" t="s">
        <v>51</v>
      </c>
      <c r="F301" s="265" t="s">
        <v>0</v>
      </c>
      <c r="G301" s="266">
        <v>4140</v>
      </c>
      <c r="H301" s="266">
        <v>4140</v>
      </c>
      <c r="I301" s="267"/>
      <c r="J301" s="267"/>
      <c r="K301" s="267"/>
      <c r="L301" s="224" t="str">
        <f t="shared" si="109"/>
        <v>10999002_AUD_100000001_NONGHYUP BANK SYDNEY BRANCH</v>
      </c>
      <c r="M301" s="221">
        <f t="shared" si="89"/>
        <v>4140</v>
      </c>
      <c r="N301" s="24" t="str">
        <f>IF(OR(L301=$L$2,L301=$L$3),$M$10+1,IFERROR(VLOOKUP(A301,'Repricing Maturity Adj.'!$A$3:$C$170,3,0),(IF(K301&lt;$M$10,"Check",K301))))</f>
        <v>Non_sensitive</v>
      </c>
      <c r="O301" s="62" t="b">
        <f t="shared" si="90"/>
        <v>1</v>
      </c>
      <c r="P301" s="63" t="str">
        <f t="shared" si="91"/>
        <v>Asset</v>
      </c>
      <c r="Q301" s="25">
        <f t="shared" si="92"/>
        <v>0</v>
      </c>
      <c r="R301" s="25">
        <f t="shared" si="93"/>
        <v>0</v>
      </c>
      <c r="S301" s="25">
        <f t="shared" si="94"/>
        <v>0</v>
      </c>
      <c r="T301" s="25">
        <f t="shared" si="95"/>
        <v>0</v>
      </c>
      <c r="U301" s="25">
        <f t="shared" si="96"/>
        <v>0</v>
      </c>
      <c r="V301" s="25">
        <f t="shared" si="97"/>
        <v>0</v>
      </c>
      <c r="W301" s="25">
        <f t="shared" si="98"/>
        <v>0</v>
      </c>
      <c r="X301" s="64">
        <f t="shared" si="99"/>
        <v>0</v>
      </c>
      <c r="Y301" s="64">
        <f t="shared" si="100"/>
        <v>0</v>
      </c>
      <c r="Z301" s="64">
        <f t="shared" si="101"/>
        <v>0</v>
      </c>
      <c r="AA301" s="64">
        <f t="shared" si="102"/>
        <v>0</v>
      </c>
      <c r="AB301" s="64">
        <f t="shared" si="103"/>
        <v>0</v>
      </c>
      <c r="AC301" s="64">
        <f t="shared" si="104"/>
        <v>0</v>
      </c>
      <c r="AD301" s="64">
        <f t="shared" si="105"/>
        <v>0</v>
      </c>
      <c r="AE301" s="64">
        <f t="shared" si="106"/>
        <v>0</v>
      </c>
      <c r="AF301" s="64">
        <f t="shared" si="107"/>
        <v>0</v>
      </c>
      <c r="AG301" s="29">
        <f t="shared" si="108"/>
        <v>4140</v>
      </c>
    </row>
    <row r="302" spans="1:33" s="20" customFormat="1">
      <c r="A302" s="265">
        <v>10999002</v>
      </c>
      <c r="B302" s="265" t="s">
        <v>893</v>
      </c>
      <c r="C302" s="265" t="s">
        <v>900</v>
      </c>
      <c r="D302" s="265">
        <v>100000001</v>
      </c>
      <c r="E302" s="265" t="s">
        <v>51</v>
      </c>
      <c r="F302" s="265" t="s">
        <v>0</v>
      </c>
      <c r="G302" s="266">
        <v>4600</v>
      </c>
      <c r="H302" s="266">
        <v>4600</v>
      </c>
      <c r="I302" s="267"/>
      <c r="J302" s="267"/>
      <c r="K302" s="267"/>
      <c r="L302" s="224" t="str">
        <f t="shared" si="109"/>
        <v>10999002_AUD_100000001_NONGHYUP BANK SYDNEY BRANCH</v>
      </c>
      <c r="M302" s="221">
        <f t="shared" si="89"/>
        <v>4600</v>
      </c>
      <c r="N302" s="24" t="str">
        <f>IF(OR(L302=$L$2,L302=$L$3),$M$10+1,IFERROR(VLOOKUP(A302,'Repricing Maturity Adj.'!$A$3:$C$170,3,0),(IF(K302&lt;$M$10,"Check",K302))))</f>
        <v>Non_sensitive</v>
      </c>
      <c r="O302" s="62" t="b">
        <f t="shared" si="90"/>
        <v>1</v>
      </c>
      <c r="P302" s="63" t="str">
        <f t="shared" si="91"/>
        <v>Asset</v>
      </c>
      <c r="Q302" s="25">
        <f t="shared" si="92"/>
        <v>0</v>
      </c>
      <c r="R302" s="25">
        <f t="shared" si="93"/>
        <v>0</v>
      </c>
      <c r="S302" s="25">
        <f t="shared" si="94"/>
        <v>0</v>
      </c>
      <c r="T302" s="25">
        <f t="shared" si="95"/>
        <v>0</v>
      </c>
      <c r="U302" s="25">
        <f t="shared" si="96"/>
        <v>0</v>
      </c>
      <c r="V302" s="25">
        <f t="shared" si="97"/>
        <v>0</v>
      </c>
      <c r="W302" s="25">
        <f t="shared" si="98"/>
        <v>0</v>
      </c>
      <c r="X302" s="64">
        <f t="shared" si="99"/>
        <v>0</v>
      </c>
      <c r="Y302" s="64">
        <f t="shared" si="100"/>
        <v>0</v>
      </c>
      <c r="Z302" s="64">
        <f t="shared" si="101"/>
        <v>0</v>
      </c>
      <c r="AA302" s="64">
        <f t="shared" si="102"/>
        <v>0</v>
      </c>
      <c r="AB302" s="64">
        <f t="shared" si="103"/>
        <v>0</v>
      </c>
      <c r="AC302" s="64">
        <f t="shared" si="104"/>
        <v>0</v>
      </c>
      <c r="AD302" s="64">
        <f t="shared" si="105"/>
        <v>0</v>
      </c>
      <c r="AE302" s="64">
        <f t="shared" si="106"/>
        <v>0</v>
      </c>
      <c r="AF302" s="64">
        <f t="shared" si="107"/>
        <v>0</v>
      </c>
      <c r="AG302" s="29">
        <f t="shared" si="108"/>
        <v>4600</v>
      </c>
    </row>
    <row r="303" spans="1:33" s="20" customFormat="1">
      <c r="A303" s="265">
        <v>12110002</v>
      </c>
      <c r="B303" s="265" t="s">
        <v>362</v>
      </c>
      <c r="C303" s="265" t="s">
        <v>363</v>
      </c>
      <c r="D303" s="265">
        <v>100000001</v>
      </c>
      <c r="E303" s="265" t="s">
        <v>51</v>
      </c>
      <c r="F303" s="265" t="s">
        <v>0</v>
      </c>
      <c r="G303" s="266">
        <v>2512.96</v>
      </c>
      <c r="H303" s="266">
        <v>2512.96</v>
      </c>
      <c r="I303" s="268">
        <v>44621</v>
      </c>
      <c r="J303" s="268">
        <v>45961</v>
      </c>
      <c r="K303" s="267"/>
      <c r="L303" s="224" t="str">
        <f t="shared" si="109"/>
        <v>12110002_AUD_100000001_NONGHYUP BANK SYDNEY BRANCH</v>
      </c>
      <c r="M303" s="221">
        <f t="shared" si="89"/>
        <v>2512.96</v>
      </c>
      <c r="N303" s="24" t="str">
        <f>IF(OR(L303=$L$2,L303=$L$3),$M$10+1,IFERROR(VLOOKUP(A303,'Repricing Maturity Adj.'!$A$3:$C$170,3,0),(IF(K303&lt;$M$10,"Check",K303))))</f>
        <v>Non_sensitive</v>
      </c>
      <c r="O303" s="62" t="b">
        <f t="shared" si="90"/>
        <v>1</v>
      </c>
      <c r="P303" s="63" t="str">
        <f t="shared" si="91"/>
        <v>Asset</v>
      </c>
      <c r="Q303" s="25">
        <f t="shared" si="92"/>
        <v>0</v>
      </c>
      <c r="R303" s="25">
        <f t="shared" si="93"/>
        <v>0</v>
      </c>
      <c r="S303" s="25">
        <f t="shared" si="94"/>
        <v>0</v>
      </c>
      <c r="T303" s="25">
        <f t="shared" si="95"/>
        <v>0</v>
      </c>
      <c r="U303" s="25">
        <f t="shared" si="96"/>
        <v>0</v>
      </c>
      <c r="V303" s="25">
        <f t="shared" si="97"/>
        <v>0</v>
      </c>
      <c r="W303" s="25">
        <f t="shared" si="98"/>
        <v>0</v>
      </c>
      <c r="X303" s="64">
        <f t="shared" si="99"/>
        <v>0</v>
      </c>
      <c r="Y303" s="64">
        <f t="shared" si="100"/>
        <v>0</v>
      </c>
      <c r="Z303" s="64">
        <f t="shared" si="101"/>
        <v>0</v>
      </c>
      <c r="AA303" s="64">
        <f t="shared" si="102"/>
        <v>0</v>
      </c>
      <c r="AB303" s="64">
        <f t="shared" si="103"/>
        <v>0</v>
      </c>
      <c r="AC303" s="64">
        <f t="shared" si="104"/>
        <v>0</v>
      </c>
      <c r="AD303" s="64">
        <f t="shared" si="105"/>
        <v>0</v>
      </c>
      <c r="AE303" s="64">
        <f t="shared" si="106"/>
        <v>0</v>
      </c>
      <c r="AF303" s="64">
        <f t="shared" si="107"/>
        <v>0</v>
      </c>
      <c r="AG303" s="29">
        <f t="shared" si="108"/>
        <v>2512.96</v>
      </c>
    </row>
    <row r="304" spans="1:33" s="20" customFormat="1">
      <c r="A304" s="265">
        <v>12110002</v>
      </c>
      <c r="B304" s="265" t="s">
        <v>362</v>
      </c>
      <c r="C304" s="265" t="s">
        <v>364</v>
      </c>
      <c r="D304" s="265">
        <v>100000001</v>
      </c>
      <c r="E304" s="265" t="s">
        <v>51</v>
      </c>
      <c r="F304" s="265" t="s">
        <v>0</v>
      </c>
      <c r="G304" s="266">
        <v>1396.32</v>
      </c>
      <c r="H304" s="266">
        <v>1396.32</v>
      </c>
      <c r="I304" s="268">
        <v>44621</v>
      </c>
      <c r="J304" s="268">
        <v>45961</v>
      </c>
      <c r="K304" s="267"/>
      <c r="L304" s="224" t="str">
        <f t="shared" si="109"/>
        <v>12110002_AUD_100000001_NONGHYUP BANK SYDNEY BRANCH</v>
      </c>
      <c r="M304" s="221">
        <f t="shared" si="89"/>
        <v>1396.32</v>
      </c>
      <c r="N304" s="24" t="str">
        <f>IF(OR(L304=$L$2,L304=$L$3),$M$10+1,IFERROR(VLOOKUP(A304,'Repricing Maturity Adj.'!$A$3:$C$170,3,0),(IF(K304&lt;$M$10,"Check",K304))))</f>
        <v>Non_sensitive</v>
      </c>
      <c r="O304" s="62" t="b">
        <f t="shared" si="90"/>
        <v>1</v>
      </c>
      <c r="P304" s="63" t="str">
        <f t="shared" si="91"/>
        <v>Asset</v>
      </c>
      <c r="Q304" s="25">
        <f t="shared" si="92"/>
        <v>0</v>
      </c>
      <c r="R304" s="25">
        <f t="shared" si="93"/>
        <v>0</v>
      </c>
      <c r="S304" s="25">
        <f t="shared" si="94"/>
        <v>0</v>
      </c>
      <c r="T304" s="25">
        <f t="shared" si="95"/>
        <v>0</v>
      </c>
      <c r="U304" s="25">
        <f t="shared" si="96"/>
        <v>0</v>
      </c>
      <c r="V304" s="25">
        <f t="shared" si="97"/>
        <v>0</v>
      </c>
      <c r="W304" s="25">
        <f t="shared" si="98"/>
        <v>0</v>
      </c>
      <c r="X304" s="64">
        <f t="shared" si="99"/>
        <v>0</v>
      </c>
      <c r="Y304" s="64">
        <f t="shared" si="100"/>
        <v>0</v>
      </c>
      <c r="Z304" s="64">
        <f t="shared" si="101"/>
        <v>0</v>
      </c>
      <c r="AA304" s="64">
        <f t="shared" si="102"/>
        <v>0</v>
      </c>
      <c r="AB304" s="64">
        <f t="shared" si="103"/>
        <v>0</v>
      </c>
      <c r="AC304" s="64">
        <f t="shared" si="104"/>
        <v>0</v>
      </c>
      <c r="AD304" s="64">
        <f t="shared" si="105"/>
        <v>0</v>
      </c>
      <c r="AE304" s="64">
        <f t="shared" si="106"/>
        <v>0</v>
      </c>
      <c r="AF304" s="64">
        <f t="shared" si="107"/>
        <v>0</v>
      </c>
      <c r="AG304" s="29">
        <f t="shared" si="108"/>
        <v>1396.32</v>
      </c>
    </row>
    <row r="305" spans="1:33" s="20" customFormat="1">
      <c r="A305" s="265">
        <v>12110002</v>
      </c>
      <c r="B305" s="265" t="s">
        <v>362</v>
      </c>
      <c r="C305" s="265" t="s">
        <v>365</v>
      </c>
      <c r="D305" s="265">
        <v>100000001</v>
      </c>
      <c r="E305" s="265" t="s">
        <v>51</v>
      </c>
      <c r="F305" s="265" t="s">
        <v>0</v>
      </c>
      <c r="G305" s="266">
        <v>9939.6</v>
      </c>
      <c r="H305" s="266">
        <v>9939.6</v>
      </c>
      <c r="I305" s="268">
        <v>44621</v>
      </c>
      <c r="J305" s="268">
        <v>45961</v>
      </c>
      <c r="K305" s="267"/>
      <c r="L305" s="224" t="str">
        <f t="shared" si="109"/>
        <v>12110002_AUD_100000001_NONGHYUP BANK SYDNEY BRANCH</v>
      </c>
      <c r="M305" s="221">
        <f t="shared" si="89"/>
        <v>9939.6</v>
      </c>
      <c r="N305" s="24" t="str">
        <f>IF(OR(L305=$L$2,L305=$L$3),$M$10+1,IFERROR(VLOOKUP(A305,'Repricing Maturity Adj.'!$A$3:$C$170,3,0),(IF(K305&lt;$M$10,"Check",K305))))</f>
        <v>Non_sensitive</v>
      </c>
      <c r="O305" s="62" t="b">
        <f t="shared" si="90"/>
        <v>1</v>
      </c>
      <c r="P305" s="63" t="str">
        <f t="shared" si="91"/>
        <v>Asset</v>
      </c>
      <c r="Q305" s="25">
        <f t="shared" si="92"/>
        <v>0</v>
      </c>
      <c r="R305" s="25">
        <f t="shared" si="93"/>
        <v>0</v>
      </c>
      <c r="S305" s="25">
        <f t="shared" si="94"/>
        <v>0</v>
      </c>
      <c r="T305" s="25">
        <f t="shared" si="95"/>
        <v>0</v>
      </c>
      <c r="U305" s="25">
        <f t="shared" si="96"/>
        <v>0</v>
      </c>
      <c r="V305" s="25">
        <f t="shared" si="97"/>
        <v>0</v>
      </c>
      <c r="W305" s="25">
        <f t="shared" si="98"/>
        <v>0</v>
      </c>
      <c r="X305" s="64">
        <f t="shared" si="99"/>
        <v>0</v>
      </c>
      <c r="Y305" s="64">
        <f t="shared" si="100"/>
        <v>0</v>
      </c>
      <c r="Z305" s="64">
        <f t="shared" si="101"/>
        <v>0</v>
      </c>
      <c r="AA305" s="64">
        <f t="shared" si="102"/>
        <v>0</v>
      </c>
      <c r="AB305" s="64">
        <f t="shared" si="103"/>
        <v>0</v>
      </c>
      <c r="AC305" s="64">
        <f t="shared" si="104"/>
        <v>0</v>
      </c>
      <c r="AD305" s="64">
        <f t="shared" si="105"/>
        <v>0</v>
      </c>
      <c r="AE305" s="64">
        <f t="shared" si="106"/>
        <v>0</v>
      </c>
      <c r="AF305" s="64">
        <f t="shared" si="107"/>
        <v>0</v>
      </c>
      <c r="AG305" s="29">
        <f t="shared" si="108"/>
        <v>9939.6</v>
      </c>
    </row>
    <row r="306" spans="1:33" s="20" customFormat="1">
      <c r="A306" s="265">
        <v>12110002</v>
      </c>
      <c r="B306" s="265" t="s">
        <v>362</v>
      </c>
      <c r="C306" s="265" t="s">
        <v>366</v>
      </c>
      <c r="D306" s="265">
        <v>100000001</v>
      </c>
      <c r="E306" s="265" t="s">
        <v>51</v>
      </c>
      <c r="F306" s="265" t="s">
        <v>0</v>
      </c>
      <c r="G306" s="266">
        <v>2588.4299999999998</v>
      </c>
      <c r="H306" s="266">
        <v>2588.4299999999998</v>
      </c>
      <c r="I306" s="268">
        <v>44621</v>
      </c>
      <c r="J306" s="268">
        <v>45961</v>
      </c>
      <c r="K306" s="267"/>
      <c r="L306" s="224" t="str">
        <f t="shared" si="109"/>
        <v>12110002_AUD_100000001_NONGHYUP BANK SYDNEY BRANCH</v>
      </c>
      <c r="M306" s="221">
        <f t="shared" si="89"/>
        <v>2588.4299999999998</v>
      </c>
      <c r="N306" s="24" t="str">
        <f>IF(OR(L306=$L$2,L306=$L$3),$M$10+1,IFERROR(VLOOKUP(A306,'Repricing Maturity Adj.'!$A$3:$C$170,3,0),(IF(K306&lt;$M$10,"Check",K306))))</f>
        <v>Non_sensitive</v>
      </c>
      <c r="O306" s="62" t="b">
        <f t="shared" si="90"/>
        <v>1</v>
      </c>
      <c r="P306" s="63" t="str">
        <f t="shared" si="91"/>
        <v>Asset</v>
      </c>
      <c r="Q306" s="25">
        <f t="shared" si="92"/>
        <v>0</v>
      </c>
      <c r="R306" s="25">
        <f t="shared" si="93"/>
        <v>0</v>
      </c>
      <c r="S306" s="25">
        <f t="shared" si="94"/>
        <v>0</v>
      </c>
      <c r="T306" s="25">
        <f t="shared" si="95"/>
        <v>0</v>
      </c>
      <c r="U306" s="25">
        <f t="shared" si="96"/>
        <v>0</v>
      </c>
      <c r="V306" s="25">
        <f t="shared" si="97"/>
        <v>0</v>
      </c>
      <c r="W306" s="25">
        <f t="shared" si="98"/>
        <v>0</v>
      </c>
      <c r="X306" s="64">
        <f t="shared" si="99"/>
        <v>0</v>
      </c>
      <c r="Y306" s="64">
        <f t="shared" si="100"/>
        <v>0</v>
      </c>
      <c r="Z306" s="64">
        <f t="shared" si="101"/>
        <v>0</v>
      </c>
      <c r="AA306" s="64">
        <f t="shared" si="102"/>
        <v>0</v>
      </c>
      <c r="AB306" s="64">
        <f t="shared" si="103"/>
        <v>0</v>
      </c>
      <c r="AC306" s="64">
        <f t="shared" si="104"/>
        <v>0</v>
      </c>
      <c r="AD306" s="64">
        <f t="shared" si="105"/>
        <v>0</v>
      </c>
      <c r="AE306" s="64">
        <f t="shared" si="106"/>
        <v>0</v>
      </c>
      <c r="AF306" s="64">
        <f t="shared" si="107"/>
        <v>0</v>
      </c>
      <c r="AG306" s="29">
        <f t="shared" si="108"/>
        <v>2588.4299999999998</v>
      </c>
    </row>
    <row r="307" spans="1:33" s="20" customFormat="1">
      <c r="A307" s="265">
        <v>12110002</v>
      </c>
      <c r="B307" s="265" t="s">
        <v>362</v>
      </c>
      <c r="C307" s="265" t="s">
        <v>367</v>
      </c>
      <c r="D307" s="265">
        <v>100000001</v>
      </c>
      <c r="E307" s="265" t="s">
        <v>51</v>
      </c>
      <c r="F307" s="265" t="s">
        <v>0</v>
      </c>
      <c r="G307" s="266">
        <v>2019.88</v>
      </c>
      <c r="H307" s="266">
        <v>2019.88</v>
      </c>
      <c r="I307" s="268">
        <v>44621</v>
      </c>
      <c r="J307" s="268">
        <v>45961</v>
      </c>
      <c r="K307" s="267"/>
      <c r="L307" s="224" t="str">
        <f t="shared" si="109"/>
        <v>12110002_AUD_100000001_NONGHYUP BANK SYDNEY BRANCH</v>
      </c>
      <c r="M307" s="221">
        <f t="shared" si="89"/>
        <v>2019.88</v>
      </c>
      <c r="N307" s="24" t="str">
        <f>IF(OR(L307=$L$2,L307=$L$3),$M$10+1,IFERROR(VLOOKUP(A307,'Repricing Maturity Adj.'!$A$3:$C$170,3,0),(IF(K307&lt;$M$10,"Check",K307))))</f>
        <v>Non_sensitive</v>
      </c>
      <c r="O307" s="62" t="b">
        <f t="shared" si="90"/>
        <v>1</v>
      </c>
      <c r="P307" s="63" t="str">
        <f t="shared" si="91"/>
        <v>Asset</v>
      </c>
      <c r="Q307" s="25">
        <f t="shared" si="92"/>
        <v>0</v>
      </c>
      <c r="R307" s="25">
        <f t="shared" si="93"/>
        <v>0</v>
      </c>
      <c r="S307" s="25">
        <f t="shared" si="94"/>
        <v>0</v>
      </c>
      <c r="T307" s="25">
        <f t="shared" si="95"/>
        <v>0</v>
      </c>
      <c r="U307" s="25">
        <f t="shared" si="96"/>
        <v>0</v>
      </c>
      <c r="V307" s="25">
        <f t="shared" si="97"/>
        <v>0</v>
      </c>
      <c r="W307" s="25">
        <f t="shared" si="98"/>
        <v>0</v>
      </c>
      <c r="X307" s="64">
        <f t="shared" si="99"/>
        <v>0</v>
      </c>
      <c r="Y307" s="64">
        <f t="shared" si="100"/>
        <v>0</v>
      </c>
      <c r="Z307" s="64">
        <f t="shared" si="101"/>
        <v>0</v>
      </c>
      <c r="AA307" s="64">
        <f t="shared" si="102"/>
        <v>0</v>
      </c>
      <c r="AB307" s="64">
        <f t="shared" si="103"/>
        <v>0</v>
      </c>
      <c r="AC307" s="64">
        <f t="shared" si="104"/>
        <v>0</v>
      </c>
      <c r="AD307" s="64">
        <f t="shared" si="105"/>
        <v>0</v>
      </c>
      <c r="AE307" s="64">
        <f t="shared" si="106"/>
        <v>0</v>
      </c>
      <c r="AF307" s="64">
        <f t="shared" si="107"/>
        <v>0</v>
      </c>
      <c r="AG307" s="29">
        <f t="shared" si="108"/>
        <v>2019.88</v>
      </c>
    </row>
    <row r="308" spans="1:33" s="20" customFormat="1">
      <c r="A308" s="265">
        <v>12110002</v>
      </c>
      <c r="B308" s="265" t="s">
        <v>362</v>
      </c>
      <c r="C308" s="265" t="s">
        <v>368</v>
      </c>
      <c r="D308" s="265">
        <v>100000001</v>
      </c>
      <c r="E308" s="265" t="s">
        <v>51</v>
      </c>
      <c r="F308" s="265" t="s">
        <v>0</v>
      </c>
      <c r="G308" s="266">
        <v>3457.21</v>
      </c>
      <c r="H308" s="266">
        <v>3457.21</v>
      </c>
      <c r="I308" s="268">
        <v>44621</v>
      </c>
      <c r="J308" s="268">
        <v>46387</v>
      </c>
      <c r="K308" s="267"/>
      <c r="L308" s="224" t="str">
        <f t="shared" si="109"/>
        <v>12110002_AUD_100000001_NONGHYUP BANK SYDNEY BRANCH</v>
      </c>
      <c r="M308" s="221">
        <f t="shared" si="89"/>
        <v>3457.21</v>
      </c>
      <c r="N308" s="24" t="str">
        <f>IF(OR(L308=$L$2,L308=$L$3),$M$10+1,IFERROR(VLOOKUP(A308,'Repricing Maturity Adj.'!$A$3:$C$170,3,0),(IF(K308&lt;$M$10,"Check",K308))))</f>
        <v>Non_sensitive</v>
      </c>
      <c r="O308" s="62" t="b">
        <f t="shared" si="90"/>
        <v>1</v>
      </c>
      <c r="P308" s="63" t="str">
        <f t="shared" si="91"/>
        <v>Asset</v>
      </c>
      <c r="Q308" s="25">
        <f t="shared" si="92"/>
        <v>0</v>
      </c>
      <c r="R308" s="25">
        <f t="shared" si="93"/>
        <v>0</v>
      </c>
      <c r="S308" s="25">
        <f t="shared" si="94"/>
        <v>0</v>
      </c>
      <c r="T308" s="25">
        <f t="shared" si="95"/>
        <v>0</v>
      </c>
      <c r="U308" s="25">
        <f t="shared" si="96"/>
        <v>0</v>
      </c>
      <c r="V308" s="25">
        <f t="shared" si="97"/>
        <v>0</v>
      </c>
      <c r="W308" s="25">
        <f t="shared" si="98"/>
        <v>0</v>
      </c>
      <c r="X308" s="64">
        <f t="shared" si="99"/>
        <v>0</v>
      </c>
      <c r="Y308" s="64">
        <f t="shared" si="100"/>
        <v>0</v>
      </c>
      <c r="Z308" s="64">
        <f t="shared" si="101"/>
        <v>0</v>
      </c>
      <c r="AA308" s="64">
        <f t="shared" si="102"/>
        <v>0</v>
      </c>
      <c r="AB308" s="64">
        <f t="shared" si="103"/>
        <v>0</v>
      </c>
      <c r="AC308" s="64">
        <f t="shared" si="104"/>
        <v>0</v>
      </c>
      <c r="AD308" s="64">
        <f t="shared" si="105"/>
        <v>0</v>
      </c>
      <c r="AE308" s="64">
        <f t="shared" si="106"/>
        <v>0</v>
      </c>
      <c r="AF308" s="64">
        <f t="shared" si="107"/>
        <v>0</v>
      </c>
      <c r="AG308" s="29">
        <f t="shared" si="108"/>
        <v>3457.21</v>
      </c>
    </row>
    <row r="309" spans="1:33" s="20" customFormat="1">
      <c r="A309" s="265">
        <v>12110002</v>
      </c>
      <c r="B309" s="265" t="s">
        <v>362</v>
      </c>
      <c r="C309" s="265" t="s">
        <v>369</v>
      </c>
      <c r="D309" s="265">
        <v>100000001</v>
      </c>
      <c r="E309" s="265" t="s">
        <v>51</v>
      </c>
      <c r="F309" s="265" t="s">
        <v>0</v>
      </c>
      <c r="G309" s="266">
        <v>411.68</v>
      </c>
      <c r="H309" s="266">
        <v>411.68</v>
      </c>
      <c r="I309" s="268">
        <v>44621</v>
      </c>
      <c r="J309" s="268">
        <v>45961</v>
      </c>
      <c r="K309" s="267"/>
      <c r="L309" s="224" t="str">
        <f t="shared" si="109"/>
        <v>12110002_AUD_100000001_NONGHYUP BANK SYDNEY BRANCH</v>
      </c>
      <c r="M309" s="221">
        <f t="shared" si="89"/>
        <v>411.68</v>
      </c>
      <c r="N309" s="24" t="str">
        <f>IF(OR(L309=$L$2,L309=$L$3),$M$10+1,IFERROR(VLOOKUP(A309,'Repricing Maturity Adj.'!$A$3:$C$170,3,0),(IF(K309&lt;$M$10,"Check",K309))))</f>
        <v>Non_sensitive</v>
      </c>
      <c r="O309" s="62" t="b">
        <f t="shared" si="90"/>
        <v>1</v>
      </c>
      <c r="P309" s="63" t="str">
        <f t="shared" si="91"/>
        <v>Asset</v>
      </c>
      <c r="Q309" s="25">
        <f t="shared" si="92"/>
        <v>0</v>
      </c>
      <c r="R309" s="25">
        <f t="shared" si="93"/>
        <v>0</v>
      </c>
      <c r="S309" s="25">
        <f t="shared" si="94"/>
        <v>0</v>
      </c>
      <c r="T309" s="25">
        <f t="shared" si="95"/>
        <v>0</v>
      </c>
      <c r="U309" s="25">
        <f t="shared" si="96"/>
        <v>0</v>
      </c>
      <c r="V309" s="25">
        <f t="shared" si="97"/>
        <v>0</v>
      </c>
      <c r="W309" s="25">
        <f t="shared" si="98"/>
        <v>0</v>
      </c>
      <c r="X309" s="64">
        <f t="shared" si="99"/>
        <v>0</v>
      </c>
      <c r="Y309" s="64">
        <f t="shared" si="100"/>
        <v>0</v>
      </c>
      <c r="Z309" s="64">
        <f t="shared" si="101"/>
        <v>0</v>
      </c>
      <c r="AA309" s="64">
        <f t="shared" si="102"/>
        <v>0</v>
      </c>
      <c r="AB309" s="64">
        <f t="shared" si="103"/>
        <v>0</v>
      </c>
      <c r="AC309" s="64">
        <f t="shared" si="104"/>
        <v>0</v>
      </c>
      <c r="AD309" s="64">
        <f t="shared" si="105"/>
        <v>0</v>
      </c>
      <c r="AE309" s="64">
        <f t="shared" si="106"/>
        <v>0</v>
      </c>
      <c r="AF309" s="64">
        <f t="shared" si="107"/>
        <v>0</v>
      </c>
      <c r="AG309" s="29">
        <f t="shared" si="108"/>
        <v>411.68</v>
      </c>
    </row>
    <row r="310" spans="1:33" s="20" customFormat="1">
      <c r="A310" s="265">
        <v>12110002</v>
      </c>
      <c r="B310" s="265" t="s">
        <v>362</v>
      </c>
      <c r="C310" s="265" t="s">
        <v>370</v>
      </c>
      <c r="D310" s="265">
        <v>100000001</v>
      </c>
      <c r="E310" s="265" t="s">
        <v>51</v>
      </c>
      <c r="F310" s="265" t="s">
        <v>0</v>
      </c>
      <c r="G310" s="266">
        <v>20530.54</v>
      </c>
      <c r="H310" s="266">
        <v>20530.54</v>
      </c>
      <c r="I310" s="268">
        <v>44621</v>
      </c>
      <c r="J310" s="268">
        <v>46387</v>
      </c>
      <c r="K310" s="267"/>
      <c r="L310" s="224" t="str">
        <f t="shared" si="109"/>
        <v>12110002_AUD_100000001_NONGHYUP BANK SYDNEY BRANCH</v>
      </c>
      <c r="M310" s="221">
        <f t="shared" si="89"/>
        <v>20530.54</v>
      </c>
      <c r="N310" s="24" t="str">
        <f>IF(OR(L310=$L$2,L310=$L$3),$M$10+1,IFERROR(VLOOKUP(A310,'Repricing Maturity Adj.'!$A$3:$C$170,3,0),(IF(K310&lt;$M$10,"Check",K310))))</f>
        <v>Non_sensitive</v>
      </c>
      <c r="O310" s="62" t="b">
        <f t="shared" si="90"/>
        <v>1</v>
      </c>
      <c r="P310" s="63" t="str">
        <f t="shared" si="91"/>
        <v>Asset</v>
      </c>
      <c r="Q310" s="25">
        <f t="shared" si="92"/>
        <v>0</v>
      </c>
      <c r="R310" s="25">
        <f t="shared" si="93"/>
        <v>0</v>
      </c>
      <c r="S310" s="25">
        <f t="shared" si="94"/>
        <v>0</v>
      </c>
      <c r="T310" s="25">
        <f t="shared" si="95"/>
        <v>0</v>
      </c>
      <c r="U310" s="25">
        <f t="shared" si="96"/>
        <v>0</v>
      </c>
      <c r="V310" s="25">
        <f t="shared" si="97"/>
        <v>0</v>
      </c>
      <c r="W310" s="25">
        <f t="shared" si="98"/>
        <v>0</v>
      </c>
      <c r="X310" s="64">
        <f t="shared" si="99"/>
        <v>0</v>
      </c>
      <c r="Y310" s="64">
        <f t="shared" si="100"/>
        <v>0</v>
      </c>
      <c r="Z310" s="64">
        <f t="shared" si="101"/>
        <v>0</v>
      </c>
      <c r="AA310" s="64">
        <f t="shared" si="102"/>
        <v>0</v>
      </c>
      <c r="AB310" s="64">
        <f t="shared" si="103"/>
        <v>0</v>
      </c>
      <c r="AC310" s="64">
        <f t="shared" si="104"/>
        <v>0</v>
      </c>
      <c r="AD310" s="64">
        <f t="shared" si="105"/>
        <v>0</v>
      </c>
      <c r="AE310" s="64">
        <f t="shared" si="106"/>
        <v>0</v>
      </c>
      <c r="AF310" s="64">
        <f t="shared" si="107"/>
        <v>0</v>
      </c>
      <c r="AG310" s="29">
        <f t="shared" si="108"/>
        <v>20530.54</v>
      </c>
    </row>
    <row r="311" spans="1:33" s="20" customFormat="1">
      <c r="A311" s="265">
        <v>12110002</v>
      </c>
      <c r="B311" s="265" t="s">
        <v>362</v>
      </c>
      <c r="C311" s="265" t="s">
        <v>371</v>
      </c>
      <c r="D311" s="265">
        <v>100000001</v>
      </c>
      <c r="E311" s="265" t="s">
        <v>51</v>
      </c>
      <c r="F311" s="265" t="s">
        <v>0</v>
      </c>
      <c r="G311" s="266">
        <v>1217.8399999999999</v>
      </c>
      <c r="H311" s="266">
        <v>1217.8399999999999</v>
      </c>
      <c r="I311" s="268">
        <v>44621</v>
      </c>
      <c r="J311" s="268">
        <v>45961</v>
      </c>
      <c r="K311" s="267"/>
      <c r="L311" s="224" t="str">
        <f t="shared" si="109"/>
        <v>12110002_AUD_100000001_NONGHYUP BANK SYDNEY BRANCH</v>
      </c>
      <c r="M311" s="221">
        <f t="shared" si="89"/>
        <v>1217.8399999999999</v>
      </c>
      <c r="N311" s="24" t="str">
        <f>IF(OR(L311=$L$2,L311=$L$3),$M$10+1,IFERROR(VLOOKUP(A311,'Repricing Maturity Adj.'!$A$3:$C$170,3,0),(IF(K311&lt;$M$10,"Check",K311))))</f>
        <v>Non_sensitive</v>
      </c>
      <c r="O311" s="62" t="b">
        <f t="shared" si="90"/>
        <v>1</v>
      </c>
      <c r="P311" s="63" t="str">
        <f t="shared" si="91"/>
        <v>Asset</v>
      </c>
      <c r="Q311" s="25">
        <f t="shared" si="92"/>
        <v>0</v>
      </c>
      <c r="R311" s="25">
        <f t="shared" si="93"/>
        <v>0</v>
      </c>
      <c r="S311" s="25">
        <f t="shared" si="94"/>
        <v>0</v>
      </c>
      <c r="T311" s="25">
        <f t="shared" si="95"/>
        <v>0</v>
      </c>
      <c r="U311" s="25">
        <f t="shared" si="96"/>
        <v>0</v>
      </c>
      <c r="V311" s="25">
        <f t="shared" si="97"/>
        <v>0</v>
      </c>
      <c r="W311" s="25">
        <f t="shared" si="98"/>
        <v>0</v>
      </c>
      <c r="X311" s="64">
        <f t="shared" si="99"/>
        <v>0</v>
      </c>
      <c r="Y311" s="64">
        <f t="shared" si="100"/>
        <v>0</v>
      </c>
      <c r="Z311" s="64">
        <f t="shared" si="101"/>
        <v>0</v>
      </c>
      <c r="AA311" s="64">
        <f t="shared" si="102"/>
        <v>0</v>
      </c>
      <c r="AB311" s="64">
        <f t="shared" si="103"/>
        <v>0</v>
      </c>
      <c r="AC311" s="64">
        <f t="shared" si="104"/>
        <v>0</v>
      </c>
      <c r="AD311" s="64">
        <f t="shared" si="105"/>
        <v>0</v>
      </c>
      <c r="AE311" s="64">
        <f t="shared" si="106"/>
        <v>0</v>
      </c>
      <c r="AF311" s="64">
        <f t="shared" si="107"/>
        <v>0</v>
      </c>
      <c r="AG311" s="29">
        <f t="shared" si="108"/>
        <v>1217.8399999999999</v>
      </c>
    </row>
    <row r="312" spans="1:33" s="20" customFormat="1">
      <c r="A312" s="265">
        <v>12110002</v>
      </c>
      <c r="B312" s="265" t="s">
        <v>362</v>
      </c>
      <c r="C312" s="265" t="s">
        <v>372</v>
      </c>
      <c r="D312" s="265">
        <v>100000001</v>
      </c>
      <c r="E312" s="265" t="s">
        <v>51</v>
      </c>
      <c r="F312" s="265" t="s">
        <v>0</v>
      </c>
      <c r="G312" s="266">
        <v>446.28</v>
      </c>
      <c r="H312" s="266">
        <v>446.28</v>
      </c>
      <c r="I312" s="268">
        <v>44621</v>
      </c>
      <c r="J312" s="268">
        <v>46387</v>
      </c>
      <c r="K312" s="267"/>
      <c r="L312" s="224" t="str">
        <f t="shared" si="109"/>
        <v>12110002_AUD_100000001_NONGHYUP BANK SYDNEY BRANCH</v>
      </c>
      <c r="M312" s="221">
        <f t="shared" si="89"/>
        <v>446.28</v>
      </c>
      <c r="N312" s="24" t="str">
        <f>IF(OR(L312=$L$2,L312=$L$3),$M$10+1,IFERROR(VLOOKUP(A312,'Repricing Maturity Adj.'!$A$3:$C$170,3,0),(IF(K312&lt;$M$10,"Check",K312))))</f>
        <v>Non_sensitive</v>
      </c>
      <c r="O312" s="62" t="b">
        <f t="shared" si="90"/>
        <v>1</v>
      </c>
      <c r="P312" s="63" t="str">
        <f t="shared" si="91"/>
        <v>Asset</v>
      </c>
      <c r="Q312" s="25">
        <f t="shared" si="92"/>
        <v>0</v>
      </c>
      <c r="R312" s="25">
        <f t="shared" si="93"/>
        <v>0</v>
      </c>
      <c r="S312" s="25">
        <f t="shared" si="94"/>
        <v>0</v>
      </c>
      <c r="T312" s="25">
        <f t="shared" si="95"/>
        <v>0</v>
      </c>
      <c r="U312" s="25">
        <f t="shared" si="96"/>
        <v>0</v>
      </c>
      <c r="V312" s="25">
        <f t="shared" si="97"/>
        <v>0</v>
      </c>
      <c r="W312" s="25">
        <f t="shared" si="98"/>
        <v>0</v>
      </c>
      <c r="X312" s="64">
        <f t="shared" si="99"/>
        <v>0</v>
      </c>
      <c r="Y312" s="64">
        <f t="shared" si="100"/>
        <v>0</v>
      </c>
      <c r="Z312" s="64">
        <f t="shared" si="101"/>
        <v>0</v>
      </c>
      <c r="AA312" s="64">
        <f t="shared" si="102"/>
        <v>0</v>
      </c>
      <c r="AB312" s="64">
        <f t="shared" si="103"/>
        <v>0</v>
      </c>
      <c r="AC312" s="64">
        <f t="shared" si="104"/>
        <v>0</v>
      </c>
      <c r="AD312" s="64">
        <f t="shared" si="105"/>
        <v>0</v>
      </c>
      <c r="AE312" s="64">
        <f t="shared" si="106"/>
        <v>0</v>
      </c>
      <c r="AF312" s="64">
        <f t="shared" si="107"/>
        <v>0</v>
      </c>
      <c r="AG312" s="29">
        <f t="shared" si="108"/>
        <v>446.28</v>
      </c>
    </row>
    <row r="313" spans="1:33" s="20" customFormat="1">
      <c r="A313" s="265">
        <v>12110002</v>
      </c>
      <c r="B313" s="265" t="s">
        <v>362</v>
      </c>
      <c r="C313" s="265" t="s">
        <v>373</v>
      </c>
      <c r="D313" s="265">
        <v>100000001</v>
      </c>
      <c r="E313" s="265" t="s">
        <v>51</v>
      </c>
      <c r="F313" s="265" t="s">
        <v>0</v>
      </c>
      <c r="G313" s="266">
        <v>3984.87</v>
      </c>
      <c r="H313" s="266">
        <v>3984.87</v>
      </c>
      <c r="I313" s="268">
        <v>44621</v>
      </c>
      <c r="J313" s="268">
        <v>46387</v>
      </c>
      <c r="K313" s="267"/>
      <c r="L313" s="224" t="str">
        <f t="shared" si="109"/>
        <v>12110002_AUD_100000001_NONGHYUP BANK SYDNEY BRANCH</v>
      </c>
      <c r="M313" s="221">
        <f t="shared" si="89"/>
        <v>3984.87</v>
      </c>
      <c r="N313" s="24" t="str">
        <f>IF(OR(L313=$L$2,L313=$L$3),$M$10+1,IFERROR(VLOOKUP(A313,'Repricing Maturity Adj.'!$A$3:$C$170,3,0),(IF(K313&lt;$M$10,"Check",K313))))</f>
        <v>Non_sensitive</v>
      </c>
      <c r="O313" s="62" t="b">
        <f t="shared" si="90"/>
        <v>1</v>
      </c>
      <c r="P313" s="63" t="str">
        <f t="shared" si="91"/>
        <v>Asset</v>
      </c>
      <c r="Q313" s="25">
        <f t="shared" si="92"/>
        <v>0</v>
      </c>
      <c r="R313" s="25">
        <f t="shared" si="93"/>
        <v>0</v>
      </c>
      <c r="S313" s="25">
        <f t="shared" si="94"/>
        <v>0</v>
      </c>
      <c r="T313" s="25">
        <f t="shared" si="95"/>
        <v>0</v>
      </c>
      <c r="U313" s="25">
        <f t="shared" si="96"/>
        <v>0</v>
      </c>
      <c r="V313" s="25">
        <f t="shared" si="97"/>
        <v>0</v>
      </c>
      <c r="W313" s="25">
        <f t="shared" si="98"/>
        <v>0</v>
      </c>
      <c r="X313" s="64">
        <f t="shared" si="99"/>
        <v>0</v>
      </c>
      <c r="Y313" s="64">
        <f t="shared" si="100"/>
        <v>0</v>
      </c>
      <c r="Z313" s="64">
        <f t="shared" si="101"/>
        <v>0</v>
      </c>
      <c r="AA313" s="64">
        <f t="shared" si="102"/>
        <v>0</v>
      </c>
      <c r="AB313" s="64">
        <f t="shared" si="103"/>
        <v>0</v>
      </c>
      <c r="AC313" s="64">
        <f t="shared" si="104"/>
        <v>0</v>
      </c>
      <c r="AD313" s="64">
        <f t="shared" si="105"/>
        <v>0</v>
      </c>
      <c r="AE313" s="64">
        <f t="shared" si="106"/>
        <v>0</v>
      </c>
      <c r="AF313" s="64">
        <f t="shared" si="107"/>
        <v>0</v>
      </c>
      <c r="AG313" s="29">
        <f t="shared" si="108"/>
        <v>3984.87</v>
      </c>
    </row>
    <row r="314" spans="1:33" s="20" customFormat="1">
      <c r="A314" s="265">
        <v>12110002</v>
      </c>
      <c r="B314" s="265" t="s">
        <v>362</v>
      </c>
      <c r="C314" s="265" t="s">
        <v>374</v>
      </c>
      <c r="D314" s="265">
        <v>100000001</v>
      </c>
      <c r="E314" s="265" t="s">
        <v>51</v>
      </c>
      <c r="F314" s="265" t="s">
        <v>0</v>
      </c>
      <c r="G314" s="266">
        <v>88233.69</v>
      </c>
      <c r="H314" s="266">
        <v>88233.69</v>
      </c>
      <c r="I314" s="268">
        <v>44621</v>
      </c>
      <c r="J314" s="268">
        <v>46387</v>
      </c>
      <c r="K314" s="267"/>
      <c r="L314" s="224" t="str">
        <f t="shared" si="109"/>
        <v>12110002_AUD_100000001_NONGHYUP BANK SYDNEY BRANCH</v>
      </c>
      <c r="M314" s="221">
        <f t="shared" si="89"/>
        <v>88233.69</v>
      </c>
      <c r="N314" s="24" t="str">
        <f>IF(OR(L314=$L$2,L314=$L$3),$M$10+1,IFERROR(VLOOKUP(A314,'Repricing Maturity Adj.'!$A$3:$C$170,3,0),(IF(K314&lt;$M$10,"Check",K314))))</f>
        <v>Non_sensitive</v>
      </c>
      <c r="O314" s="62" t="b">
        <f t="shared" si="90"/>
        <v>1</v>
      </c>
      <c r="P314" s="63" t="str">
        <f t="shared" si="91"/>
        <v>Asset</v>
      </c>
      <c r="Q314" s="25">
        <f t="shared" si="92"/>
        <v>0</v>
      </c>
      <c r="R314" s="25">
        <f t="shared" si="93"/>
        <v>0</v>
      </c>
      <c r="S314" s="25">
        <f t="shared" si="94"/>
        <v>0</v>
      </c>
      <c r="T314" s="25">
        <f t="shared" si="95"/>
        <v>0</v>
      </c>
      <c r="U314" s="25">
        <f t="shared" si="96"/>
        <v>0</v>
      </c>
      <c r="V314" s="25">
        <f t="shared" si="97"/>
        <v>0</v>
      </c>
      <c r="W314" s="25">
        <f t="shared" si="98"/>
        <v>0</v>
      </c>
      <c r="X314" s="64">
        <f t="shared" si="99"/>
        <v>0</v>
      </c>
      <c r="Y314" s="64">
        <f t="shared" si="100"/>
        <v>0</v>
      </c>
      <c r="Z314" s="64">
        <f t="shared" si="101"/>
        <v>0</v>
      </c>
      <c r="AA314" s="64">
        <f t="shared" si="102"/>
        <v>0</v>
      </c>
      <c r="AB314" s="64">
        <f t="shared" si="103"/>
        <v>0</v>
      </c>
      <c r="AC314" s="64">
        <f t="shared" si="104"/>
        <v>0</v>
      </c>
      <c r="AD314" s="64">
        <f t="shared" si="105"/>
        <v>0</v>
      </c>
      <c r="AE314" s="64">
        <f t="shared" si="106"/>
        <v>0</v>
      </c>
      <c r="AF314" s="64">
        <f t="shared" si="107"/>
        <v>0</v>
      </c>
      <c r="AG314" s="29">
        <f t="shared" si="108"/>
        <v>88233.69</v>
      </c>
    </row>
    <row r="315" spans="1:33" s="20" customFormat="1">
      <c r="A315" s="265">
        <v>12110002</v>
      </c>
      <c r="B315" s="265" t="s">
        <v>362</v>
      </c>
      <c r="C315" s="265" t="s">
        <v>375</v>
      </c>
      <c r="D315" s="265">
        <v>100000001</v>
      </c>
      <c r="E315" s="265" t="s">
        <v>51</v>
      </c>
      <c r="F315" s="265" t="s">
        <v>0</v>
      </c>
      <c r="G315" s="266">
        <v>3212.96</v>
      </c>
      <c r="H315" s="266">
        <v>3212.96</v>
      </c>
      <c r="I315" s="268">
        <v>44621</v>
      </c>
      <c r="J315" s="268">
        <v>45961</v>
      </c>
      <c r="K315" s="267"/>
      <c r="L315" s="224" t="str">
        <f t="shared" si="109"/>
        <v>12110002_AUD_100000001_NONGHYUP BANK SYDNEY BRANCH</v>
      </c>
      <c r="M315" s="221">
        <f t="shared" si="89"/>
        <v>3212.96</v>
      </c>
      <c r="N315" s="24" t="str">
        <f>IF(OR(L315=$L$2,L315=$L$3),$M$10+1,IFERROR(VLOOKUP(A315,'Repricing Maturity Adj.'!$A$3:$C$170,3,0),(IF(K315&lt;$M$10,"Check",K315))))</f>
        <v>Non_sensitive</v>
      </c>
      <c r="O315" s="62" t="b">
        <f t="shared" si="90"/>
        <v>1</v>
      </c>
      <c r="P315" s="63" t="str">
        <f t="shared" si="91"/>
        <v>Asset</v>
      </c>
      <c r="Q315" s="25">
        <f t="shared" si="92"/>
        <v>0</v>
      </c>
      <c r="R315" s="25">
        <f t="shared" si="93"/>
        <v>0</v>
      </c>
      <c r="S315" s="25">
        <f t="shared" si="94"/>
        <v>0</v>
      </c>
      <c r="T315" s="25">
        <f t="shared" si="95"/>
        <v>0</v>
      </c>
      <c r="U315" s="25">
        <f t="shared" si="96"/>
        <v>0</v>
      </c>
      <c r="V315" s="25">
        <f t="shared" si="97"/>
        <v>0</v>
      </c>
      <c r="W315" s="25">
        <f t="shared" si="98"/>
        <v>0</v>
      </c>
      <c r="X315" s="64">
        <f t="shared" si="99"/>
        <v>0</v>
      </c>
      <c r="Y315" s="64">
        <f t="shared" si="100"/>
        <v>0</v>
      </c>
      <c r="Z315" s="64">
        <f t="shared" si="101"/>
        <v>0</v>
      </c>
      <c r="AA315" s="64">
        <f t="shared" si="102"/>
        <v>0</v>
      </c>
      <c r="AB315" s="64">
        <f t="shared" si="103"/>
        <v>0</v>
      </c>
      <c r="AC315" s="64">
        <f t="shared" si="104"/>
        <v>0</v>
      </c>
      <c r="AD315" s="64">
        <f t="shared" si="105"/>
        <v>0</v>
      </c>
      <c r="AE315" s="64">
        <f t="shared" si="106"/>
        <v>0</v>
      </c>
      <c r="AF315" s="64">
        <f t="shared" si="107"/>
        <v>0</v>
      </c>
      <c r="AG315" s="29">
        <f t="shared" si="108"/>
        <v>3212.96</v>
      </c>
    </row>
    <row r="316" spans="1:33" s="20" customFormat="1">
      <c r="A316" s="265">
        <v>12110002</v>
      </c>
      <c r="B316" s="265" t="s">
        <v>362</v>
      </c>
      <c r="C316" s="265" t="s">
        <v>376</v>
      </c>
      <c r="D316" s="265">
        <v>100000001</v>
      </c>
      <c r="E316" s="265" t="s">
        <v>51</v>
      </c>
      <c r="F316" s="265" t="s">
        <v>0</v>
      </c>
      <c r="G316" s="266">
        <v>2545.13</v>
      </c>
      <c r="H316" s="266">
        <v>2545.13</v>
      </c>
      <c r="I316" s="268">
        <v>44621</v>
      </c>
      <c r="J316" s="268">
        <v>46022</v>
      </c>
      <c r="K316" s="267"/>
      <c r="L316" s="224" t="str">
        <f t="shared" si="109"/>
        <v>12110002_AUD_100000001_NONGHYUP BANK SYDNEY BRANCH</v>
      </c>
      <c r="M316" s="221">
        <f t="shared" si="89"/>
        <v>2545.13</v>
      </c>
      <c r="N316" s="24" t="str">
        <f>IF(OR(L316=$L$2,L316=$L$3),$M$10+1,IFERROR(VLOOKUP(A316,'Repricing Maturity Adj.'!$A$3:$C$170,3,0),(IF(K316&lt;$M$10,"Check",K316))))</f>
        <v>Non_sensitive</v>
      </c>
      <c r="O316" s="62" t="b">
        <f t="shared" si="90"/>
        <v>1</v>
      </c>
      <c r="P316" s="63" t="str">
        <f t="shared" si="91"/>
        <v>Asset</v>
      </c>
      <c r="Q316" s="25">
        <f t="shared" si="92"/>
        <v>0</v>
      </c>
      <c r="R316" s="25">
        <f t="shared" si="93"/>
        <v>0</v>
      </c>
      <c r="S316" s="25">
        <f t="shared" si="94"/>
        <v>0</v>
      </c>
      <c r="T316" s="25">
        <f t="shared" si="95"/>
        <v>0</v>
      </c>
      <c r="U316" s="25">
        <f t="shared" si="96"/>
        <v>0</v>
      </c>
      <c r="V316" s="25">
        <f t="shared" si="97"/>
        <v>0</v>
      </c>
      <c r="W316" s="25">
        <f t="shared" si="98"/>
        <v>0</v>
      </c>
      <c r="X316" s="64">
        <f t="shared" si="99"/>
        <v>0</v>
      </c>
      <c r="Y316" s="64">
        <f t="shared" si="100"/>
        <v>0</v>
      </c>
      <c r="Z316" s="64">
        <f t="shared" si="101"/>
        <v>0</v>
      </c>
      <c r="AA316" s="64">
        <f t="shared" si="102"/>
        <v>0</v>
      </c>
      <c r="AB316" s="64">
        <f t="shared" si="103"/>
        <v>0</v>
      </c>
      <c r="AC316" s="64">
        <f t="shared" si="104"/>
        <v>0</v>
      </c>
      <c r="AD316" s="64">
        <f t="shared" si="105"/>
        <v>0</v>
      </c>
      <c r="AE316" s="64">
        <f t="shared" si="106"/>
        <v>0</v>
      </c>
      <c r="AF316" s="64">
        <f t="shared" si="107"/>
        <v>0</v>
      </c>
      <c r="AG316" s="29">
        <f t="shared" si="108"/>
        <v>2545.13</v>
      </c>
    </row>
    <row r="317" spans="1:33" s="20" customFormat="1">
      <c r="A317" s="265">
        <v>12110002</v>
      </c>
      <c r="B317" s="265" t="s">
        <v>362</v>
      </c>
      <c r="C317" s="265" t="s">
        <v>377</v>
      </c>
      <c r="D317" s="265">
        <v>100000001</v>
      </c>
      <c r="E317" s="265" t="s">
        <v>51</v>
      </c>
      <c r="F317" s="265" t="s">
        <v>0</v>
      </c>
      <c r="G317" s="266">
        <v>4749.42</v>
      </c>
      <c r="H317" s="266">
        <v>4749.42</v>
      </c>
      <c r="I317" s="268">
        <v>44621</v>
      </c>
      <c r="J317" s="268">
        <v>46387</v>
      </c>
      <c r="K317" s="267"/>
      <c r="L317" s="224" t="str">
        <f t="shared" si="109"/>
        <v>12110002_AUD_100000001_NONGHYUP BANK SYDNEY BRANCH</v>
      </c>
      <c r="M317" s="221">
        <f t="shared" si="89"/>
        <v>4749.42</v>
      </c>
      <c r="N317" s="24" t="str">
        <f>IF(OR(L317=$L$2,L317=$L$3),$M$10+1,IFERROR(VLOOKUP(A317,'Repricing Maturity Adj.'!$A$3:$C$170,3,0),(IF(K317&lt;$M$10,"Check",K317))))</f>
        <v>Non_sensitive</v>
      </c>
      <c r="O317" s="62" t="b">
        <f t="shared" si="90"/>
        <v>1</v>
      </c>
      <c r="P317" s="63" t="str">
        <f t="shared" si="91"/>
        <v>Asset</v>
      </c>
      <c r="Q317" s="25">
        <f t="shared" si="92"/>
        <v>0</v>
      </c>
      <c r="R317" s="25">
        <f t="shared" si="93"/>
        <v>0</v>
      </c>
      <c r="S317" s="25">
        <f t="shared" si="94"/>
        <v>0</v>
      </c>
      <c r="T317" s="25">
        <f t="shared" si="95"/>
        <v>0</v>
      </c>
      <c r="U317" s="25">
        <f t="shared" si="96"/>
        <v>0</v>
      </c>
      <c r="V317" s="25">
        <f t="shared" si="97"/>
        <v>0</v>
      </c>
      <c r="W317" s="25">
        <f t="shared" si="98"/>
        <v>0</v>
      </c>
      <c r="X317" s="64">
        <f t="shared" si="99"/>
        <v>0</v>
      </c>
      <c r="Y317" s="64">
        <f t="shared" si="100"/>
        <v>0</v>
      </c>
      <c r="Z317" s="64">
        <f t="shared" si="101"/>
        <v>0</v>
      </c>
      <c r="AA317" s="64">
        <f t="shared" si="102"/>
        <v>0</v>
      </c>
      <c r="AB317" s="64">
        <f t="shared" si="103"/>
        <v>0</v>
      </c>
      <c r="AC317" s="64">
        <f t="shared" si="104"/>
        <v>0</v>
      </c>
      <c r="AD317" s="64">
        <f t="shared" si="105"/>
        <v>0</v>
      </c>
      <c r="AE317" s="64">
        <f t="shared" si="106"/>
        <v>0</v>
      </c>
      <c r="AF317" s="64">
        <f t="shared" si="107"/>
        <v>0</v>
      </c>
      <c r="AG317" s="29">
        <f t="shared" si="108"/>
        <v>4749.42</v>
      </c>
    </row>
    <row r="318" spans="1:33" s="20" customFormat="1">
      <c r="A318" s="265">
        <v>12110002</v>
      </c>
      <c r="B318" s="265" t="s">
        <v>362</v>
      </c>
      <c r="C318" s="265" t="s">
        <v>378</v>
      </c>
      <c r="D318" s="265">
        <v>100000001</v>
      </c>
      <c r="E318" s="265" t="s">
        <v>51</v>
      </c>
      <c r="F318" s="265" t="s">
        <v>0</v>
      </c>
      <c r="G318" s="266">
        <v>2640.6</v>
      </c>
      <c r="H318" s="266">
        <v>2640.6</v>
      </c>
      <c r="I318" s="268">
        <v>44621</v>
      </c>
      <c r="J318" s="268">
        <v>45657</v>
      </c>
      <c r="K318" s="267"/>
      <c r="L318" s="224" t="str">
        <f t="shared" si="109"/>
        <v>12110002_AUD_100000001_NONGHYUP BANK SYDNEY BRANCH</v>
      </c>
      <c r="M318" s="221">
        <f t="shared" si="89"/>
        <v>2640.6</v>
      </c>
      <c r="N318" s="24" t="str">
        <f>IF(OR(L318=$L$2,L318=$L$3),$M$10+1,IFERROR(VLOOKUP(A318,'Repricing Maturity Adj.'!$A$3:$C$170,3,0),(IF(K318&lt;$M$10,"Check",K318))))</f>
        <v>Non_sensitive</v>
      </c>
      <c r="O318" s="62" t="b">
        <f t="shared" si="90"/>
        <v>1</v>
      </c>
      <c r="P318" s="63" t="str">
        <f t="shared" si="91"/>
        <v>Asset</v>
      </c>
      <c r="Q318" s="25">
        <f t="shared" si="92"/>
        <v>0</v>
      </c>
      <c r="R318" s="25">
        <f t="shared" si="93"/>
        <v>0</v>
      </c>
      <c r="S318" s="25">
        <f t="shared" si="94"/>
        <v>0</v>
      </c>
      <c r="T318" s="25">
        <f t="shared" si="95"/>
        <v>0</v>
      </c>
      <c r="U318" s="25">
        <f t="shared" si="96"/>
        <v>0</v>
      </c>
      <c r="V318" s="25">
        <f t="shared" si="97"/>
        <v>0</v>
      </c>
      <c r="W318" s="25">
        <f t="shared" si="98"/>
        <v>0</v>
      </c>
      <c r="X318" s="64">
        <f t="shared" si="99"/>
        <v>0</v>
      </c>
      <c r="Y318" s="64">
        <f t="shared" si="100"/>
        <v>0</v>
      </c>
      <c r="Z318" s="64">
        <f t="shared" si="101"/>
        <v>0</v>
      </c>
      <c r="AA318" s="64">
        <f t="shared" si="102"/>
        <v>0</v>
      </c>
      <c r="AB318" s="64">
        <f t="shared" si="103"/>
        <v>0</v>
      </c>
      <c r="AC318" s="64">
        <f t="shared" si="104"/>
        <v>0</v>
      </c>
      <c r="AD318" s="64">
        <f t="shared" si="105"/>
        <v>0</v>
      </c>
      <c r="AE318" s="64">
        <f t="shared" si="106"/>
        <v>0</v>
      </c>
      <c r="AF318" s="64">
        <f t="shared" si="107"/>
        <v>0</v>
      </c>
      <c r="AG318" s="29">
        <f t="shared" si="108"/>
        <v>2640.6</v>
      </c>
    </row>
    <row r="319" spans="1:33" s="20" customFormat="1">
      <c r="A319" s="265">
        <v>12110002</v>
      </c>
      <c r="B319" s="265" t="s">
        <v>362</v>
      </c>
      <c r="C319" s="265" t="s">
        <v>379</v>
      </c>
      <c r="D319" s="265">
        <v>100000001</v>
      </c>
      <c r="E319" s="265" t="s">
        <v>51</v>
      </c>
      <c r="F319" s="265" t="s">
        <v>0</v>
      </c>
      <c r="G319" s="266">
        <v>13815.1</v>
      </c>
      <c r="H319" s="266">
        <v>13815.1</v>
      </c>
      <c r="I319" s="268">
        <v>44621</v>
      </c>
      <c r="J319" s="268">
        <v>46387</v>
      </c>
      <c r="K319" s="267"/>
      <c r="L319" s="224" t="str">
        <f t="shared" si="109"/>
        <v>12110002_AUD_100000001_NONGHYUP BANK SYDNEY BRANCH</v>
      </c>
      <c r="M319" s="221">
        <f t="shared" ref="M319:M382" si="110">IF(COUNTIF($A$2:$A$8,A319)&gt;0,-H319,H319)</f>
        <v>13815.1</v>
      </c>
      <c r="N319" s="24" t="str">
        <f>IF(OR(L319=$L$2,L319=$L$3),$M$10+1,IFERROR(VLOOKUP(A319,'Repricing Maturity Adj.'!$A$3:$C$170,3,0),(IF(K319&lt;$M$10,"Check",K319))))</f>
        <v>Non_sensitive</v>
      </c>
      <c r="O319" s="62" t="b">
        <f t="shared" ref="O319:O382" si="111">M319=SUM(Q319:AG319)</f>
        <v>1</v>
      </c>
      <c r="P319" s="63" t="str">
        <f t="shared" ref="P319:P382" si="112">IF(A319="","N/A",IF(COUNTIF($A$2:$A$7,A319)&gt;0,"Liability",IF(COUNTIF($A$8,A319)&gt;0,"Asset",IF(A319&lt;20000000,"Asset",IF(AND(A319&gt;20000000,A319&lt;28800000),"Liability",IF(A319&gt;28800000,"Equity",""))))))</f>
        <v>Asset</v>
      </c>
      <c r="Q319" s="25">
        <f t="shared" ref="Q319:Q382" si="113">IF(AND(N319&gt;$Q$9,N319&lt;$Q$10),M319,IF(N319=$Q$10,M319,0))</f>
        <v>0</v>
      </c>
      <c r="R319" s="25">
        <f t="shared" ref="R319:R382" si="114">IF(AND(N319&gt;$R$9,N319&lt;$R$10),M319,IF(N319=$R$10,M319,0))</f>
        <v>0</v>
      </c>
      <c r="S319" s="25">
        <f t="shared" ref="S319:S382" si="115">IF(AND(N319&gt;$S$9,N319&lt;$S$10),M319,IF(N319=$S$10,M319,0))</f>
        <v>0</v>
      </c>
      <c r="T319" s="25">
        <f t="shared" ref="T319:T382" si="116">IF(AND(N319&gt;$T$9,N319&lt;$T$10),M319,IF(N319=$T$10,M319,0))</f>
        <v>0</v>
      </c>
      <c r="U319" s="25">
        <f t="shared" ref="U319:U382" si="117">IF(AND(N319&gt;$U$9,N319&lt;$U$10),M319,IF(N319=$U$10,M319,0))</f>
        <v>0</v>
      </c>
      <c r="V319" s="25">
        <f t="shared" ref="V319:V382" si="118">IF(AND(N319&gt;$V$9,N319&lt;$V$10),M319,IF(N319=$V$10,M319,0))</f>
        <v>0</v>
      </c>
      <c r="W319" s="25">
        <f t="shared" ref="W319:W382" si="119">IF(AND(N319&gt;$W$9,N319&lt;$W$10),M319,IF(N319=$W$10,M319,0))</f>
        <v>0</v>
      </c>
      <c r="X319" s="64">
        <f t="shared" ref="X319:X382" si="120">IF(AND(N319&gt;$X$9,N319&lt;$X$10),M319,IF(N319=$X$10,M319,0))</f>
        <v>0</v>
      </c>
      <c r="Y319" s="64">
        <f t="shared" ref="Y319:Y382" si="121">IF(AND(N319&gt;$Y$9,N319&lt;$Y$10),M319,IF(N319=$Y$10,M319,0))</f>
        <v>0</v>
      </c>
      <c r="Z319" s="64">
        <f t="shared" ref="Z319:Z382" si="122">IF(AND(N319&gt;$Z$9,N319&lt;$Z$10),M319,IF(N319=$Z$10,M319,0))</f>
        <v>0</v>
      </c>
      <c r="AA319" s="64">
        <f t="shared" ref="AA319:AA382" si="123">IF(AND(N319&gt;$AA$9,N319&lt;$AA$10),M319,IF(N319=$AA$10,M319,0))</f>
        <v>0</v>
      </c>
      <c r="AB319" s="64">
        <f t="shared" ref="AB319:AB382" si="124">IF(AND(N319&gt;$AB$9,N319&lt;$AB$10),M319,IF(N319=$AB$10,M319,0))</f>
        <v>0</v>
      </c>
      <c r="AC319" s="64">
        <f t="shared" ref="AC319:AC382" si="125">IF(AND(N319&gt;$AC$9,N319&lt;$AC$10),M319,IF(N319=$AC$10,M319,0))</f>
        <v>0</v>
      </c>
      <c r="AD319" s="64">
        <f t="shared" ref="AD319:AD382" si="126">IF(AND(N319&gt;$AD$9,N319&lt;$AD$10),M319,IF(N319=$AD$10,M319,0))</f>
        <v>0</v>
      </c>
      <c r="AE319" s="64">
        <f t="shared" ref="AE319:AE382" si="127">IF(AND(N319&gt;$AE$9,N319&lt;$AE$10),M319,IF(N319=$AE$10,M319,0))</f>
        <v>0</v>
      </c>
      <c r="AF319" s="64">
        <f t="shared" ref="AF319:AF382" si="128">IF(AND(N319&gt;$AF$9,N319&lt;$AF$10),M319,IF(N319=$AF$10,M319,0))</f>
        <v>0</v>
      </c>
      <c r="AG319" s="29">
        <f t="shared" ref="AG319:AG382" si="129">IF(N319=$AG$9,M319,0)</f>
        <v>13815.1</v>
      </c>
    </row>
    <row r="320" spans="1:33" s="20" customFormat="1">
      <c r="A320" s="265">
        <v>12110002</v>
      </c>
      <c r="B320" s="265" t="s">
        <v>362</v>
      </c>
      <c r="C320" s="265" t="s">
        <v>380</v>
      </c>
      <c r="D320" s="265">
        <v>100000001</v>
      </c>
      <c r="E320" s="265" t="s">
        <v>51</v>
      </c>
      <c r="F320" s="265" t="s">
        <v>0</v>
      </c>
      <c r="G320" s="266">
        <v>2912.34</v>
      </c>
      <c r="H320" s="266">
        <v>2912.34</v>
      </c>
      <c r="I320" s="268">
        <v>44621</v>
      </c>
      <c r="J320" s="268">
        <v>46022</v>
      </c>
      <c r="K320" s="267"/>
      <c r="L320" s="224" t="str">
        <f t="shared" ref="L320:L383" si="130">A320&amp;"_"&amp;F320&amp;"_"&amp;D320&amp;"_"&amp;E320</f>
        <v>12110002_AUD_100000001_NONGHYUP BANK SYDNEY BRANCH</v>
      </c>
      <c r="M320" s="221">
        <f t="shared" si="110"/>
        <v>2912.34</v>
      </c>
      <c r="N320" s="24" t="str">
        <f>IF(OR(L320=$L$2,L320=$L$3),$M$10+1,IFERROR(VLOOKUP(A320,'Repricing Maturity Adj.'!$A$3:$C$170,3,0),(IF(K320&lt;$M$10,"Check",K320))))</f>
        <v>Non_sensitive</v>
      </c>
      <c r="O320" s="62" t="b">
        <f t="shared" si="111"/>
        <v>1</v>
      </c>
      <c r="P320" s="63" t="str">
        <f t="shared" si="112"/>
        <v>Asset</v>
      </c>
      <c r="Q320" s="25">
        <f t="shared" si="113"/>
        <v>0</v>
      </c>
      <c r="R320" s="25">
        <f t="shared" si="114"/>
        <v>0</v>
      </c>
      <c r="S320" s="25">
        <f t="shared" si="115"/>
        <v>0</v>
      </c>
      <c r="T320" s="25">
        <f t="shared" si="116"/>
        <v>0</v>
      </c>
      <c r="U320" s="25">
        <f t="shared" si="117"/>
        <v>0</v>
      </c>
      <c r="V320" s="25">
        <f t="shared" si="118"/>
        <v>0</v>
      </c>
      <c r="W320" s="25">
        <f t="shared" si="119"/>
        <v>0</v>
      </c>
      <c r="X320" s="64">
        <f t="shared" si="120"/>
        <v>0</v>
      </c>
      <c r="Y320" s="64">
        <f t="shared" si="121"/>
        <v>0</v>
      </c>
      <c r="Z320" s="64">
        <f t="shared" si="122"/>
        <v>0</v>
      </c>
      <c r="AA320" s="64">
        <f t="shared" si="123"/>
        <v>0</v>
      </c>
      <c r="AB320" s="64">
        <f t="shared" si="124"/>
        <v>0</v>
      </c>
      <c r="AC320" s="64">
        <f t="shared" si="125"/>
        <v>0</v>
      </c>
      <c r="AD320" s="64">
        <f t="shared" si="126"/>
        <v>0</v>
      </c>
      <c r="AE320" s="64">
        <f t="shared" si="127"/>
        <v>0</v>
      </c>
      <c r="AF320" s="64">
        <f t="shared" si="128"/>
        <v>0</v>
      </c>
      <c r="AG320" s="29">
        <f t="shared" si="129"/>
        <v>2912.34</v>
      </c>
    </row>
    <row r="321" spans="1:33" s="20" customFormat="1">
      <c r="A321" s="265">
        <v>12110002</v>
      </c>
      <c r="B321" s="265" t="s">
        <v>362</v>
      </c>
      <c r="C321" s="265" t="s">
        <v>381</v>
      </c>
      <c r="D321" s="265">
        <v>100000001</v>
      </c>
      <c r="E321" s="265" t="s">
        <v>51</v>
      </c>
      <c r="F321" s="265" t="s">
        <v>0</v>
      </c>
      <c r="G321" s="266">
        <v>5044.05</v>
      </c>
      <c r="H321" s="266">
        <v>5044.05</v>
      </c>
      <c r="I321" s="268">
        <v>44621</v>
      </c>
      <c r="J321" s="268">
        <v>46022</v>
      </c>
      <c r="K321" s="267"/>
      <c r="L321" s="224" t="str">
        <f t="shared" si="130"/>
        <v>12110002_AUD_100000001_NONGHYUP BANK SYDNEY BRANCH</v>
      </c>
      <c r="M321" s="221">
        <f t="shared" si="110"/>
        <v>5044.05</v>
      </c>
      <c r="N321" s="24" t="str">
        <f>IF(OR(L321=$L$2,L321=$L$3),$M$10+1,IFERROR(VLOOKUP(A321,'Repricing Maturity Adj.'!$A$3:$C$170,3,0),(IF(K321&lt;$M$10,"Check",K321))))</f>
        <v>Non_sensitive</v>
      </c>
      <c r="O321" s="62" t="b">
        <f t="shared" si="111"/>
        <v>1</v>
      </c>
      <c r="P321" s="63" t="str">
        <f t="shared" si="112"/>
        <v>Asset</v>
      </c>
      <c r="Q321" s="25">
        <f t="shared" si="113"/>
        <v>0</v>
      </c>
      <c r="R321" s="25">
        <f t="shared" si="114"/>
        <v>0</v>
      </c>
      <c r="S321" s="25">
        <f t="shared" si="115"/>
        <v>0</v>
      </c>
      <c r="T321" s="25">
        <f t="shared" si="116"/>
        <v>0</v>
      </c>
      <c r="U321" s="25">
        <f t="shared" si="117"/>
        <v>0</v>
      </c>
      <c r="V321" s="25">
        <f t="shared" si="118"/>
        <v>0</v>
      </c>
      <c r="W321" s="25">
        <f t="shared" si="119"/>
        <v>0</v>
      </c>
      <c r="X321" s="64">
        <f t="shared" si="120"/>
        <v>0</v>
      </c>
      <c r="Y321" s="64">
        <f t="shared" si="121"/>
        <v>0</v>
      </c>
      <c r="Z321" s="64">
        <f t="shared" si="122"/>
        <v>0</v>
      </c>
      <c r="AA321" s="64">
        <f t="shared" si="123"/>
        <v>0</v>
      </c>
      <c r="AB321" s="64">
        <f t="shared" si="124"/>
        <v>0</v>
      </c>
      <c r="AC321" s="64">
        <f t="shared" si="125"/>
        <v>0</v>
      </c>
      <c r="AD321" s="64">
        <f t="shared" si="126"/>
        <v>0</v>
      </c>
      <c r="AE321" s="64">
        <f t="shared" si="127"/>
        <v>0</v>
      </c>
      <c r="AF321" s="64">
        <f t="shared" si="128"/>
        <v>0</v>
      </c>
      <c r="AG321" s="29">
        <f t="shared" si="129"/>
        <v>5044.05</v>
      </c>
    </row>
    <row r="322" spans="1:33" s="20" customFormat="1">
      <c r="A322" s="265">
        <v>12110002</v>
      </c>
      <c r="B322" s="265" t="s">
        <v>362</v>
      </c>
      <c r="C322" s="265" t="s">
        <v>382</v>
      </c>
      <c r="D322" s="265">
        <v>100000001</v>
      </c>
      <c r="E322" s="265" t="s">
        <v>51</v>
      </c>
      <c r="F322" s="265" t="s">
        <v>0</v>
      </c>
      <c r="G322" s="266">
        <v>5392.42</v>
      </c>
      <c r="H322" s="266">
        <v>5392.42</v>
      </c>
      <c r="I322" s="268">
        <v>44621</v>
      </c>
      <c r="J322" s="268">
        <v>45991</v>
      </c>
      <c r="K322" s="267"/>
      <c r="L322" s="224" t="str">
        <f t="shared" si="130"/>
        <v>12110002_AUD_100000001_NONGHYUP BANK SYDNEY BRANCH</v>
      </c>
      <c r="M322" s="221">
        <f t="shared" si="110"/>
        <v>5392.42</v>
      </c>
      <c r="N322" s="24" t="str">
        <f>IF(OR(L322=$L$2,L322=$L$3),$M$10+1,IFERROR(VLOOKUP(A322,'Repricing Maturity Adj.'!$A$3:$C$170,3,0),(IF(K322&lt;$M$10,"Check",K322))))</f>
        <v>Non_sensitive</v>
      </c>
      <c r="O322" s="62" t="b">
        <f t="shared" si="111"/>
        <v>1</v>
      </c>
      <c r="P322" s="63" t="str">
        <f t="shared" si="112"/>
        <v>Asset</v>
      </c>
      <c r="Q322" s="25">
        <f t="shared" si="113"/>
        <v>0</v>
      </c>
      <c r="R322" s="25">
        <f t="shared" si="114"/>
        <v>0</v>
      </c>
      <c r="S322" s="25">
        <f t="shared" si="115"/>
        <v>0</v>
      </c>
      <c r="T322" s="25">
        <f t="shared" si="116"/>
        <v>0</v>
      </c>
      <c r="U322" s="25">
        <f t="shared" si="117"/>
        <v>0</v>
      </c>
      <c r="V322" s="25">
        <f t="shared" si="118"/>
        <v>0</v>
      </c>
      <c r="W322" s="25">
        <f t="shared" si="119"/>
        <v>0</v>
      </c>
      <c r="X322" s="64">
        <f t="shared" si="120"/>
        <v>0</v>
      </c>
      <c r="Y322" s="64">
        <f t="shared" si="121"/>
        <v>0</v>
      </c>
      <c r="Z322" s="64">
        <f t="shared" si="122"/>
        <v>0</v>
      </c>
      <c r="AA322" s="64">
        <f t="shared" si="123"/>
        <v>0</v>
      </c>
      <c r="AB322" s="64">
        <f t="shared" si="124"/>
        <v>0</v>
      </c>
      <c r="AC322" s="64">
        <f t="shared" si="125"/>
        <v>0</v>
      </c>
      <c r="AD322" s="64">
        <f t="shared" si="126"/>
        <v>0</v>
      </c>
      <c r="AE322" s="64">
        <f t="shared" si="127"/>
        <v>0</v>
      </c>
      <c r="AF322" s="64">
        <f t="shared" si="128"/>
        <v>0</v>
      </c>
      <c r="AG322" s="29">
        <f t="shared" si="129"/>
        <v>5392.42</v>
      </c>
    </row>
    <row r="323" spans="1:33" s="20" customFormat="1">
      <c r="A323" s="265">
        <v>12110002</v>
      </c>
      <c r="B323" s="265" t="s">
        <v>362</v>
      </c>
      <c r="C323" s="265" t="s">
        <v>383</v>
      </c>
      <c r="D323" s="265">
        <v>100000001</v>
      </c>
      <c r="E323" s="265" t="s">
        <v>51</v>
      </c>
      <c r="F323" s="265" t="s">
        <v>0</v>
      </c>
      <c r="G323" s="266">
        <v>8051.1</v>
      </c>
      <c r="H323" s="266">
        <v>8051.1</v>
      </c>
      <c r="I323" s="268">
        <v>44621</v>
      </c>
      <c r="J323" s="268">
        <v>46022</v>
      </c>
      <c r="K323" s="267"/>
      <c r="L323" s="224" t="str">
        <f t="shared" si="130"/>
        <v>12110002_AUD_100000001_NONGHYUP BANK SYDNEY BRANCH</v>
      </c>
      <c r="M323" s="221">
        <f t="shared" si="110"/>
        <v>8051.1</v>
      </c>
      <c r="N323" s="24" t="str">
        <f>IF(OR(L323=$L$2,L323=$L$3),$M$10+1,IFERROR(VLOOKUP(A323,'Repricing Maturity Adj.'!$A$3:$C$170,3,0),(IF(K323&lt;$M$10,"Check",K323))))</f>
        <v>Non_sensitive</v>
      </c>
      <c r="O323" s="62" t="b">
        <f t="shared" si="111"/>
        <v>1</v>
      </c>
      <c r="P323" s="63" t="str">
        <f t="shared" si="112"/>
        <v>Asset</v>
      </c>
      <c r="Q323" s="25">
        <f t="shared" si="113"/>
        <v>0</v>
      </c>
      <c r="R323" s="25">
        <f t="shared" si="114"/>
        <v>0</v>
      </c>
      <c r="S323" s="25">
        <f t="shared" si="115"/>
        <v>0</v>
      </c>
      <c r="T323" s="25">
        <f t="shared" si="116"/>
        <v>0</v>
      </c>
      <c r="U323" s="25">
        <f t="shared" si="117"/>
        <v>0</v>
      </c>
      <c r="V323" s="25">
        <f t="shared" si="118"/>
        <v>0</v>
      </c>
      <c r="W323" s="25">
        <f t="shared" si="119"/>
        <v>0</v>
      </c>
      <c r="X323" s="64">
        <f t="shared" si="120"/>
        <v>0</v>
      </c>
      <c r="Y323" s="64">
        <f t="shared" si="121"/>
        <v>0</v>
      </c>
      <c r="Z323" s="64">
        <f t="shared" si="122"/>
        <v>0</v>
      </c>
      <c r="AA323" s="64">
        <f t="shared" si="123"/>
        <v>0</v>
      </c>
      <c r="AB323" s="64">
        <f t="shared" si="124"/>
        <v>0</v>
      </c>
      <c r="AC323" s="64">
        <f t="shared" si="125"/>
        <v>0</v>
      </c>
      <c r="AD323" s="64">
        <f t="shared" si="126"/>
        <v>0</v>
      </c>
      <c r="AE323" s="64">
        <f t="shared" si="127"/>
        <v>0</v>
      </c>
      <c r="AF323" s="64">
        <f t="shared" si="128"/>
        <v>0</v>
      </c>
      <c r="AG323" s="29">
        <f t="shared" si="129"/>
        <v>8051.1</v>
      </c>
    </row>
    <row r="324" spans="1:33" s="20" customFormat="1">
      <c r="A324" s="265">
        <v>12110002</v>
      </c>
      <c r="B324" s="265" t="s">
        <v>362</v>
      </c>
      <c r="C324" s="265" t="s">
        <v>384</v>
      </c>
      <c r="D324" s="265">
        <v>100000001</v>
      </c>
      <c r="E324" s="265" t="s">
        <v>51</v>
      </c>
      <c r="F324" s="265" t="s">
        <v>0</v>
      </c>
      <c r="G324" s="266">
        <v>4278.83</v>
      </c>
      <c r="H324" s="266">
        <v>4278.83</v>
      </c>
      <c r="I324" s="268">
        <v>44621</v>
      </c>
      <c r="J324" s="268">
        <v>45991</v>
      </c>
      <c r="K324" s="267"/>
      <c r="L324" s="224" t="str">
        <f t="shared" si="130"/>
        <v>12110002_AUD_100000001_NONGHYUP BANK SYDNEY BRANCH</v>
      </c>
      <c r="M324" s="221">
        <f t="shared" si="110"/>
        <v>4278.83</v>
      </c>
      <c r="N324" s="24" t="str">
        <f>IF(OR(L324=$L$2,L324=$L$3),$M$10+1,IFERROR(VLOOKUP(A324,'Repricing Maturity Adj.'!$A$3:$C$170,3,0),(IF(K324&lt;$M$10,"Check",K324))))</f>
        <v>Non_sensitive</v>
      </c>
      <c r="O324" s="62" t="b">
        <f t="shared" si="111"/>
        <v>1</v>
      </c>
      <c r="P324" s="63" t="str">
        <f t="shared" si="112"/>
        <v>Asset</v>
      </c>
      <c r="Q324" s="25">
        <f t="shared" si="113"/>
        <v>0</v>
      </c>
      <c r="R324" s="25">
        <f t="shared" si="114"/>
        <v>0</v>
      </c>
      <c r="S324" s="25">
        <f t="shared" si="115"/>
        <v>0</v>
      </c>
      <c r="T324" s="25">
        <f t="shared" si="116"/>
        <v>0</v>
      </c>
      <c r="U324" s="25">
        <f t="shared" si="117"/>
        <v>0</v>
      </c>
      <c r="V324" s="25">
        <f t="shared" si="118"/>
        <v>0</v>
      </c>
      <c r="W324" s="25">
        <f t="shared" si="119"/>
        <v>0</v>
      </c>
      <c r="X324" s="64">
        <f t="shared" si="120"/>
        <v>0</v>
      </c>
      <c r="Y324" s="64">
        <f t="shared" si="121"/>
        <v>0</v>
      </c>
      <c r="Z324" s="64">
        <f t="shared" si="122"/>
        <v>0</v>
      </c>
      <c r="AA324" s="64">
        <f t="shared" si="123"/>
        <v>0</v>
      </c>
      <c r="AB324" s="64">
        <f t="shared" si="124"/>
        <v>0</v>
      </c>
      <c r="AC324" s="64">
        <f t="shared" si="125"/>
        <v>0</v>
      </c>
      <c r="AD324" s="64">
        <f t="shared" si="126"/>
        <v>0</v>
      </c>
      <c r="AE324" s="64">
        <f t="shared" si="127"/>
        <v>0</v>
      </c>
      <c r="AF324" s="64">
        <f t="shared" si="128"/>
        <v>0</v>
      </c>
      <c r="AG324" s="29">
        <f t="shared" si="129"/>
        <v>4278.83</v>
      </c>
    </row>
    <row r="325" spans="1:33" s="20" customFormat="1">
      <c r="A325" s="265">
        <v>12110002</v>
      </c>
      <c r="B325" s="265" t="s">
        <v>362</v>
      </c>
      <c r="C325" s="265" t="s">
        <v>385</v>
      </c>
      <c r="D325" s="265">
        <v>100000001</v>
      </c>
      <c r="E325" s="265" t="s">
        <v>51</v>
      </c>
      <c r="F325" s="265" t="s">
        <v>0</v>
      </c>
      <c r="G325" s="266">
        <v>24837.119999999999</v>
      </c>
      <c r="H325" s="266">
        <v>24837.119999999999</v>
      </c>
      <c r="I325" s="268">
        <v>44621</v>
      </c>
      <c r="J325" s="268">
        <v>45991</v>
      </c>
      <c r="K325" s="267"/>
      <c r="L325" s="224" t="str">
        <f t="shared" si="130"/>
        <v>12110002_AUD_100000001_NONGHYUP BANK SYDNEY BRANCH</v>
      </c>
      <c r="M325" s="221">
        <f t="shared" si="110"/>
        <v>24837.119999999999</v>
      </c>
      <c r="N325" s="24" t="str">
        <f>IF(OR(L325=$L$2,L325=$L$3),$M$10+1,IFERROR(VLOOKUP(A325,'Repricing Maturity Adj.'!$A$3:$C$170,3,0),(IF(K325&lt;$M$10,"Check",K325))))</f>
        <v>Non_sensitive</v>
      </c>
      <c r="O325" s="62" t="b">
        <f t="shared" si="111"/>
        <v>1</v>
      </c>
      <c r="P325" s="63" t="str">
        <f t="shared" si="112"/>
        <v>Asset</v>
      </c>
      <c r="Q325" s="25">
        <f t="shared" si="113"/>
        <v>0</v>
      </c>
      <c r="R325" s="25">
        <f t="shared" si="114"/>
        <v>0</v>
      </c>
      <c r="S325" s="25">
        <f t="shared" si="115"/>
        <v>0</v>
      </c>
      <c r="T325" s="25">
        <f t="shared" si="116"/>
        <v>0</v>
      </c>
      <c r="U325" s="25">
        <f t="shared" si="117"/>
        <v>0</v>
      </c>
      <c r="V325" s="25">
        <f t="shared" si="118"/>
        <v>0</v>
      </c>
      <c r="W325" s="25">
        <f t="shared" si="119"/>
        <v>0</v>
      </c>
      <c r="X325" s="64">
        <f t="shared" si="120"/>
        <v>0</v>
      </c>
      <c r="Y325" s="64">
        <f t="shared" si="121"/>
        <v>0</v>
      </c>
      <c r="Z325" s="64">
        <f t="shared" si="122"/>
        <v>0</v>
      </c>
      <c r="AA325" s="64">
        <f t="shared" si="123"/>
        <v>0</v>
      </c>
      <c r="AB325" s="64">
        <f t="shared" si="124"/>
        <v>0</v>
      </c>
      <c r="AC325" s="64">
        <f t="shared" si="125"/>
        <v>0</v>
      </c>
      <c r="AD325" s="64">
        <f t="shared" si="126"/>
        <v>0</v>
      </c>
      <c r="AE325" s="64">
        <f t="shared" si="127"/>
        <v>0</v>
      </c>
      <c r="AF325" s="64">
        <f t="shared" si="128"/>
        <v>0</v>
      </c>
      <c r="AG325" s="29">
        <f t="shared" si="129"/>
        <v>24837.119999999999</v>
      </c>
    </row>
    <row r="326" spans="1:33" s="20" customFormat="1">
      <c r="A326" s="265">
        <v>12110002</v>
      </c>
      <c r="B326" s="265" t="s">
        <v>362</v>
      </c>
      <c r="C326" s="265" t="s">
        <v>386</v>
      </c>
      <c r="D326" s="265">
        <v>100000001</v>
      </c>
      <c r="E326" s="265" t="s">
        <v>51</v>
      </c>
      <c r="F326" s="265" t="s">
        <v>0</v>
      </c>
      <c r="G326" s="266">
        <v>189.47</v>
      </c>
      <c r="H326" s="266">
        <v>189.47</v>
      </c>
      <c r="I326" s="268">
        <v>44621</v>
      </c>
      <c r="J326" s="268">
        <v>45991</v>
      </c>
      <c r="K326" s="267"/>
      <c r="L326" s="224" t="str">
        <f t="shared" si="130"/>
        <v>12110002_AUD_100000001_NONGHYUP BANK SYDNEY BRANCH</v>
      </c>
      <c r="M326" s="221">
        <f t="shared" si="110"/>
        <v>189.47</v>
      </c>
      <c r="N326" s="24" t="str">
        <f>IF(OR(L326=$L$2,L326=$L$3),$M$10+1,IFERROR(VLOOKUP(A326,'Repricing Maturity Adj.'!$A$3:$C$170,3,0),(IF(K326&lt;$M$10,"Check",K326))))</f>
        <v>Non_sensitive</v>
      </c>
      <c r="O326" s="62" t="b">
        <f t="shared" si="111"/>
        <v>1</v>
      </c>
      <c r="P326" s="63" t="str">
        <f t="shared" si="112"/>
        <v>Asset</v>
      </c>
      <c r="Q326" s="25">
        <f t="shared" si="113"/>
        <v>0</v>
      </c>
      <c r="R326" s="25">
        <f t="shared" si="114"/>
        <v>0</v>
      </c>
      <c r="S326" s="25">
        <f t="shared" si="115"/>
        <v>0</v>
      </c>
      <c r="T326" s="25">
        <f t="shared" si="116"/>
        <v>0</v>
      </c>
      <c r="U326" s="25">
        <f t="shared" si="117"/>
        <v>0</v>
      </c>
      <c r="V326" s="25">
        <f t="shared" si="118"/>
        <v>0</v>
      </c>
      <c r="W326" s="25">
        <f t="shared" si="119"/>
        <v>0</v>
      </c>
      <c r="X326" s="64">
        <f t="shared" si="120"/>
        <v>0</v>
      </c>
      <c r="Y326" s="64">
        <f t="shared" si="121"/>
        <v>0</v>
      </c>
      <c r="Z326" s="64">
        <f t="shared" si="122"/>
        <v>0</v>
      </c>
      <c r="AA326" s="64">
        <f t="shared" si="123"/>
        <v>0</v>
      </c>
      <c r="AB326" s="64">
        <f t="shared" si="124"/>
        <v>0</v>
      </c>
      <c r="AC326" s="64">
        <f t="shared" si="125"/>
        <v>0</v>
      </c>
      <c r="AD326" s="64">
        <f t="shared" si="126"/>
        <v>0</v>
      </c>
      <c r="AE326" s="64">
        <f t="shared" si="127"/>
        <v>0</v>
      </c>
      <c r="AF326" s="64">
        <f t="shared" si="128"/>
        <v>0</v>
      </c>
      <c r="AG326" s="29">
        <f t="shared" si="129"/>
        <v>189.47</v>
      </c>
    </row>
    <row r="327" spans="1:33" s="20" customFormat="1">
      <c r="A327" s="265">
        <v>12110002</v>
      </c>
      <c r="B327" s="265" t="s">
        <v>362</v>
      </c>
      <c r="C327" s="265" t="s">
        <v>387</v>
      </c>
      <c r="D327" s="265">
        <v>100000001</v>
      </c>
      <c r="E327" s="265" t="s">
        <v>51</v>
      </c>
      <c r="F327" s="265" t="s">
        <v>0</v>
      </c>
      <c r="G327" s="266">
        <v>23817.32</v>
      </c>
      <c r="H327" s="266">
        <v>23817.32</v>
      </c>
      <c r="I327" s="268">
        <v>44621</v>
      </c>
      <c r="J327" s="268">
        <v>45991</v>
      </c>
      <c r="K327" s="267"/>
      <c r="L327" s="224" t="str">
        <f t="shared" si="130"/>
        <v>12110002_AUD_100000001_NONGHYUP BANK SYDNEY BRANCH</v>
      </c>
      <c r="M327" s="221">
        <f t="shared" si="110"/>
        <v>23817.32</v>
      </c>
      <c r="N327" s="24" t="str">
        <f>IF(OR(L327=$L$2,L327=$L$3),$M$10+1,IFERROR(VLOOKUP(A327,'Repricing Maturity Adj.'!$A$3:$C$170,3,0),(IF(K327&lt;$M$10,"Check",K327))))</f>
        <v>Non_sensitive</v>
      </c>
      <c r="O327" s="62" t="b">
        <f t="shared" si="111"/>
        <v>1</v>
      </c>
      <c r="P327" s="63" t="str">
        <f t="shared" si="112"/>
        <v>Asset</v>
      </c>
      <c r="Q327" s="25">
        <f t="shared" si="113"/>
        <v>0</v>
      </c>
      <c r="R327" s="25">
        <f t="shared" si="114"/>
        <v>0</v>
      </c>
      <c r="S327" s="25">
        <f t="shared" si="115"/>
        <v>0</v>
      </c>
      <c r="T327" s="25">
        <f t="shared" si="116"/>
        <v>0</v>
      </c>
      <c r="U327" s="25">
        <f t="shared" si="117"/>
        <v>0</v>
      </c>
      <c r="V327" s="25">
        <f t="shared" si="118"/>
        <v>0</v>
      </c>
      <c r="W327" s="25">
        <f t="shared" si="119"/>
        <v>0</v>
      </c>
      <c r="X327" s="64">
        <f t="shared" si="120"/>
        <v>0</v>
      </c>
      <c r="Y327" s="64">
        <f t="shared" si="121"/>
        <v>0</v>
      </c>
      <c r="Z327" s="64">
        <f t="shared" si="122"/>
        <v>0</v>
      </c>
      <c r="AA327" s="64">
        <f t="shared" si="123"/>
        <v>0</v>
      </c>
      <c r="AB327" s="64">
        <f t="shared" si="124"/>
        <v>0</v>
      </c>
      <c r="AC327" s="64">
        <f t="shared" si="125"/>
        <v>0</v>
      </c>
      <c r="AD327" s="64">
        <f t="shared" si="126"/>
        <v>0</v>
      </c>
      <c r="AE327" s="64">
        <f t="shared" si="127"/>
        <v>0</v>
      </c>
      <c r="AF327" s="64">
        <f t="shared" si="128"/>
        <v>0</v>
      </c>
      <c r="AG327" s="29">
        <f t="shared" si="129"/>
        <v>23817.32</v>
      </c>
    </row>
    <row r="328" spans="1:33" s="20" customFormat="1">
      <c r="A328" s="265">
        <v>12110002</v>
      </c>
      <c r="B328" s="265" t="s">
        <v>362</v>
      </c>
      <c r="C328" s="265" t="s">
        <v>388</v>
      </c>
      <c r="D328" s="265">
        <v>100000001</v>
      </c>
      <c r="E328" s="265" t="s">
        <v>51</v>
      </c>
      <c r="F328" s="265" t="s">
        <v>0</v>
      </c>
      <c r="G328" s="266">
        <v>1202.76</v>
      </c>
      <c r="H328" s="266">
        <v>1202.76</v>
      </c>
      <c r="I328" s="268">
        <v>44621</v>
      </c>
      <c r="J328" s="268">
        <v>45991</v>
      </c>
      <c r="K328" s="267"/>
      <c r="L328" s="224" t="str">
        <f t="shared" si="130"/>
        <v>12110002_AUD_100000001_NONGHYUP BANK SYDNEY BRANCH</v>
      </c>
      <c r="M328" s="221">
        <f t="shared" si="110"/>
        <v>1202.76</v>
      </c>
      <c r="N328" s="24" t="str">
        <f>IF(OR(L328=$L$2,L328=$L$3),$M$10+1,IFERROR(VLOOKUP(A328,'Repricing Maturity Adj.'!$A$3:$C$170,3,0),(IF(K328&lt;$M$10,"Check",K328))))</f>
        <v>Non_sensitive</v>
      </c>
      <c r="O328" s="62" t="b">
        <f t="shared" si="111"/>
        <v>1</v>
      </c>
      <c r="P328" s="63" t="str">
        <f t="shared" si="112"/>
        <v>Asset</v>
      </c>
      <c r="Q328" s="25">
        <f t="shared" si="113"/>
        <v>0</v>
      </c>
      <c r="R328" s="25">
        <f t="shared" si="114"/>
        <v>0</v>
      </c>
      <c r="S328" s="25">
        <f t="shared" si="115"/>
        <v>0</v>
      </c>
      <c r="T328" s="25">
        <f t="shared" si="116"/>
        <v>0</v>
      </c>
      <c r="U328" s="25">
        <f t="shared" si="117"/>
        <v>0</v>
      </c>
      <c r="V328" s="25">
        <f t="shared" si="118"/>
        <v>0</v>
      </c>
      <c r="W328" s="25">
        <f t="shared" si="119"/>
        <v>0</v>
      </c>
      <c r="X328" s="64">
        <f t="shared" si="120"/>
        <v>0</v>
      </c>
      <c r="Y328" s="64">
        <f t="shared" si="121"/>
        <v>0</v>
      </c>
      <c r="Z328" s="64">
        <f t="shared" si="122"/>
        <v>0</v>
      </c>
      <c r="AA328" s="64">
        <f t="shared" si="123"/>
        <v>0</v>
      </c>
      <c r="AB328" s="64">
        <f t="shared" si="124"/>
        <v>0</v>
      </c>
      <c r="AC328" s="64">
        <f t="shared" si="125"/>
        <v>0</v>
      </c>
      <c r="AD328" s="64">
        <f t="shared" si="126"/>
        <v>0</v>
      </c>
      <c r="AE328" s="64">
        <f t="shared" si="127"/>
        <v>0</v>
      </c>
      <c r="AF328" s="64">
        <f t="shared" si="128"/>
        <v>0</v>
      </c>
      <c r="AG328" s="29">
        <f t="shared" si="129"/>
        <v>1202.76</v>
      </c>
    </row>
    <row r="329" spans="1:33" s="20" customFormat="1">
      <c r="A329" s="265">
        <v>12110002</v>
      </c>
      <c r="B329" s="265" t="s">
        <v>362</v>
      </c>
      <c r="C329" s="265" t="s">
        <v>389</v>
      </c>
      <c r="D329" s="265">
        <v>100000001</v>
      </c>
      <c r="E329" s="265" t="s">
        <v>51</v>
      </c>
      <c r="F329" s="265" t="s">
        <v>0</v>
      </c>
      <c r="G329" s="266">
        <v>3640.76</v>
      </c>
      <c r="H329" s="266">
        <v>3640.76</v>
      </c>
      <c r="I329" s="268">
        <v>44621</v>
      </c>
      <c r="J329" s="268">
        <v>45991</v>
      </c>
      <c r="K329" s="267"/>
      <c r="L329" s="224" t="str">
        <f t="shared" si="130"/>
        <v>12110002_AUD_100000001_NONGHYUP BANK SYDNEY BRANCH</v>
      </c>
      <c r="M329" s="221">
        <f t="shared" si="110"/>
        <v>3640.76</v>
      </c>
      <c r="N329" s="24" t="str">
        <f>IF(OR(L329=$L$2,L329=$L$3),$M$10+1,IFERROR(VLOOKUP(A329,'Repricing Maturity Adj.'!$A$3:$C$170,3,0),(IF(K329&lt;$M$10,"Check",K329))))</f>
        <v>Non_sensitive</v>
      </c>
      <c r="O329" s="62" t="b">
        <f t="shared" si="111"/>
        <v>1</v>
      </c>
      <c r="P329" s="63" t="str">
        <f t="shared" si="112"/>
        <v>Asset</v>
      </c>
      <c r="Q329" s="25">
        <f t="shared" si="113"/>
        <v>0</v>
      </c>
      <c r="R329" s="25">
        <f t="shared" si="114"/>
        <v>0</v>
      </c>
      <c r="S329" s="25">
        <f t="shared" si="115"/>
        <v>0</v>
      </c>
      <c r="T329" s="25">
        <f t="shared" si="116"/>
        <v>0</v>
      </c>
      <c r="U329" s="25">
        <f t="shared" si="117"/>
        <v>0</v>
      </c>
      <c r="V329" s="25">
        <f t="shared" si="118"/>
        <v>0</v>
      </c>
      <c r="W329" s="25">
        <f t="shared" si="119"/>
        <v>0</v>
      </c>
      <c r="X329" s="64">
        <f t="shared" si="120"/>
        <v>0</v>
      </c>
      <c r="Y329" s="64">
        <f t="shared" si="121"/>
        <v>0</v>
      </c>
      <c r="Z329" s="64">
        <f t="shared" si="122"/>
        <v>0</v>
      </c>
      <c r="AA329" s="64">
        <f t="shared" si="123"/>
        <v>0</v>
      </c>
      <c r="AB329" s="64">
        <f t="shared" si="124"/>
        <v>0</v>
      </c>
      <c r="AC329" s="64">
        <f t="shared" si="125"/>
        <v>0</v>
      </c>
      <c r="AD329" s="64">
        <f t="shared" si="126"/>
        <v>0</v>
      </c>
      <c r="AE329" s="64">
        <f t="shared" si="127"/>
        <v>0</v>
      </c>
      <c r="AF329" s="64">
        <f t="shared" si="128"/>
        <v>0</v>
      </c>
      <c r="AG329" s="29">
        <f t="shared" si="129"/>
        <v>3640.76</v>
      </c>
    </row>
    <row r="330" spans="1:33" s="20" customFormat="1">
      <c r="A330" s="265">
        <v>12110002</v>
      </c>
      <c r="B330" s="265" t="s">
        <v>362</v>
      </c>
      <c r="C330" s="265" t="s">
        <v>390</v>
      </c>
      <c r="D330" s="265">
        <v>100000001</v>
      </c>
      <c r="E330" s="265" t="s">
        <v>51</v>
      </c>
      <c r="F330" s="265" t="s">
        <v>0</v>
      </c>
      <c r="G330" s="266">
        <v>27735</v>
      </c>
      <c r="H330" s="266">
        <v>27735</v>
      </c>
      <c r="I330" s="268">
        <v>44621</v>
      </c>
      <c r="J330" s="268">
        <v>46477</v>
      </c>
      <c r="K330" s="267"/>
      <c r="L330" s="224" t="str">
        <f t="shared" si="130"/>
        <v>12110002_AUD_100000001_NONGHYUP BANK SYDNEY BRANCH</v>
      </c>
      <c r="M330" s="221">
        <f t="shared" si="110"/>
        <v>27735</v>
      </c>
      <c r="N330" s="24" t="str">
        <f>IF(OR(L330=$L$2,L330=$L$3),$M$10+1,IFERROR(VLOOKUP(A330,'Repricing Maturity Adj.'!$A$3:$C$170,3,0),(IF(K330&lt;$M$10,"Check",K330))))</f>
        <v>Non_sensitive</v>
      </c>
      <c r="O330" s="62" t="b">
        <f t="shared" si="111"/>
        <v>1</v>
      </c>
      <c r="P330" s="63" t="str">
        <f t="shared" si="112"/>
        <v>Asset</v>
      </c>
      <c r="Q330" s="25">
        <f t="shared" si="113"/>
        <v>0</v>
      </c>
      <c r="R330" s="25">
        <f t="shared" si="114"/>
        <v>0</v>
      </c>
      <c r="S330" s="25">
        <f t="shared" si="115"/>
        <v>0</v>
      </c>
      <c r="T330" s="25">
        <f t="shared" si="116"/>
        <v>0</v>
      </c>
      <c r="U330" s="25">
        <f t="shared" si="117"/>
        <v>0</v>
      </c>
      <c r="V330" s="25">
        <f t="shared" si="118"/>
        <v>0</v>
      </c>
      <c r="W330" s="25">
        <f t="shared" si="119"/>
        <v>0</v>
      </c>
      <c r="X330" s="64">
        <f t="shared" si="120"/>
        <v>0</v>
      </c>
      <c r="Y330" s="64">
        <f t="shared" si="121"/>
        <v>0</v>
      </c>
      <c r="Z330" s="64">
        <f t="shared" si="122"/>
        <v>0</v>
      </c>
      <c r="AA330" s="64">
        <f t="shared" si="123"/>
        <v>0</v>
      </c>
      <c r="AB330" s="64">
        <f t="shared" si="124"/>
        <v>0</v>
      </c>
      <c r="AC330" s="64">
        <f t="shared" si="125"/>
        <v>0</v>
      </c>
      <c r="AD330" s="64">
        <f t="shared" si="126"/>
        <v>0</v>
      </c>
      <c r="AE330" s="64">
        <f t="shared" si="127"/>
        <v>0</v>
      </c>
      <c r="AF330" s="64">
        <f t="shared" si="128"/>
        <v>0</v>
      </c>
      <c r="AG330" s="29">
        <f t="shared" si="129"/>
        <v>27735</v>
      </c>
    </row>
    <row r="331" spans="1:33" s="20" customFormat="1">
      <c r="A331" s="265">
        <v>12110002</v>
      </c>
      <c r="B331" s="265" t="s">
        <v>362</v>
      </c>
      <c r="C331" s="265" t="s">
        <v>391</v>
      </c>
      <c r="D331" s="265">
        <v>100000001</v>
      </c>
      <c r="E331" s="265" t="s">
        <v>51</v>
      </c>
      <c r="F331" s="265" t="s">
        <v>0</v>
      </c>
      <c r="G331" s="266">
        <v>4665</v>
      </c>
      <c r="H331" s="266">
        <v>4665</v>
      </c>
      <c r="I331" s="268">
        <v>44805</v>
      </c>
      <c r="J331" s="268">
        <v>46265</v>
      </c>
      <c r="K331" s="267"/>
      <c r="L331" s="224" t="str">
        <f t="shared" si="130"/>
        <v>12110002_AUD_100000001_NONGHYUP BANK SYDNEY BRANCH</v>
      </c>
      <c r="M331" s="221">
        <f t="shared" si="110"/>
        <v>4665</v>
      </c>
      <c r="N331" s="24" t="str">
        <f>IF(OR(L331=$L$2,L331=$L$3),$M$10+1,IFERROR(VLOOKUP(A331,'Repricing Maturity Adj.'!$A$3:$C$170,3,0),(IF(K331&lt;$M$10,"Check",K331))))</f>
        <v>Non_sensitive</v>
      </c>
      <c r="O331" s="62" t="b">
        <f t="shared" si="111"/>
        <v>1</v>
      </c>
      <c r="P331" s="63" t="str">
        <f t="shared" si="112"/>
        <v>Asset</v>
      </c>
      <c r="Q331" s="25">
        <f t="shared" si="113"/>
        <v>0</v>
      </c>
      <c r="R331" s="25">
        <f t="shared" si="114"/>
        <v>0</v>
      </c>
      <c r="S331" s="25">
        <f t="shared" si="115"/>
        <v>0</v>
      </c>
      <c r="T331" s="25">
        <f t="shared" si="116"/>
        <v>0</v>
      </c>
      <c r="U331" s="25">
        <f t="shared" si="117"/>
        <v>0</v>
      </c>
      <c r="V331" s="25">
        <f t="shared" si="118"/>
        <v>0</v>
      </c>
      <c r="W331" s="25">
        <f t="shared" si="119"/>
        <v>0</v>
      </c>
      <c r="X331" s="64">
        <f t="shared" si="120"/>
        <v>0</v>
      </c>
      <c r="Y331" s="64">
        <f t="shared" si="121"/>
        <v>0</v>
      </c>
      <c r="Z331" s="64">
        <f t="shared" si="122"/>
        <v>0</v>
      </c>
      <c r="AA331" s="64">
        <f t="shared" si="123"/>
        <v>0</v>
      </c>
      <c r="AB331" s="64">
        <f t="shared" si="124"/>
        <v>0</v>
      </c>
      <c r="AC331" s="64">
        <f t="shared" si="125"/>
        <v>0</v>
      </c>
      <c r="AD331" s="64">
        <f t="shared" si="126"/>
        <v>0</v>
      </c>
      <c r="AE331" s="64">
        <f t="shared" si="127"/>
        <v>0</v>
      </c>
      <c r="AF331" s="64">
        <f t="shared" si="128"/>
        <v>0</v>
      </c>
      <c r="AG331" s="29">
        <f t="shared" si="129"/>
        <v>4665</v>
      </c>
    </row>
    <row r="332" spans="1:33" s="20" customFormat="1">
      <c r="A332" s="265">
        <v>12110002</v>
      </c>
      <c r="B332" s="265" t="s">
        <v>362</v>
      </c>
      <c r="C332" s="265" t="s">
        <v>392</v>
      </c>
      <c r="D332" s="265">
        <v>100000001</v>
      </c>
      <c r="E332" s="265" t="s">
        <v>51</v>
      </c>
      <c r="F332" s="265" t="s">
        <v>0</v>
      </c>
      <c r="G332" s="266">
        <v>3297</v>
      </c>
      <c r="H332" s="266">
        <v>3297</v>
      </c>
      <c r="I332" s="268">
        <v>45098</v>
      </c>
      <c r="J332" s="268">
        <v>46568</v>
      </c>
      <c r="K332" s="267"/>
      <c r="L332" s="224" t="str">
        <f t="shared" si="130"/>
        <v>12110002_AUD_100000001_NONGHYUP BANK SYDNEY BRANCH</v>
      </c>
      <c r="M332" s="221">
        <f t="shared" si="110"/>
        <v>3297</v>
      </c>
      <c r="N332" s="24" t="str">
        <f>IF(OR(L332=$L$2,L332=$L$3),$M$10+1,IFERROR(VLOOKUP(A332,'Repricing Maturity Adj.'!$A$3:$C$170,3,0),(IF(K332&lt;$M$10,"Check",K332))))</f>
        <v>Non_sensitive</v>
      </c>
      <c r="O332" s="62" t="b">
        <f t="shared" si="111"/>
        <v>1</v>
      </c>
      <c r="P332" s="63" t="str">
        <f t="shared" si="112"/>
        <v>Asset</v>
      </c>
      <c r="Q332" s="25">
        <f t="shared" si="113"/>
        <v>0</v>
      </c>
      <c r="R332" s="25">
        <f t="shared" si="114"/>
        <v>0</v>
      </c>
      <c r="S332" s="25">
        <f t="shared" si="115"/>
        <v>0</v>
      </c>
      <c r="T332" s="25">
        <f t="shared" si="116"/>
        <v>0</v>
      </c>
      <c r="U332" s="25">
        <f t="shared" si="117"/>
        <v>0</v>
      </c>
      <c r="V332" s="25">
        <f t="shared" si="118"/>
        <v>0</v>
      </c>
      <c r="W332" s="25">
        <f t="shared" si="119"/>
        <v>0</v>
      </c>
      <c r="X332" s="64">
        <f t="shared" si="120"/>
        <v>0</v>
      </c>
      <c r="Y332" s="64">
        <f t="shared" si="121"/>
        <v>0</v>
      </c>
      <c r="Z332" s="64">
        <f t="shared" si="122"/>
        <v>0</v>
      </c>
      <c r="AA332" s="64">
        <f t="shared" si="123"/>
        <v>0</v>
      </c>
      <c r="AB332" s="64">
        <f t="shared" si="124"/>
        <v>0</v>
      </c>
      <c r="AC332" s="64">
        <f t="shared" si="125"/>
        <v>0</v>
      </c>
      <c r="AD332" s="64">
        <f t="shared" si="126"/>
        <v>0</v>
      </c>
      <c r="AE332" s="64">
        <f t="shared" si="127"/>
        <v>0</v>
      </c>
      <c r="AF332" s="64">
        <f t="shared" si="128"/>
        <v>0</v>
      </c>
      <c r="AG332" s="29">
        <f t="shared" si="129"/>
        <v>3297</v>
      </c>
    </row>
    <row r="333" spans="1:33" s="20" customFormat="1">
      <c r="A333" s="265">
        <v>12110002</v>
      </c>
      <c r="B333" s="265" t="s">
        <v>362</v>
      </c>
      <c r="C333" s="265" t="s">
        <v>520</v>
      </c>
      <c r="D333" s="265">
        <v>100000001</v>
      </c>
      <c r="E333" s="265" t="s">
        <v>51</v>
      </c>
      <c r="F333" s="265" t="s">
        <v>0</v>
      </c>
      <c r="G333" s="266">
        <v>2962.05</v>
      </c>
      <c r="H333" s="266">
        <v>2962.05</v>
      </c>
      <c r="I333" s="268">
        <v>45226</v>
      </c>
      <c r="J333" s="268">
        <v>45808</v>
      </c>
      <c r="K333" s="267"/>
      <c r="L333" s="224" t="str">
        <f t="shared" si="130"/>
        <v>12110002_AUD_100000001_NONGHYUP BANK SYDNEY BRANCH</v>
      </c>
      <c r="M333" s="221">
        <f t="shared" si="110"/>
        <v>2962.05</v>
      </c>
      <c r="N333" s="24" t="str">
        <f>IF(OR(L333=$L$2,L333=$L$3),$M$10+1,IFERROR(VLOOKUP(A333,'Repricing Maturity Adj.'!$A$3:$C$170,3,0),(IF(K333&lt;$M$10,"Check",K333))))</f>
        <v>Non_sensitive</v>
      </c>
      <c r="O333" s="62" t="b">
        <f t="shared" si="111"/>
        <v>1</v>
      </c>
      <c r="P333" s="63" t="str">
        <f t="shared" si="112"/>
        <v>Asset</v>
      </c>
      <c r="Q333" s="25">
        <f t="shared" si="113"/>
        <v>0</v>
      </c>
      <c r="R333" s="25">
        <f t="shared" si="114"/>
        <v>0</v>
      </c>
      <c r="S333" s="25">
        <f t="shared" si="115"/>
        <v>0</v>
      </c>
      <c r="T333" s="25">
        <f t="shared" si="116"/>
        <v>0</v>
      </c>
      <c r="U333" s="25">
        <f t="shared" si="117"/>
        <v>0</v>
      </c>
      <c r="V333" s="25">
        <f t="shared" si="118"/>
        <v>0</v>
      </c>
      <c r="W333" s="25">
        <f t="shared" si="119"/>
        <v>0</v>
      </c>
      <c r="X333" s="64">
        <f t="shared" si="120"/>
        <v>0</v>
      </c>
      <c r="Y333" s="64">
        <f t="shared" si="121"/>
        <v>0</v>
      </c>
      <c r="Z333" s="64">
        <f t="shared" si="122"/>
        <v>0</v>
      </c>
      <c r="AA333" s="64">
        <f t="shared" si="123"/>
        <v>0</v>
      </c>
      <c r="AB333" s="64">
        <f t="shared" si="124"/>
        <v>0</v>
      </c>
      <c r="AC333" s="64">
        <f t="shared" si="125"/>
        <v>0</v>
      </c>
      <c r="AD333" s="64">
        <f t="shared" si="126"/>
        <v>0</v>
      </c>
      <c r="AE333" s="64">
        <f t="shared" si="127"/>
        <v>0</v>
      </c>
      <c r="AF333" s="64">
        <f t="shared" si="128"/>
        <v>0</v>
      </c>
      <c r="AG333" s="29">
        <f t="shared" si="129"/>
        <v>2962.05</v>
      </c>
    </row>
    <row r="334" spans="1:33" s="20" customFormat="1">
      <c r="A334" s="265">
        <v>12110002</v>
      </c>
      <c r="B334" s="265" t="s">
        <v>362</v>
      </c>
      <c r="C334" s="265" t="s">
        <v>521</v>
      </c>
      <c r="D334" s="265">
        <v>100000001</v>
      </c>
      <c r="E334" s="265" t="s">
        <v>51</v>
      </c>
      <c r="F334" s="265" t="s">
        <v>0</v>
      </c>
      <c r="G334" s="266">
        <v>353.88</v>
      </c>
      <c r="H334" s="266">
        <v>353.88</v>
      </c>
      <c r="I334" s="268">
        <v>45226</v>
      </c>
      <c r="J334" s="268">
        <v>45808</v>
      </c>
      <c r="K334" s="267"/>
      <c r="L334" s="224" t="str">
        <f t="shared" si="130"/>
        <v>12110002_AUD_100000001_NONGHYUP BANK SYDNEY BRANCH</v>
      </c>
      <c r="M334" s="221">
        <f t="shared" si="110"/>
        <v>353.88</v>
      </c>
      <c r="N334" s="24" t="str">
        <f>IF(OR(L334=$L$2,L334=$L$3),$M$10+1,IFERROR(VLOOKUP(A334,'Repricing Maturity Adj.'!$A$3:$C$170,3,0),(IF(K334&lt;$M$10,"Check",K334))))</f>
        <v>Non_sensitive</v>
      </c>
      <c r="O334" s="62" t="b">
        <f t="shared" si="111"/>
        <v>1</v>
      </c>
      <c r="P334" s="63" t="str">
        <f t="shared" si="112"/>
        <v>Asset</v>
      </c>
      <c r="Q334" s="25">
        <f t="shared" si="113"/>
        <v>0</v>
      </c>
      <c r="R334" s="25">
        <f t="shared" si="114"/>
        <v>0</v>
      </c>
      <c r="S334" s="25">
        <f t="shared" si="115"/>
        <v>0</v>
      </c>
      <c r="T334" s="25">
        <f t="shared" si="116"/>
        <v>0</v>
      </c>
      <c r="U334" s="25">
        <f t="shared" si="117"/>
        <v>0</v>
      </c>
      <c r="V334" s="25">
        <f t="shared" si="118"/>
        <v>0</v>
      </c>
      <c r="W334" s="25">
        <f t="shared" si="119"/>
        <v>0</v>
      </c>
      <c r="X334" s="64">
        <f t="shared" si="120"/>
        <v>0</v>
      </c>
      <c r="Y334" s="64">
        <f t="shared" si="121"/>
        <v>0</v>
      </c>
      <c r="Z334" s="64">
        <f t="shared" si="122"/>
        <v>0</v>
      </c>
      <c r="AA334" s="64">
        <f t="shared" si="123"/>
        <v>0</v>
      </c>
      <c r="AB334" s="64">
        <f t="shared" si="124"/>
        <v>0</v>
      </c>
      <c r="AC334" s="64">
        <f t="shared" si="125"/>
        <v>0</v>
      </c>
      <c r="AD334" s="64">
        <f t="shared" si="126"/>
        <v>0</v>
      </c>
      <c r="AE334" s="64">
        <f t="shared" si="127"/>
        <v>0</v>
      </c>
      <c r="AF334" s="64">
        <f t="shared" si="128"/>
        <v>0</v>
      </c>
      <c r="AG334" s="29">
        <f t="shared" si="129"/>
        <v>353.88</v>
      </c>
    </row>
    <row r="335" spans="1:33" s="20" customFormat="1">
      <c r="A335" s="265">
        <v>12110002</v>
      </c>
      <c r="B335" s="265" t="s">
        <v>362</v>
      </c>
      <c r="C335" s="265" t="s">
        <v>522</v>
      </c>
      <c r="D335" s="265">
        <v>100000001</v>
      </c>
      <c r="E335" s="265" t="s">
        <v>51</v>
      </c>
      <c r="F335" s="265" t="s">
        <v>0</v>
      </c>
      <c r="G335" s="266">
        <v>58.97</v>
      </c>
      <c r="H335" s="266">
        <v>58.97</v>
      </c>
      <c r="I335" s="268">
        <v>45226</v>
      </c>
      <c r="J335" s="268">
        <v>45808</v>
      </c>
      <c r="K335" s="267"/>
      <c r="L335" s="224" t="str">
        <f t="shared" si="130"/>
        <v>12110002_AUD_100000001_NONGHYUP BANK SYDNEY BRANCH</v>
      </c>
      <c r="M335" s="221">
        <f t="shared" si="110"/>
        <v>58.97</v>
      </c>
      <c r="N335" s="24" t="str">
        <f>IF(OR(L335=$L$2,L335=$L$3),$M$10+1,IFERROR(VLOOKUP(A335,'Repricing Maturity Adj.'!$A$3:$C$170,3,0),(IF(K335&lt;$M$10,"Check",K335))))</f>
        <v>Non_sensitive</v>
      </c>
      <c r="O335" s="62" t="b">
        <f t="shared" si="111"/>
        <v>1</v>
      </c>
      <c r="P335" s="63" t="str">
        <f t="shared" si="112"/>
        <v>Asset</v>
      </c>
      <c r="Q335" s="25">
        <f t="shared" si="113"/>
        <v>0</v>
      </c>
      <c r="R335" s="25">
        <f t="shared" si="114"/>
        <v>0</v>
      </c>
      <c r="S335" s="25">
        <f t="shared" si="115"/>
        <v>0</v>
      </c>
      <c r="T335" s="25">
        <f t="shared" si="116"/>
        <v>0</v>
      </c>
      <c r="U335" s="25">
        <f t="shared" si="117"/>
        <v>0</v>
      </c>
      <c r="V335" s="25">
        <f t="shared" si="118"/>
        <v>0</v>
      </c>
      <c r="W335" s="25">
        <f t="shared" si="119"/>
        <v>0</v>
      </c>
      <c r="X335" s="64">
        <f t="shared" si="120"/>
        <v>0</v>
      </c>
      <c r="Y335" s="64">
        <f t="shared" si="121"/>
        <v>0</v>
      </c>
      <c r="Z335" s="64">
        <f t="shared" si="122"/>
        <v>0</v>
      </c>
      <c r="AA335" s="64">
        <f t="shared" si="123"/>
        <v>0</v>
      </c>
      <c r="AB335" s="64">
        <f t="shared" si="124"/>
        <v>0</v>
      </c>
      <c r="AC335" s="64">
        <f t="shared" si="125"/>
        <v>0</v>
      </c>
      <c r="AD335" s="64">
        <f t="shared" si="126"/>
        <v>0</v>
      </c>
      <c r="AE335" s="64">
        <f t="shared" si="127"/>
        <v>0</v>
      </c>
      <c r="AF335" s="64">
        <f t="shared" si="128"/>
        <v>0</v>
      </c>
      <c r="AG335" s="29">
        <f t="shared" si="129"/>
        <v>58.97</v>
      </c>
    </row>
    <row r="336" spans="1:33" s="20" customFormat="1">
      <c r="A336" s="265">
        <v>12110002</v>
      </c>
      <c r="B336" s="265" t="s">
        <v>362</v>
      </c>
      <c r="C336" s="265" t="s">
        <v>523</v>
      </c>
      <c r="D336" s="265">
        <v>100000001</v>
      </c>
      <c r="E336" s="265" t="s">
        <v>51</v>
      </c>
      <c r="F336" s="265" t="s">
        <v>0</v>
      </c>
      <c r="G336" s="266">
        <v>227.6</v>
      </c>
      <c r="H336" s="266">
        <v>227.6</v>
      </c>
      <c r="I336" s="268">
        <v>45226</v>
      </c>
      <c r="J336" s="268">
        <v>45808</v>
      </c>
      <c r="K336" s="267"/>
      <c r="L336" s="224" t="str">
        <f t="shared" si="130"/>
        <v>12110002_AUD_100000001_NONGHYUP BANK SYDNEY BRANCH</v>
      </c>
      <c r="M336" s="221">
        <f t="shared" si="110"/>
        <v>227.6</v>
      </c>
      <c r="N336" s="24" t="str">
        <f>IF(OR(L336=$L$2,L336=$L$3),$M$10+1,IFERROR(VLOOKUP(A336,'Repricing Maturity Adj.'!$A$3:$C$170,3,0),(IF(K336&lt;$M$10,"Check",K336))))</f>
        <v>Non_sensitive</v>
      </c>
      <c r="O336" s="62" t="b">
        <f t="shared" si="111"/>
        <v>1</v>
      </c>
      <c r="P336" s="63" t="str">
        <f t="shared" si="112"/>
        <v>Asset</v>
      </c>
      <c r="Q336" s="25">
        <f t="shared" si="113"/>
        <v>0</v>
      </c>
      <c r="R336" s="25">
        <f t="shared" si="114"/>
        <v>0</v>
      </c>
      <c r="S336" s="25">
        <f t="shared" si="115"/>
        <v>0</v>
      </c>
      <c r="T336" s="25">
        <f t="shared" si="116"/>
        <v>0</v>
      </c>
      <c r="U336" s="25">
        <f t="shared" si="117"/>
        <v>0</v>
      </c>
      <c r="V336" s="25">
        <f t="shared" si="118"/>
        <v>0</v>
      </c>
      <c r="W336" s="25">
        <f t="shared" si="119"/>
        <v>0</v>
      </c>
      <c r="X336" s="64">
        <f t="shared" si="120"/>
        <v>0</v>
      </c>
      <c r="Y336" s="64">
        <f t="shared" si="121"/>
        <v>0</v>
      </c>
      <c r="Z336" s="64">
        <f t="shared" si="122"/>
        <v>0</v>
      </c>
      <c r="AA336" s="64">
        <f t="shared" si="123"/>
        <v>0</v>
      </c>
      <c r="AB336" s="64">
        <f t="shared" si="124"/>
        <v>0</v>
      </c>
      <c r="AC336" s="64">
        <f t="shared" si="125"/>
        <v>0</v>
      </c>
      <c r="AD336" s="64">
        <f t="shared" si="126"/>
        <v>0</v>
      </c>
      <c r="AE336" s="64">
        <f t="shared" si="127"/>
        <v>0</v>
      </c>
      <c r="AF336" s="64">
        <f t="shared" si="128"/>
        <v>0</v>
      </c>
      <c r="AG336" s="29">
        <f t="shared" si="129"/>
        <v>227.6</v>
      </c>
    </row>
    <row r="337" spans="1:33" s="20" customFormat="1">
      <c r="A337" s="265">
        <v>12110002</v>
      </c>
      <c r="B337" s="265" t="s">
        <v>362</v>
      </c>
      <c r="C337" s="265" t="s">
        <v>524</v>
      </c>
      <c r="D337" s="265">
        <v>100000001</v>
      </c>
      <c r="E337" s="265" t="s">
        <v>51</v>
      </c>
      <c r="F337" s="265" t="s">
        <v>0</v>
      </c>
      <c r="G337" s="266">
        <v>6054.95</v>
      </c>
      <c r="H337" s="266">
        <v>6054.95</v>
      </c>
      <c r="I337" s="268">
        <v>45259</v>
      </c>
      <c r="J337" s="268">
        <v>46721</v>
      </c>
      <c r="K337" s="267"/>
      <c r="L337" s="224" t="str">
        <f t="shared" si="130"/>
        <v>12110002_AUD_100000001_NONGHYUP BANK SYDNEY BRANCH</v>
      </c>
      <c r="M337" s="221">
        <f t="shared" si="110"/>
        <v>6054.95</v>
      </c>
      <c r="N337" s="24" t="str">
        <f>IF(OR(L337=$L$2,L337=$L$3),$M$10+1,IFERROR(VLOOKUP(A337,'Repricing Maturity Adj.'!$A$3:$C$170,3,0),(IF(K337&lt;$M$10,"Check",K337))))</f>
        <v>Non_sensitive</v>
      </c>
      <c r="O337" s="62" t="b">
        <f t="shared" si="111"/>
        <v>1</v>
      </c>
      <c r="P337" s="63" t="str">
        <f t="shared" si="112"/>
        <v>Asset</v>
      </c>
      <c r="Q337" s="25">
        <f t="shared" si="113"/>
        <v>0</v>
      </c>
      <c r="R337" s="25">
        <f t="shared" si="114"/>
        <v>0</v>
      </c>
      <c r="S337" s="25">
        <f t="shared" si="115"/>
        <v>0</v>
      </c>
      <c r="T337" s="25">
        <f t="shared" si="116"/>
        <v>0</v>
      </c>
      <c r="U337" s="25">
        <f t="shared" si="117"/>
        <v>0</v>
      </c>
      <c r="V337" s="25">
        <f t="shared" si="118"/>
        <v>0</v>
      </c>
      <c r="W337" s="25">
        <f t="shared" si="119"/>
        <v>0</v>
      </c>
      <c r="X337" s="64">
        <f t="shared" si="120"/>
        <v>0</v>
      </c>
      <c r="Y337" s="64">
        <f t="shared" si="121"/>
        <v>0</v>
      </c>
      <c r="Z337" s="64">
        <f t="shared" si="122"/>
        <v>0</v>
      </c>
      <c r="AA337" s="64">
        <f t="shared" si="123"/>
        <v>0</v>
      </c>
      <c r="AB337" s="64">
        <f t="shared" si="124"/>
        <v>0</v>
      </c>
      <c r="AC337" s="64">
        <f t="shared" si="125"/>
        <v>0</v>
      </c>
      <c r="AD337" s="64">
        <f t="shared" si="126"/>
        <v>0</v>
      </c>
      <c r="AE337" s="64">
        <f t="shared" si="127"/>
        <v>0</v>
      </c>
      <c r="AF337" s="64">
        <f t="shared" si="128"/>
        <v>0</v>
      </c>
      <c r="AG337" s="29">
        <f t="shared" si="129"/>
        <v>6054.95</v>
      </c>
    </row>
    <row r="338" spans="1:33" s="20" customFormat="1">
      <c r="A338" s="265">
        <v>12110002</v>
      </c>
      <c r="B338" s="265" t="s">
        <v>362</v>
      </c>
      <c r="C338" s="265" t="s">
        <v>567</v>
      </c>
      <c r="D338" s="265">
        <v>100000001</v>
      </c>
      <c r="E338" s="265" t="s">
        <v>51</v>
      </c>
      <c r="F338" s="265" t="s">
        <v>0</v>
      </c>
      <c r="G338" s="266">
        <v>636</v>
      </c>
      <c r="H338" s="266">
        <v>636</v>
      </c>
      <c r="I338" s="268">
        <v>45443</v>
      </c>
      <c r="J338" s="268">
        <v>46904</v>
      </c>
      <c r="K338" s="267"/>
      <c r="L338" s="224" t="str">
        <f t="shared" si="130"/>
        <v>12110002_AUD_100000001_NONGHYUP BANK SYDNEY BRANCH</v>
      </c>
      <c r="M338" s="221">
        <f t="shared" si="110"/>
        <v>636</v>
      </c>
      <c r="N338" s="24" t="str">
        <f>IF(OR(L338=$L$2,L338=$L$3),$M$10+1,IFERROR(VLOOKUP(A338,'Repricing Maturity Adj.'!$A$3:$C$170,3,0),(IF(K338&lt;$M$10,"Check",K338))))</f>
        <v>Non_sensitive</v>
      </c>
      <c r="O338" s="62" t="b">
        <f t="shared" si="111"/>
        <v>1</v>
      </c>
      <c r="P338" s="63" t="str">
        <f t="shared" si="112"/>
        <v>Asset</v>
      </c>
      <c r="Q338" s="25">
        <f t="shared" si="113"/>
        <v>0</v>
      </c>
      <c r="R338" s="25">
        <f t="shared" si="114"/>
        <v>0</v>
      </c>
      <c r="S338" s="25">
        <f t="shared" si="115"/>
        <v>0</v>
      </c>
      <c r="T338" s="25">
        <f t="shared" si="116"/>
        <v>0</v>
      </c>
      <c r="U338" s="25">
        <f t="shared" si="117"/>
        <v>0</v>
      </c>
      <c r="V338" s="25">
        <f t="shared" si="118"/>
        <v>0</v>
      </c>
      <c r="W338" s="25">
        <f t="shared" si="119"/>
        <v>0</v>
      </c>
      <c r="X338" s="64">
        <f t="shared" si="120"/>
        <v>0</v>
      </c>
      <c r="Y338" s="64">
        <f t="shared" si="121"/>
        <v>0</v>
      </c>
      <c r="Z338" s="64">
        <f t="shared" si="122"/>
        <v>0</v>
      </c>
      <c r="AA338" s="64">
        <f t="shared" si="123"/>
        <v>0</v>
      </c>
      <c r="AB338" s="64">
        <f t="shared" si="124"/>
        <v>0</v>
      </c>
      <c r="AC338" s="64">
        <f t="shared" si="125"/>
        <v>0</v>
      </c>
      <c r="AD338" s="64">
        <f t="shared" si="126"/>
        <v>0</v>
      </c>
      <c r="AE338" s="64">
        <f t="shared" si="127"/>
        <v>0</v>
      </c>
      <c r="AF338" s="64">
        <f t="shared" si="128"/>
        <v>0</v>
      </c>
      <c r="AG338" s="29">
        <f t="shared" si="129"/>
        <v>636</v>
      </c>
    </row>
    <row r="339" spans="1:33" s="20" customFormat="1">
      <c r="A339" s="265">
        <v>12110002</v>
      </c>
      <c r="B339" s="265" t="s">
        <v>362</v>
      </c>
      <c r="C339" s="265" t="s">
        <v>623</v>
      </c>
      <c r="D339" s="265">
        <v>100000001</v>
      </c>
      <c r="E339" s="265" t="s">
        <v>51</v>
      </c>
      <c r="F339" s="265" t="s">
        <v>0</v>
      </c>
      <c r="G339" s="266">
        <v>300</v>
      </c>
      <c r="H339" s="266">
        <v>300</v>
      </c>
      <c r="I339" s="268">
        <v>45700</v>
      </c>
      <c r="J339" s="268">
        <v>47514</v>
      </c>
      <c r="K339" s="267"/>
      <c r="L339" s="224" t="str">
        <f t="shared" si="130"/>
        <v>12110002_AUD_100000001_NONGHYUP BANK SYDNEY BRANCH</v>
      </c>
      <c r="M339" s="221">
        <f t="shared" si="110"/>
        <v>300</v>
      </c>
      <c r="N339" s="24" t="str">
        <f>IF(OR(L339=$L$2,L339=$L$3),$M$10+1,IFERROR(VLOOKUP(A339,'Repricing Maturity Adj.'!$A$3:$C$170,3,0),(IF(K339&lt;$M$10,"Check",K339))))</f>
        <v>Non_sensitive</v>
      </c>
      <c r="O339" s="62" t="b">
        <f t="shared" si="111"/>
        <v>1</v>
      </c>
      <c r="P339" s="63" t="str">
        <f t="shared" si="112"/>
        <v>Asset</v>
      </c>
      <c r="Q339" s="25">
        <f t="shared" si="113"/>
        <v>0</v>
      </c>
      <c r="R339" s="25">
        <f t="shared" si="114"/>
        <v>0</v>
      </c>
      <c r="S339" s="25">
        <f t="shared" si="115"/>
        <v>0</v>
      </c>
      <c r="T339" s="25">
        <f t="shared" si="116"/>
        <v>0</v>
      </c>
      <c r="U339" s="25">
        <f t="shared" si="117"/>
        <v>0</v>
      </c>
      <c r="V339" s="25">
        <f t="shared" si="118"/>
        <v>0</v>
      </c>
      <c r="W339" s="25">
        <f t="shared" si="119"/>
        <v>0</v>
      </c>
      <c r="X339" s="64">
        <f t="shared" si="120"/>
        <v>0</v>
      </c>
      <c r="Y339" s="64">
        <f t="shared" si="121"/>
        <v>0</v>
      </c>
      <c r="Z339" s="64">
        <f t="shared" si="122"/>
        <v>0</v>
      </c>
      <c r="AA339" s="64">
        <f t="shared" si="123"/>
        <v>0</v>
      </c>
      <c r="AB339" s="64">
        <f t="shared" si="124"/>
        <v>0</v>
      </c>
      <c r="AC339" s="64">
        <f t="shared" si="125"/>
        <v>0</v>
      </c>
      <c r="AD339" s="64">
        <f t="shared" si="126"/>
        <v>0</v>
      </c>
      <c r="AE339" s="64">
        <f t="shared" si="127"/>
        <v>0</v>
      </c>
      <c r="AF339" s="64">
        <f t="shared" si="128"/>
        <v>0</v>
      </c>
      <c r="AG339" s="29">
        <f t="shared" si="129"/>
        <v>300</v>
      </c>
    </row>
    <row r="340" spans="1:33" s="20" customFormat="1">
      <c r="A340" s="265">
        <v>12110002</v>
      </c>
      <c r="B340" s="265" t="s">
        <v>362</v>
      </c>
      <c r="C340" s="265" t="s">
        <v>624</v>
      </c>
      <c r="D340" s="265">
        <v>100000001</v>
      </c>
      <c r="E340" s="265" t="s">
        <v>51</v>
      </c>
      <c r="F340" s="265" t="s">
        <v>0</v>
      </c>
      <c r="G340" s="266">
        <v>858</v>
      </c>
      <c r="H340" s="266">
        <v>858</v>
      </c>
      <c r="I340" s="268">
        <v>45727</v>
      </c>
      <c r="J340" s="268">
        <v>47177</v>
      </c>
      <c r="K340" s="267"/>
      <c r="L340" s="224" t="str">
        <f t="shared" si="130"/>
        <v>12110002_AUD_100000001_NONGHYUP BANK SYDNEY BRANCH</v>
      </c>
      <c r="M340" s="221">
        <f t="shared" si="110"/>
        <v>858</v>
      </c>
      <c r="N340" s="24" t="str">
        <f>IF(OR(L340=$L$2,L340=$L$3),$M$10+1,IFERROR(VLOOKUP(A340,'Repricing Maturity Adj.'!$A$3:$C$170,3,0),(IF(K340&lt;$M$10,"Check",K340))))</f>
        <v>Non_sensitive</v>
      </c>
      <c r="O340" s="62" t="b">
        <f t="shared" si="111"/>
        <v>1</v>
      </c>
      <c r="P340" s="63" t="str">
        <f t="shared" si="112"/>
        <v>Asset</v>
      </c>
      <c r="Q340" s="25">
        <f t="shared" si="113"/>
        <v>0</v>
      </c>
      <c r="R340" s="25">
        <f t="shared" si="114"/>
        <v>0</v>
      </c>
      <c r="S340" s="25">
        <f t="shared" si="115"/>
        <v>0</v>
      </c>
      <c r="T340" s="25">
        <f t="shared" si="116"/>
        <v>0</v>
      </c>
      <c r="U340" s="25">
        <f t="shared" si="117"/>
        <v>0</v>
      </c>
      <c r="V340" s="25">
        <f t="shared" si="118"/>
        <v>0</v>
      </c>
      <c r="W340" s="25">
        <f t="shared" si="119"/>
        <v>0</v>
      </c>
      <c r="X340" s="64">
        <f t="shared" si="120"/>
        <v>0</v>
      </c>
      <c r="Y340" s="64">
        <f t="shared" si="121"/>
        <v>0</v>
      </c>
      <c r="Z340" s="64">
        <f t="shared" si="122"/>
        <v>0</v>
      </c>
      <c r="AA340" s="64">
        <f t="shared" si="123"/>
        <v>0</v>
      </c>
      <c r="AB340" s="64">
        <f t="shared" si="124"/>
        <v>0</v>
      </c>
      <c r="AC340" s="64">
        <f t="shared" si="125"/>
        <v>0</v>
      </c>
      <c r="AD340" s="64">
        <f t="shared" si="126"/>
        <v>0</v>
      </c>
      <c r="AE340" s="64">
        <f t="shared" si="127"/>
        <v>0</v>
      </c>
      <c r="AF340" s="64">
        <f t="shared" si="128"/>
        <v>0</v>
      </c>
      <c r="AG340" s="29">
        <f t="shared" si="129"/>
        <v>858</v>
      </c>
    </row>
    <row r="341" spans="1:33" s="20" customFormat="1">
      <c r="A341" s="265">
        <v>12110002</v>
      </c>
      <c r="B341" s="265" t="s">
        <v>362</v>
      </c>
      <c r="C341" s="265" t="s">
        <v>625</v>
      </c>
      <c r="D341" s="265">
        <v>100000001</v>
      </c>
      <c r="E341" s="265" t="s">
        <v>51</v>
      </c>
      <c r="F341" s="265" t="s">
        <v>0</v>
      </c>
      <c r="G341" s="266">
        <v>1917</v>
      </c>
      <c r="H341" s="266">
        <v>1917</v>
      </c>
      <c r="I341" s="268">
        <v>45727</v>
      </c>
      <c r="J341" s="268">
        <v>47177</v>
      </c>
      <c r="K341" s="267"/>
      <c r="L341" s="224" t="str">
        <f t="shared" si="130"/>
        <v>12110002_AUD_100000001_NONGHYUP BANK SYDNEY BRANCH</v>
      </c>
      <c r="M341" s="221">
        <f t="shared" si="110"/>
        <v>1917</v>
      </c>
      <c r="N341" s="24" t="str">
        <f>IF(OR(L341=$L$2,L341=$L$3),$M$10+1,IFERROR(VLOOKUP(A341,'Repricing Maturity Adj.'!$A$3:$C$170,3,0),(IF(K341&lt;$M$10,"Check",K341))))</f>
        <v>Non_sensitive</v>
      </c>
      <c r="O341" s="62" t="b">
        <f t="shared" si="111"/>
        <v>1</v>
      </c>
      <c r="P341" s="63" t="str">
        <f t="shared" si="112"/>
        <v>Asset</v>
      </c>
      <c r="Q341" s="25">
        <f t="shared" si="113"/>
        <v>0</v>
      </c>
      <c r="R341" s="25">
        <f t="shared" si="114"/>
        <v>0</v>
      </c>
      <c r="S341" s="25">
        <f t="shared" si="115"/>
        <v>0</v>
      </c>
      <c r="T341" s="25">
        <f t="shared" si="116"/>
        <v>0</v>
      </c>
      <c r="U341" s="25">
        <f t="shared" si="117"/>
        <v>0</v>
      </c>
      <c r="V341" s="25">
        <f t="shared" si="118"/>
        <v>0</v>
      </c>
      <c r="W341" s="25">
        <f t="shared" si="119"/>
        <v>0</v>
      </c>
      <c r="X341" s="64">
        <f t="shared" si="120"/>
        <v>0</v>
      </c>
      <c r="Y341" s="64">
        <f t="shared" si="121"/>
        <v>0</v>
      </c>
      <c r="Z341" s="64">
        <f t="shared" si="122"/>
        <v>0</v>
      </c>
      <c r="AA341" s="64">
        <f t="shared" si="123"/>
        <v>0</v>
      </c>
      <c r="AB341" s="64">
        <f t="shared" si="124"/>
        <v>0</v>
      </c>
      <c r="AC341" s="64">
        <f t="shared" si="125"/>
        <v>0</v>
      </c>
      <c r="AD341" s="64">
        <f t="shared" si="126"/>
        <v>0</v>
      </c>
      <c r="AE341" s="64">
        <f t="shared" si="127"/>
        <v>0</v>
      </c>
      <c r="AF341" s="64">
        <f t="shared" si="128"/>
        <v>0</v>
      </c>
      <c r="AG341" s="29">
        <f t="shared" si="129"/>
        <v>1917</v>
      </c>
    </row>
    <row r="342" spans="1:33" s="20" customFormat="1">
      <c r="A342" s="265">
        <v>12110002</v>
      </c>
      <c r="B342" s="265" t="s">
        <v>362</v>
      </c>
      <c r="C342" s="265" t="s">
        <v>626</v>
      </c>
      <c r="D342" s="265">
        <v>100000001</v>
      </c>
      <c r="E342" s="265" t="s">
        <v>51</v>
      </c>
      <c r="F342" s="265" t="s">
        <v>0</v>
      </c>
      <c r="G342" s="266">
        <v>1699</v>
      </c>
      <c r="H342" s="266">
        <v>1699</v>
      </c>
      <c r="I342" s="268">
        <v>45727</v>
      </c>
      <c r="J342" s="268">
        <v>47177</v>
      </c>
      <c r="K342" s="267"/>
      <c r="L342" s="224" t="str">
        <f t="shared" si="130"/>
        <v>12110002_AUD_100000001_NONGHYUP BANK SYDNEY BRANCH</v>
      </c>
      <c r="M342" s="221">
        <f t="shared" si="110"/>
        <v>1699</v>
      </c>
      <c r="N342" s="24" t="str">
        <f>IF(OR(L342=$L$2,L342=$L$3),$M$10+1,IFERROR(VLOOKUP(A342,'Repricing Maturity Adj.'!$A$3:$C$170,3,0),(IF(K342&lt;$M$10,"Check",K342))))</f>
        <v>Non_sensitive</v>
      </c>
      <c r="O342" s="62" t="b">
        <f t="shared" si="111"/>
        <v>1</v>
      </c>
      <c r="P342" s="63" t="str">
        <f t="shared" si="112"/>
        <v>Asset</v>
      </c>
      <c r="Q342" s="25">
        <f t="shared" si="113"/>
        <v>0</v>
      </c>
      <c r="R342" s="25">
        <f t="shared" si="114"/>
        <v>0</v>
      </c>
      <c r="S342" s="25">
        <f t="shared" si="115"/>
        <v>0</v>
      </c>
      <c r="T342" s="25">
        <f t="shared" si="116"/>
        <v>0</v>
      </c>
      <c r="U342" s="25">
        <f t="shared" si="117"/>
        <v>0</v>
      </c>
      <c r="V342" s="25">
        <f t="shared" si="118"/>
        <v>0</v>
      </c>
      <c r="W342" s="25">
        <f t="shared" si="119"/>
        <v>0</v>
      </c>
      <c r="X342" s="64">
        <f t="shared" si="120"/>
        <v>0</v>
      </c>
      <c r="Y342" s="64">
        <f t="shared" si="121"/>
        <v>0</v>
      </c>
      <c r="Z342" s="64">
        <f t="shared" si="122"/>
        <v>0</v>
      </c>
      <c r="AA342" s="64">
        <f t="shared" si="123"/>
        <v>0</v>
      </c>
      <c r="AB342" s="64">
        <f t="shared" si="124"/>
        <v>0</v>
      </c>
      <c r="AC342" s="64">
        <f t="shared" si="125"/>
        <v>0</v>
      </c>
      <c r="AD342" s="64">
        <f t="shared" si="126"/>
        <v>0</v>
      </c>
      <c r="AE342" s="64">
        <f t="shared" si="127"/>
        <v>0</v>
      </c>
      <c r="AF342" s="64">
        <f t="shared" si="128"/>
        <v>0</v>
      </c>
      <c r="AG342" s="29">
        <f t="shared" si="129"/>
        <v>1699</v>
      </c>
    </row>
    <row r="343" spans="1:33" s="20" customFormat="1">
      <c r="A343" s="265">
        <v>12110002</v>
      </c>
      <c r="B343" s="265" t="s">
        <v>362</v>
      </c>
      <c r="C343" s="265" t="s">
        <v>627</v>
      </c>
      <c r="D343" s="265">
        <v>100000001</v>
      </c>
      <c r="E343" s="265" t="s">
        <v>51</v>
      </c>
      <c r="F343" s="265" t="s">
        <v>0</v>
      </c>
      <c r="G343" s="266">
        <v>1698.99</v>
      </c>
      <c r="H343" s="266">
        <v>1698.99</v>
      </c>
      <c r="I343" s="268">
        <v>45727</v>
      </c>
      <c r="J343" s="268">
        <v>47177</v>
      </c>
      <c r="K343" s="267"/>
      <c r="L343" s="224" t="str">
        <f t="shared" si="130"/>
        <v>12110002_AUD_100000001_NONGHYUP BANK SYDNEY BRANCH</v>
      </c>
      <c r="M343" s="221">
        <f t="shared" si="110"/>
        <v>1698.99</v>
      </c>
      <c r="N343" s="24" t="str">
        <f>IF(OR(L343=$L$2,L343=$L$3),$M$10+1,IFERROR(VLOOKUP(A343,'Repricing Maturity Adj.'!$A$3:$C$170,3,0),(IF(K343&lt;$M$10,"Check",K343))))</f>
        <v>Non_sensitive</v>
      </c>
      <c r="O343" s="62" t="b">
        <f t="shared" si="111"/>
        <v>1</v>
      </c>
      <c r="P343" s="63" t="str">
        <f t="shared" si="112"/>
        <v>Asset</v>
      </c>
      <c r="Q343" s="25">
        <f t="shared" si="113"/>
        <v>0</v>
      </c>
      <c r="R343" s="25">
        <f t="shared" si="114"/>
        <v>0</v>
      </c>
      <c r="S343" s="25">
        <f t="shared" si="115"/>
        <v>0</v>
      </c>
      <c r="T343" s="25">
        <f t="shared" si="116"/>
        <v>0</v>
      </c>
      <c r="U343" s="25">
        <f t="shared" si="117"/>
        <v>0</v>
      </c>
      <c r="V343" s="25">
        <f t="shared" si="118"/>
        <v>0</v>
      </c>
      <c r="W343" s="25">
        <f t="shared" si="119"/>
        <v>0</v>
      </c>
      <c r="X343" s="64">
        <f t="shared" si="120"/>
        <v>0</v>
      </c>
      <c r="Y343" s="64">
        <f t="shared" si="121"/>
        <v>0</v>
      </c>
      <c r="Z343" s="64">
        <f t="shared" si="122"/>
        <v>0</v>
      </c>
      <c r="AA343" s="64">
        <f t="shared" si="123"/>
        <v>0</v>
      </c>
      <c r="AB343" s="64">
        <f t="shared" si="124"/>
        <v>0</v>
      </c>
      <c r="AC343" s="64">
        <f t="shared" si="125"/>
        <v>0</v>
      </c>
      <c r="AD343" s="64">
        <f t="shared" si="126"/>
        <v>0</v>
      </c>
      <c r="AE343" s="64">
        <f t="shared" si="127"/>
        <v>0</v>
      </c>
      <c r="AF343" s="64">
        <f t="shared" si="128"/>
        <v>0</v>
      </c>
      <c r="AG343" s="29">
        <f t="shared" si="129"/>
        <v>1698.99</v>
      </c>
    </row>
    <row r="344" spans="1:33" s="20" customFormat="1">
      <c r="A344" s="265">
        <v>12110002</v>
      </c>
      <c r="B344" s="265" t="s">
        <v>362</v>
      </c>
      <c r="C344" s="265" t="s">
        <v>360</v>
      </c>
      <c r="D344" s="265">
        <v>100000001</v>
      </c>
      <c r="E344" s="265" t="s">
        <v>51</v>
      </c>
      <c r="F344" s="265" t="s">
        <v>0</v>
      </c>
      <c r="G344" s="266">
        <v>-424.08</v>
      </c>
      <c r="H344" s="266">
        <v>-424.08</v>
      </c>
      <c r="I344" s="267"/>
      <c r="J344" s="267"/>
      <c r="K344" s="267"/>
      <c r="L344" s="224" t="str">
        <f t="shared" si="130"/>
        <v>12110002_AUD_100000001_NONGHYUP BANK SYDNEY BRANCH</v>
      </c>
      <c r="M344" s="221">
        <f t="shared" si="110"/>
        <v>-424.08</v>
      </c>
      <c r="N344" s="24" t="str">
        <f>IF(OR(L344=$L$2,L344=$L$3),$M$10+1,IFERROR(VLOOKUP(A344,'Repricing Maturity Adj.'!$A$3:$C$170,3,0),(IF(K344&lt;$M$10,"Check",K344))))</f>
        <v>Non_sensitive</v>
      </c>
      <c r="O344" s="62" t="b">
        <f t="shared" si="111"/>
        <v>1</v>
      </c>
      <c r="P344" s="63" t="str">
        <f t="shared" si="112"/>
        <v>Asset</v>
      </c>
      <c r="Q344" s="25">
        <f t="shared" si="113"/>
        <v>0</v>
      </c>
      <c r="R344" s="25">
        <f t="shared" si="114"/>
        <v>0</v>
      </c>
      <c r="S344" s="25">
        <f t="shared" si="115"/>
        <v>0</v>
      </c>
      <c r="T344" s="25">
        <f t="shared" si="116"/>
        <v>0</v>
      </c>
      <c r="U344" s="25">
        <f t="shared" si="117"/>
        <v>0</v>
      </c>
      <c r="V344" s="25">
        <f t="shared" si="118"/>
        <v>0</v>
      </c>
      <c r="W344" s="25">
        <f t="shared" si="119"/>
        <v>0</v>
      </c>
      <c r="X344" s="64">
        <f t="shared" si="120"/>
        <v>0</v>
      </c>
      <c r="Y344" s="64">
        <f t="shared" si="121"/>
        <v>0</v>
      </c>
      <c r="Z344" s="64">
        <f t="shared" si="122"/>
        <v>0</v>
      </c>
      <c r="AA344" s="64">
        <f t="shared" si="123"/>
        <v>0</v>
      </c>
      <c r="AB344" s="64">
        <f t="shared" si="124"/>
        <v>0</v>
      </c>
      <c r="AC344" s="64">
        <f t="shared" si="125"/>
        <v>0</v>
      </c>
      <c r="AD344" s="64">
        <f t="shared" si="126"/>
        <v>0</v>
      </c>
      <c r="AE344" s="64">
        <f t="shared" si="127"/>
        <v>0</v>
      </c>
      <c r="AF344" s="64">
        <f t="shared" si="128"/>
        <v>0</v>
      </c>
      <c r="AG344" s="29">
        <f t="shared" si="129"/>
        <v>-424.08</v>
      </c>
    </row>
    <row r="345" spans="1:33" s="20" customFormat="1">
      <c r="A345" s="265">
        <v>12110004</v>
      </c>
      <c r="B345" s="265" t="s">
        <v>393</v>
      </c>
      <c r="C345" s="265" t="s">
        <v>394</v>
      </c>
      <c r="D345" s="265">
        <v>100000001</v>
      </c>
      <c r="E345" s="265" t="s">
        <v>51</v>
      </c>
      <c r="F345" s="265" t="s">
        <v>0</v>
      </c>
      <c r="G345" s="266">
        <v>3408</v>
      </c>
      <c r="H345" s="266">
        <v>3408</v>
      </c>
      <c r="I345" s="268">
        <v>44621</v>
      </c>
      <c r="J345" s="268">
        <v>46446</v>
      </c>
      <c r="K345" s="267"/>
      <c r="L345" s="224" t="str">
        <f t="shared" si="130"/>
        <v>12110004_AUD_100000001_NONGHYUP BANK SYDNEY BRANCH</v>
      </c>
      <c r="M345" s="221">
        <f t="shared" si="110"/>
        <v>3408</v>
      </c>
      <c r="N345" s="24" t="str">
        <f>IF(OR(L345=$L$2,L345=$L$3),$M$10+1,IFERROR(VLOOKUP(A345,'Repricing Maturity Adj.'!$A$3:$C$170,3,0),(IF(K345&lt;$M$10,"Check",K345))))</f>
        <v>Non_sensitive</v>
      </c>
      <c r="O345" s="62" t="b">
        <f t="shared" si="111"/>
        <v>1</v>
      </c>
      <c r="P345" s="63" t="str">
        <f t="shared" si="112"/>
        <v>Asset</v>
      </c>
      <c r="Q345" s="25">
        <f t="shared" si="113"/>
        <v>0</v>
      </c>
      <c r="R345" s="25">
        <f t="shared" si="114"/>
        <v>0</v>
      </c>
      <c r="S345" s="25">
        <f t="shared" si="115"/>
        <v>0</v>
      </c>
      <c r="T345" s="25">
        <f t="shared" si="116"/>
        <v>0</v>
      </c>
      <c r="U345" s="25">
        <f t="shared" si="117"/>
        <v>0</v>
      </c>
      <c r="V345" s="25">
        <f t="shared" si="118"/>
        <v>0</v>
      </c>
      <c r="W345" s="25">
        <f t="shared" si="119"/>
        <v>0</v>
      </c>
      <c r="X345" s="64">
        <f t="shared" si="120"/>
        <v>0</v>
      </c>
      <c r="Y345" s="64">
        <f t="shared" si="121"/>
        <v>0</v>
      </c>
      <c r="Z345" s="64">
        <f t="shared" si="122"/>
        <v>0</v>
      </c>
      <c r="AA345" s="64">
        <f t="shared" si="123"/>
        <v>0</v>
      </c>
      <c r="AB345" s="64">
        <f t="shared" si="124"/>
        <v>0</v>
      </c>
      <c r="AC345" s="64">
        <f t="shared" si="125"/>
        <v>0</v>
      </c>
      <c r="AD345" s="64">
        <f t="shared" si="126"/>
        <v>0</v>
      </c>
      <c r="AE345" s="64">
        <f t="shared" si="127"/>
        <v>0</v>
      </c>
      <c r="AF345" s="64">
        <f t="shared" si="128"/>
        <v>0</v>
      </c>
      <c r="AG345" s="29">
        <f t="shared" si="129"/>
        <v>3408</v>
      </c>
    </row>
    <row r="346" spans="1:33" s="20" customFormat="1">
      <c r="A346" s="265">
        <v>12110004</v>
      </c>
      <c r="B346" s="265" t="s">
        <v>393</v>
      </c>
      <c r="C346" s="265" t="s">
        <v>395</v>
      </c>
      <c r="D346" s="265">
        <v>100000001</v>
      </c>
      <c r="E346" s="265" t="s">
        <v>51</v>
      </c>
      <c r="F346" s="265" t="s">
        <v>0</v>
      </c>
      <c r="G346" s="266">
        <v>985.68</v>
      </c>
      <c r="H346" s="266">
        <v>985.68</v>
      </c>
      <c r="I346" s="268">
        <v>44621</v>
      </c>
      <c r="J346" s="268">
        <v>46387</v>
      </c>
      <c r="K346" s="267"/>
      <c r="L346" s="224" t="str">
        <f t="shared" si="130"/>
        <v>12110004_AUD_100000001_NONGHYUP BANK SYDNEY BRANCH</v>
      </c>
      <c r="M346" s="221">
        <f t="shared" si="110"/>
        <v>985.68</v>
      </c>
      <c r="N346" s="24" t="str">
        <f>IF(OR(L346=$L$2,L346=$L$3),$M$10+1,IFERROR(VLOOKUP(A346,'Repricing Maturity Adj.'!$A$3:$C$170,3,0),(IF(K346&lt;$M$10,"Check",K346))))</f>
        <v>Non_sensitive</v>
      </c>
      <c r="O346" s="62" t="b">
        <f t="shared" si="111"/>
        <v>1</v>
      </c>
      <c r="P346" s="63" t="str">
        <f t="shared" si="112"/>
        <v>Asset</v>
      </c>
      <c r="Q346" s="25">
        <f t="shared" si="113"/>
        <v>0</v>
      </c>
      <c r="R346" s="25">
        <f t="shared" si="114"/>
        <v>0</v>
      </c>
      <c r="S346" s="25">
        <f t="shared" si="115"/>
        <v>0</v>
      </c>
      <c r="T346" s="25">
        <f t="shared" si="116"/>
        <v>0</v>
      </c>
      <c r="U346" s="25">
        <f t="shared" si="117"/>
        <v>0</v>
      </c>
      <c r="V346" s="25">
        <f t="shared" si="118"/>
        <v>0</v>
      </c>
      <c r="W346" s="25">
        <f t="shared" si="119"/>
        <v>0</v>
      </c>
      <c r="X346" s="64">
        <f t="shared" si="120"/>
        <v>0</v>
      </c>
      <c r="Y346" s="64">
        <f t="shared" si="121"/>
        <v>0</v>
      </c>
      <c r="Z346" s="64">
        <f t="shared" si="122"/>
        <v>0</v>
      </c>
      <c r="AA346" s="64">
        <f t="shared" si="123"/>
        <v>0</v>
      </c>
      <c r="AB346" s="64">
        <f t="shared" si="124"/>
        <v>0</v>
      </c>
      <c r="AC346" s="64">
        <f t="shared" si="125"/>
        <v>0</v>
      </c>
      <c r="AD346" s="64">
        <f t="shared" si="126"/>
        <v>0</v>
      </c>
      <c r="AE346" s="64">
        <f t="shared" si="127"/>
        <v>0</v>
      </c>
      <c r="AF346" s="64">
        <f t="shared" si="128"/>
        <v>0</v>
      </c>
      <c r="AG346" s="29">
        <f t="shared" si="129"/>
        <v>985.68</v>
      </c>
    </row>
    <row r="347" spans="1:33" s="20" customFormat="1">
      <c r="A347" s="265">
        <v>12110004</v>
      </c>
      <c r="B347" s="265" t="s">
        <v>393</v>
      </c>
      <c r="C347" s="265" t="s">
        <v>396</v>
      </c>
      <c r="D347" s="265">
        <v>100000001</v>
      </c>
      <c r="E347" s="265" t="s">
        <v>51</v>
      </c>
      <c r="F347" s="265" t="s">
        <v>0</v>
      </c>
      <c r="G347" s="266">
        <v>2919.56</v>
      </c>
      <c r="H347" s="266">
        <v>2919.56</v>
      </c>
      <c r="I347" s="268">
        <v>44621</v>
      </c>
      <c r="J347" s="268">
        <v>46387</v>
      </c>
      <c r="K347" s="267"/>
      <c r="L347" s="224" t="str">
        <f t="shared" si="130"/>
        <v>12110004_AUD_100000001_NONGHYUP BANK SYDNEY BRANCH</v>
      </c>
      <c r="M347" s="221">
        <f t="shared" si="110"/>
        <v>2919.56</v>
      </c>
      <c r="N347" s="24" t="str">
        <f>IF(OR(L347=$L$2,L347=$L$3),$M$10+1,IFERROR(VLOOKUP(A347,'Repricing Maturity Adj.'!$A$3:$C$170,3,0),(IF(K347&lt;$M$10,"Check",K347))))</f>
        <v>Non_sensitive</v>
      </c>
      <c r="O347" s="62" t="b">
        <f t="shared" si="111"/>
        <v>1</v>
      </c>
      <c r="P347" s="63" t="str">
        <f t="shared" si="112"/>
        <v>Asset</v>
      </c>
      <c r="Q347" s="25">
        <f t="shared" si="113"/>
        <v>0</v>
      </c>
      <c r="R347" s="25">
        <f t="shared" si="114"/>
        <v>0</v>
      </c>
      <c r="S347" s="25">
        <f t="shared" si="115"/>
        <v>0</v>
      </c>
      <c r="T347" s="25">
        <f t="shared" si="116"/>
        <v>0</v>
      </c>
      <c r="U347" s="25">
        <f t="shared" si="117"/>
        <v>0</v>
      </c>
      <c r="V347" s="25">
        <f t="shared" si="118"/>
        <v>0</v>
      </c>
      <c r="W347" s="25">
        <f t="shared" si="119"/>
        <v>0</v>
      </c>
      <c r="X347" s="64">
        <f t="shared" si="120"/>
        <v>0</v>
      </c>
      <c r="Y347" s="64">
        <f t="shared" si="121"/>
        <v>0</v>
      </c>
      <c r="Z347" s="64">
        <f t="shared" si="122"/>
        <v>0</v>
      </c>
      <c r="AA347" s="64">
        <f t="shared" si="123"/>
        <v>0</v>
      </c>
      <c r="AB347" s="64">
        <f t="shared" si="124"/>
        <v>0</v>
      </c>
      <c r="AC347" s="64">
        <f t="shared" si="125"/>
        <v>0</v>
      </c>
      <c r="AD347" s="64">
        <f t="shared" si="126"/>
        <v>0</v>
      </c>
      <c r="AE347" s="64">
        <f t="shared" si="127"/>
        <v>0</v>
      </c>
      <c r="AF347" s="64">
        <f t="shared" si="128"/>
        <v>0</v>
      </c>
      <c r="AG347" s="29">
        <f t="shared" si="129"/>
        <v>2919.56</v>
      </c>
    </row>
    <row r="348" spans="1:33" s="20" customFormat="1">
      <c r="A348" s="265">
        <v>12110004</v>
      </c>
      <c r="B348" s="265" t="s">
        <v>393</v>
      </c>
      <c r="C348" s="265" t="s">
        <v>397</v>
      </c>
      <c r="D348" s="265">
        <v>100000001</v>
      </c>
      <c r="E348" s="265" t="s">
        <v>51</v>
      </c>
      <c r="F348" s="265" t="s">
        <v>0</v>
      </c>
      <c r="G348" s="266">
        <v>15078.57</v>
      </c>
      <c r="H348" s="266">
        <v>15078.57</v>
      </c>
      <c r="I348" s="268">
        <v>44621</v>
      </c>
      <c r="J348" s="268">
        <v>46387</v>
      </c>
      <c r="K348" s="267"/>
      <c r="L348" s="224" t="str">
        <f t="shared" si="130"/>
        <v>12110004_AUD_100000001_NONGHYUP BANK SYDNEY BRANCH</v>
      </c>
      <c r="M348" s="221">
        <f t="shared" si="110"/>
        <v>15078.57</v>
      </c>
      <c r="N348" s="24" t="str">
        <f>IF(OR(L348=$L$2,L348=$L$3),$M$10+1,IFERROR(VLOOKUP(A348,'Repricing Maturity Adj.'!$A$3:$C$170,3,0),(IF(K348&lt;$M$10,"Check",K348))))</f>
        <v>Non_sensitive</v>
      </c>
      <c r="O348" s="62" t="b">
        <f t="shared" si="111"/>
        <v>1</v>
      </c>
      <c r="P348" s="63" t="str">
        <f t="shared" si="112"/>
        <v>Asset</v>
      </c>
      <c r="Q348" s="25">
        <f t="shared" si="113"/>
        <v>0</v>
      </c>
      <c r="R348" s="25">
        <f t="shared" si="114"/>
        <v>0</v>
      </c>
      <c r="S348" s="25">
        <f t="shared" si="115"/>
        <v>0</v>
      </c>
      <c r="T348" s="25">
        <f t="shared" si="116"/>
        <v>0</v>
      </c>
      <c r="U348" s="25">
        <f t="shared" si="117"/>
        <v>0</v>
      </c>
      <c r="V348" s="25">
        <f t="shared" si="118"/>
        <v>0</v>
      </c>
      <c r="W348" s="25">
        <f t="shared" si="119"/>
        <v>0</v>
      </c>
      <c r="X348" s="64">
        <f t="shared" si="120"/>
        <v>0</v>
      </c>
      <c r="Y348" s="64">
        <f t="shared" si="121"/>
        <v>0</v>
      </c>
      <c r="Z348" s="64">
        <f t="shared" si="122"/>
        <v>0</v>
      </c>
      <c r="AA348" s="64">
        <f t="shared" si="123"/>
        <v>0</v>
      </c>
      <c r="AB348" s="64">
        <f t="shared" si="124"/>
        <v>0</v>
      </c>
      <c r="AC348" s="64">
        <f t="shared" si="125"/>
        <v>0</v>
      </c>
      <c r="AD348" s="64">
        <f t="shared" si="126"/>
        <v>0</v>
      </c>
      <c r="AE348" s="64">
        <f t="shared" si="127"/>
        <v>0</v>
      </c>
      <c r="AF348" s="64">
        <f t="shared" si="128"/>
        <v>0</v>
      </c>
      <c r="AG348" s="29">
        <f t="shared" si="129"/>
        <v>15078.57</v>
      </c>
    </row>
    <row r="349" spans="1:33" s="20" customFormat="1">
      <c r="A349" s="265">
        <v>12110004</v>
      </c>
      <c r="B349" s="265" t="s">
        <v>393</v>
      </c>
      <c r="C349" s="265" t="s">
        <v>525</v>
      </c>
      <c r="D349" s="265">
        <v>100000001</v>
      </c>
      <c r="E349" s="265" t="s">
        <v>51</v>
      </c>
      <c r="F349" s="265" t="s">
        <v>0</v>
      </c>
      <c r="G349" s="266">
        <v>19445.8</v>
      </c>
      <c r="H349" s="266">
        <v>19445.8</v>
      </c>
      <c r="I349" s="268">
        <v>45252</v>
      </c>
      <c r="J349" s="268">
        <v>47087</v>
      </c>
      <c r="K349" s="267"/>
      <c r="L349" s="224" t="str">
        <f t="shared" si="130"/>
        <v>12110004_AUD_100000001_NONGHYUP BANK SYDNEY BRANCH</v>
      </c>
      <c r="M349" s="221">
        <f t="shared" si="110"/>
        <v>19445.8</v>
      </c>
      <c r="N349" s="24" t="str">
        <f>IF(OR(L349=$L$2,L349=$L$3),$M$10+1,IFERROR(VLOOKUP(A349,'Repricing Maturity Adj.'!$A$3:$C$170,3,0),(IF(K349&lt;$M$10,"Check",K349))))</f>
        <v>Non_sensitive</v>
      </c>
      <c r="O349" s="62" t="b">
        <f t="shared" si="111"/>
        <v>1</v>
      </c>
      <c r="P349" s="63" t="str">
        <f t="shared" si="112"/>
        <v>Asset</v>
      </c>
      <c r="Q349" s="25">
        <f t="shared" si="113"/>
        <v>0</v>
      </c>
      <c r="R349" s="25">
        <f t="shared" si="114"/>
        <v>0</v>
      </c>
      <c r="S349" s="25">
        <f t="shared" si="115"/>
        <v>0</v>
      </c>
      <c r="T349" s="25">
        <f t="shared" si="116"/>
        <v>0</v>
      </c>
      <c r="U349" s="25">
        <f t="shared" si="117"/>
        <v>0</v>
      </c>
      <c r="V349" s="25">
        <f t="shared" si="118"/>
        <v>0</v>
      </c>
      <c r="W349" s="25">
        <f t="shared" si="119"/>
        <v>0</v>
      </c>
      <c r="X349" s="64">
        <f t="shared" si="120"/>
        <v>0</v>
      </c>
      <c r="Y349" s="64">
        <f t="shared" si="121"/>
        <v>0</v>
      </c>
      <c r="Z349" s="64">
        <f t="shared" si="122"/>
        <v>0</v>
      </c>
      <c r="AA349" s="64">
        <f t="shared" si="123"/>
        <v>0</v>
      </c>
      <c r="AB349" s="64">
        <f t="shared" si="124"/>
        <v>0</v>
      </c>
      <c r="AC349" s="64">
        <f t="shared" si="125"/>
        <v>0</v>
      </c>
      <c r="AD349" s="64">
        <f t="shared" si="126"/>
        <v>0</v>
      </c>
      <c r="AE349" s="64">
        <f t="shared" si="127"/>
        <v>0</v>
      </c>
      <c r="AF349" s="64">
        <f t="shared" si="128"/>
        <v>0</v>
      </c>
      <c r="AG349" s="29">
        <f t="shared" si="129"/>
        <v>19445.8</v>
      </c>
    </row>
    <row r="350" spans="1:33" s="20" customFormat="1">
      <c r="A350" s="265">
        <v>12110004</v>
      </c>
      <c r="B350" s="265" t="s">
        <v>393</v>
      </c>
      <c r="C350" s="265" t="s">
        <v>653</v>
      </c>
      <c r="D350" s="265">
        <v>100000001</v>
      </c>
      <c r="E350" s="265" t="s">
        <v>51</v>
      </c>
      <c r="F350" s="265" t="s">
        <v>0</v>
      </c>
      <c r="G350" s="266">
        <v>1662</v>
      </c>
      <c r="H350" s="266">
        <v>1662</v>
      </c>
      <c r="I350" s="268">
        <v>45750</v>
      </c>
      <c r="J350" s="268">
        <v>47573</v>
      </c>
      <c r="K350" s="267"/>
      <c r="L350" s="224" t="str">
        <f t="shared" si="130"/>
        <v>12110004_AUD_100000001_NONGHYUP BANK SYDNEY BRANCH</v>
      </c>
      <c r="M350" s="221">
        <f t="shared" si="110"/>
        <v>1662</v>
      </c>
      <c r="N350" s="24" t="str">
        <f>IF(OR(L350=$L$2,L350=$L$3),$M$10+1,IFERROR(VLOOKUP(A350,'Repricing Maturity Adj.'!$A$3:$C$170,3,0),(IF(K350&lt;$M$10,"Check",K350))))</f>
        <v>Non_sensitive</v>
      </c>
      <c r="O350" s="62" t="b">
        <f t="shared" si="111"/>
        <v>1</v>
      </c>
      <c r="P350" s="63" t="str">
        <f t="shared" si="112"/>
        <v>Asset</v>
      </c>
      <c r="Q350" s="25">
        <f t="shared" si="113"/>
        <v>0</v>
      </c>
      <c r="R350" s="25">
        <f t="shared" si="114"/>
        <v>0</v>
      </c>
      <c r="S350" s="25">
        <f t="shared" si="115"/>
        <v>0</v>
      </c>
      <c r="T350" s="25">
        <f t="shared" si="116"/>
        <v>0</v>
      </c>
      <c r="U350" s="25">
        <f t="shared" si="117"/>
        <v>0</v>
      </c>
      <c r="V350" s="25">
        <f t="shared" si="118"/>
        <v>0</v>
      </c>
      <c r="W350" s="25">
        <f t="shared" si="119"/>
        <v>0</v>
      </c>
      <c r="X350" s="64">
        <f t="shared" si="120"/>
        <v>0</v>
      </c>
      <c r="Y350" s="64">
        <f t="shared" si="121"/>
        <v>0</v>
      </c>
      <c r="Z350" s="64">
        <f t="shared" si="122"/>
        <v>0</v>
      </c>
      <c r="AA350" s="64">
        <f t="shared" si="123"/>
        <v>0</v>
      </c>
      <c r="AB350" s="64">
        <f t="shared" si="124"/>
        <v>0</v>
      </c>
      <c r="AC350" s="64">
        <f t="shared" si="125"/>
        <v>0</v>
      </c>
      <c r="AD350" s="64">
        <f t="shared" si="126"/>
        <v>0</v>
      </c>
      <c r="AE350" s="64">
        <f t="shared" si="127"/>
        <v>0</v>
      </c>
      <c r="AF350" s="64">
        <f t="shared" si="128"/>
        <v>0</v>
      </c>
      <c r="AG350" s="29">
        <f t="shared" si="129"/>
        <v>1662</v>
      </c>
    </row>
    <row r="351" spans="1:33" s="20" customFormat="1">
      <c r="A351" s="265">
        <v>12110005</v>
      </c>
      <c r="B351" s="265" t="s">
        <v>398</v>
      </c>
      <c r="C351" s="265" t="s">
        <v>399</v>
      </c>
      <c r="D351" s="265">
        <v>100000001</v>
      </c>
      <c r="E351" s="265" t="s">
        <v>51</v>
      </c>
      <c r="F351" s="265" t="s">
        <v>0</v>
      </c>
      <c r="G351" s="266">
        <v>4180.1499999999996</v>
      </c>
      <c r="H351" s="266">
        <v>4180.1499999999996</v>
      </c>
      <c r="I351" s="268">
        <v>44621</v>
      </c>
      <c r="J351" s="268">
        <v>45961</v>
      </c>
      <c r="K351" s="267"/>
      <c r="L351" s="224" t="str">
        <f t="shared" si="130"/>
        <v>12110005_AUD_100000001_NONGHYUP BANK SYDNEY BRANCH</v>
      </c>
      <c r="M351" s="221">
        <f t="shared" si="110"/>
        <v>4180.1499999999996</v>
      </c>
      <c r="N351" s="24" t="str">
        <f>IF(OR(L351=$L$2,L351=$L$3),$M$10+1,IFERROR(VLOOKUP(A351,'Repricing Maturity Adj.'!$A$3:$C$170,3,0),(IF(K351&lt;$M$10,"Check",K351))))</f>
        <v>Non_sensitive</v>
      </c>
      <c r="O351" s="62" t="b">
        <f t="shared" si="111"/>
        <v>1</v>
      </c>
      <c r="P351" s="63" t="str">
        <f t="shared" si="112"/>
        <v>Asset</v>
      </c>
      <c r="Q351" s="25">
        <f t="shared" si="113"/>
        <v>0</v>
      </c>
      <c r="R351" s="25">
        <f t="shared" si="114"/>
        <v>0</v>
      </c>
      <c r="S351" s="25">
        <f t="shared" si="115"/>
        <v>0</v>
      </c>
      <c r="T351" s="25">
        <f t="shared" si="116"/>
        <v>0</v>
      </c>
      <c r="U351" s="25">
        <f t="shared" si="117"/>
        <v>0</v>
      </c>
      <c r="V351" s="25">
        <f t="shared" si="118"/>
        <v>0</v>
      </c>
      <c r="W351" s="25">
        <f t="shared" si="119"/>
        <v>0</v>
      </c>
      <c r="X351" s="64">
        <f t="shared" si="120"/>
        <v>0</v>
      </c>
      <c r="Y351" s="64">
        <f t="shared" si="121"/>
        <v>0</v>
      </c>
      <c r="Z351" s="64">
        <f t="shared" si="122"/>
        <v>0</v>
      </c>
      <c r="AA351" s="64">
        <f t="shared" si="123"/>
        <v>0</v>
      </c>
      <c r="AB351" s="64">
        <f t="shared" si="124"/>
        <v>0</v>
      </c>
      <c r="AC351" s="64">
        <f t="shared" si="125"/>
        <v>0</v>
      </c>
      <c r="AD351" s="64">
        <f t="shared" si="126"/>
        <v>0</v>
      </c>
      <c r="AE351" s="64">
        <f t="shared" si="127"/>
        <v>0</v>
      </c>
      <c r="AF351" s="64">
        <f t="shared" si="128"/>
        <v>0</v>
      </c>
      <c r="AG351" s="29">
        <f t="shared" si="129"/>
        <v>4180.1499999999996</v>
      </c>
    </row>
    <row r="352" spans="1:33" s="20" customFormat="1">
      <c r="A352" s="265">
        <v>12110005</v>
      </c>
      <c r="B352" s="265" t="s">
        <v>398</v>
      </c>
      <c r="C352" s="265" t="s">
        <v>400</v>
      </c>
      <c r="D352" s="265">
        <v>100000001</v>
      </c>
      <c r="E352" s="265" t="s">
        <v>51</v>
      </c>
      <c r="F352" s="265" t="s">
        <v>0</v>
      </c>
      <c r="G352" s="266">
        <v>1156.4100000000001</v>
      </c>
      <c r="H352" s="266">
        <v>1156.4100000000001</v>
      </c>
      <c r="I352" s="268">
        <v>44621</v>
      </c>
      <c r="J352" s="268">
        <v>45961</v>
      </c>
      <c r="K352" s="267"/>
      <c r="L352" s="224" t="str">
        <f t="shared" si="130"/>
        <v>12110005_AUD_100000001_NONGHYUP BANK SYDNEY BRANCH</v>
      </c>
      <c r="M352" s="221">
        <f t="shared" si="110"/>
        <v>1156.4100000000001</v>
      </c>
      <c r="N352" s="24" t="str">
        <f>IF(OR(L352=$L$2,L352=$L$3),$M$10+1,IFERROR(VLOOKUP(A352,'Repricing Maturity Adj.'!$A$3:$C$170,3,0),(IF(K352&lt;$M$10,"Check",K352))))</f>
        <v>Non_sensitive</v>
      </c>
      <c r="O352" s="62" t="b">
        <f t="shared" si="111"/>
        <v>1</v>
      </c>
      <c r="P352" s="63" t="str">
        <f t="shared" si="112"/>
        <v>Asset</v>
      </c>
      <c r="Q352" s="25">
        <f t="shared" si="113"/>
        <v>0</v>
      </c>
      <c r="R352" s="25">
        <f t="shared" si="114"/>
        <v>0</v>
      </c>
      <c r="S352" s="25">
        <f t="shared" si="115"/>
        <v>0</v>
      </c>
      <c r="T352" s="25">
        <f t="shared" si="116"/>
        <v>0</v>
      </c>
      <c r="U352" s="25">
        <f t="shared" si="117"/>
        <v>0</v>
      </c>
      <c r="V352" s="25">
        <f t="shared" si="118"/>
        <v>0</v>
      </c>
      <c r="W352" s="25">
        <f t="shared" si="119"/>
        <v>0</v>
      </c>
      <c r="X352" s="64">
        <f t="shared" si="120"/>
        <v>0</v>
      </c>
      <c r="Y352" s="64">
        <f t="shared" si="121"/>
        <v>0</v>
      </c>
      <c r="Z352" s="64">
        <f t="shared" si="122"/>
        <v>0</v>
      </c>
      <c r="AA352" s="64">
        <f t="shared" si="123"/>
        <v>0</v>
      </c>
      <c r="AB352" s="64">
        <f t="shared" si="124"/>
        <v>0</v>
      </c>
      <c r="AC352" s="64">
        <f t="shared" si="125"/>
        <v>0</v>
      </c>
      <c r="AD352" s="64">
        <f t="shared" si="126"/>
        <v>0</v>
      </c>
      <c r="AE352" s="64">
        <f t="shared" si="127"/>
        <v>0</v>
      </c>
      <c r="AF352" s="64">
        <f t="shared" si="128"/>
        <v>0</v>
      </c>
      <c r="AG352" s="29">
        <f t="shared" si="129"/>
        <v>1156.4100000000001</v>
      </c>
    </row>
    <row r="353" spans="1:34" s="20" customFormat="1">
      <c r="A353" s="265">
        <v>12110005</v>
      </c>
      <c r="B353" s="265" t="s">
        <v>398</v>
      </c>
      <c r="C353" s="265" t="s">
        <v>401</v>
      </c>
      <c r="D353" s="265">
        <v>100000001</v>
      </c>
      <c r="E353" s="265" t="s">
        <v>51</v>
      </c>
      <c r="F353" s="265" t="s">
        <v>0</v>
      </c>
      <c r="G353" s="266">
        <v>227.23</v>
      </c>
      <c r="H353" s="266">
        <v>227.23</v>
      </c>
      <c r="I353" s="268">
        <v>44621</v>
      </c>
      <c r="J353" s="268">
        <v>45961</v>
      </c>
      <c r="K353" s="267"/>
      <c r="L353" s="224" t="str">
        <f t="shared" si="130"/>
        <v>12110005_AUD_100000001_NONGHYUP BANK SYDNEY BRANCH</v>
      </c>
      <c r="M353" s="221">
        <f t="shared" si="110"/>
        <v>227.23</v>
      </c>
      <c r="N353" s="24" t="str">
        <f>IF(OR(L353=$L$2,L353=$L$3),$M$10+1,IFERROR(VLOOKUP(A353,'Repricing Maturity Adj.'!$A$3:$C$170,3,0),(IF(K353&lt;$M$10,"Check",K353))))</f>
        <v>Non_sensitive</v>
      </c>
      <c r="O353" s="62" t="b">
        <f t="shared" si="111"/>
        <v>1</v>
      </c>
      <c r="P353" s="63" t="str">
        <f t="shared" si="112"/>
        <v>Asset</v>
      </c>
      <c r="Q353" s="25">
        <f t="shared" si="113"/>
        <v>0</v>
      </c>
      <c r="R353" s="25">
        <f t="shared" si="114"/>
        <v>0</v>
      </c>
      <c r="S353" s="25">
        <f t="shared" si="115"/>
        <v>0</v>
      </c>
      <c r="T353" s="25">
        <f t="shared" si="116"/>
        <v>0</v>
      </c>
      <c r="U353" s="25">
        <f t="shared" si="117"/>
        <v>0</v>
      </c>
      <c r="V353" s="25">
        <f t="shared" si="118"/>
        <v>0</v>
      </c>
      <c r="W353" s="25">
        <f t="shared" si="119"/>
        <v>0</v>
      </c>
      <c r="X353" s="64">
        <f t="shared" si="120"/>
        <v>0</v>
      </c>
      <c r="Y353" s="64">
        <f t="shared" si="121"/>
        <v>0</v>
      </c>
      <c r="Z353" s="64">
        <f t="shared" si="122"/>
        <v>0</v>
      </c>
      <c r="AA353" s="64">
        <f t="shared" si="123"/>
        <v>0</v>
      </c>
      <c r="AB353" s="64">
        <f t="shared" si="124"/>
        <v>0</v>
      </c>
      <c r="AC353" s="64">
        <f t="shared" si="125"/>
        <v>0</v>
      </c>
      <c r="AD353" s="64">
        <f t="shared" si="126"/>
        <v>0</v>
      </c>
      <c r="AE353" s="64">
        <f t="shared" si="127"/>
        <v>0</v>
      </c>
      <c r="AF353" s="64">
        <f t="shared" si="128"/>
        <v>0</v>
      </c>
      <c r="AG353" s="29">
        <f t="shared" si="129"/>
        <v>227.23</v>
      </c>
    </row>
    <row r="354" spans="1:34" s="20" customFormat="1">
      <c r="A354" s="265">
        <v>12110005</v>
      </c>
      <c r="B354" s="265" t="s">
        <v>398</v>
      </c>
      <c r="C354" s="265" t="s">
        <v>402</v>
      </c>
      <c r="D354" s="265">
        <v>100000001</v>
      </c>
      <c r="E354" s="265" t="s">
        <v>51</v>
      </c>
      <c r="F354" s="265" t="s">
        <v>0</v>
      </c>
      <c r="G354" s="266">
        <v>1156.4100000000001</v>
      </c>
      <c r="H354" s="266">
        <v>1156.4100000000001</v>
      </c>
      <c r="I354" s="268">
        <v>44621</v>
      </c>
      <c r="J354" s="268">
        <v>45961</v>
      </c>
      <c r="K354" s="267"/>
      <c r="L354" s="224" t="str">
        <f t="shared" si="130"/>
        <v>12110005_AUD_100000001_NONGHYUP BANK SYDNEY BRANCH</v>
      </c>
      <c r="M354" s="221">
        <f t="shared" si="110"/>
        <v>1156.4100000000001</v>
      </c>
      <c r="N354" s="24" t="str">
        <f>IF(OR(L354=$L$2,L354=$L$3),$M$10+1,IFERROR(VLOOKUP(A354,'Repricing Maturity Adj.'!$A$3:$C$170,3,0),(IF(K354&lt;$M$10,"Check",K354))))</f>
        <v>Non_sensitive</v>
      </c>
      <c r="O354" s="62" t="b">
        <f t="shared" si="111"/>
        <v>1</v>
      </c>
      <c r="P354" s="63" t="str">
        <f t="shared" si="112"/>
        <v>Asset</v>
      </c>
      <c r="Q354" s="25">
        <f t="shared" si="113"/>
        <v>0</v>
      </c>
      <c r="R354" s="25">
        <f t="shared" si="114"/>
        <v>0</v>
      </c>
      <c r="S354" s="25">
        <f t="shared" si="115"/>
        <v>0</v>
      </c>
      <c r="T354" s="25">
        <f t="shared" si="116"/>
        <v>0</v>
      </c>
      <c r="U354" s="25">
        <f t="shared" si="117"/>
        <v>0</v>
      </c>
      <c r="V354" s="25">
        <f t="shared" si="118"/>
        <v>0</v>
      </c>
      <c r="W354" s="25">
        <f t="shared" si="119"/>
        <v>0</v>
      </c>
      <c r="X354" s="64">
        <f t="shared" si="120"/>
        <v>0</v>
      </c>
      <c r="Y354" s="64">
        <f t="shared" si="121"/>
        <v>0</v>
      </c>
      <c r="Z354" s="64">
        <f t="shared" si="122"/>
        <v>0</v>
      </c>
      <c r="AA354" s="64">
        <f t="shared" si="123"/>
        <v>0</v>
      </c>
      <c r="AB354" s="64">
        <f t="shared" si="124"/>
        <v>0</v>
      </c>
      <c r="AC354" s="64">
        <f t="shared" si="125"/>
        <v>0</v>
      </c>
      <c r="AD354" s="64">
        <f t="shared" si="126"/>
        <v>0</v>
      </c>
      <c r="AE354" s="64">
        <f t="shared" si="127"/>
        <v>0</v>
      </c>
      <c r="AF354" s="64">
        <f t="shared" si="128"/>
        <v>0</v>
      </c>
      <c r="AG354" s="29">
        <f t="shared" si="129"/>
        <v>1156.4100000000001</v>
      </c>
    </row>
    <row r="355" spans="1:34" s="20" customFormat="1">
      <c r="A355" s="265">
        <v>12110005</v>
      </c>
      <c r="B355" s="265" t="s">
        <v>398</v>
      </c>
      <c r="C355" s="265" t="s">
        <v>403</v>
      </c>
      <c r="D355" s="265">
        <v>100000001</v>
      </c>
      <c r="E355" s="265" t="s">
        <v>51</v>
      </c>
      <c r="F355" s="265" t="s">
        <v>0</v>
      </c>
      <c r="G355" s="266">
        <v>1251.56</v>
      </c>
      <c r="H355" s="266">
        <v>1251.56</v>
      </c>
      <c r="I355" s="268">
        <v>44621</v>
      </c>
      <c r="J355" s="268">
        <v>45961</v>
      </c>
      <c r="K355" s="267"/>
      <c r="L355" s="224" t="str">
        <f t="shared" si="130"/>
        <v>12110005_AUD_100000001_NONGHYUP BANK SYDNEY BRANCH</v>
      </c>
      <c r="M355" s="221">
        <f t="shared" si="110"/>
        <v>1251.56</v>
      </c>
      <c r="N355" s="24" t="str">
        <f>IF(OR(L355=$L$2,L355=$L$3),$M$10+1,IFERROR(VLOOKUP(A355,'Repricing Maturity Adj.'!$A$3:$C$170,3,0),(IF(K355&lt;$M$10,"Check",K355))))</f>
        <v>Non_sensitive</v>
      </c>
      <c r="O355" s="62" t="b">
        <f t="shared" si="111"/>
        <v>1</v>
      </c>
      <c r="P355" s="63" t="str">
        <f t="shared" si="112"/>
        <v>Asset</v>
      </c>
      <c r="Q355" s="25">
        <f t="shared" si="113"/>
        <v>0</v>
      </c>
      <c r="R355" s="25">
        <f t="shared" si="114"/>
        <v>0</v>
      </c>
      <c r="S355" s="25">
        <f t="shared" si="115"/>
        <v>0</v>
      </c>
      <c r="T355" s="25">
        <f t="shared" si="116"/>
        <v>0</v>
      </c>
      <c r="U355" s="25">
        <f t="shared" si="117"/>
        <v>0</v>
      </c>
      <c r="V355" s="25">
        <f t="shared" si="118"/>
        <v>0</v>
      </c>
      <c r="W355" s="25">
        <f t="shared" si="119"/>
        <v>0</v>
      </c>
      <c r="X355" s="64">
        <f t="shared" si="120"/>
        <v>0</v>
      </c>
      <c r="Y355" s="64">
        <f t="shared" si="121"/>
        <v>0</v>
      </c>
      <c r="Z355" s="64">
        <f t="shared" si="122"/>
        <v>0</v>
      </c>
      <c r="AA355" s="64">
        <f t="shared" si="123"/>
        <v>0</v>
      </c>
      <c r="AB355" s="64">
        <f t="shared" si="124"/>
        <v>0</v>
      </c>
      <c r="AC355" s="64">
        <f t="shared" si="125"/>
        <v>0</v>
      </c>
      <c r="AD355" s="64">
        <f t="shared" si="126"/>
        <v>0</v>
      </c>
      <c r="AE355" s="64">
        <f t="shared" si="127"/>
        <v>0</v>
      </c>
      <c r="AF355" s="64">
        <f t="shared" si="128"/>
        <v>0</v>
      </c>
      <c r="AG355" s="29">
        <f t="shared" si="129"/>
        <v>1251.56</v>
      </c>
    </row>
    <row r="356" spans="1:34" s="20" customFormat="1">
      <c r="A356" s="265">
        <v>12110005</v>
      </c>
      <c r="B356" s="265" t="s">
        <v>398</v>
      </c>
      <c r="C356" s="265" t="s">
        <v>404</v>
      </c>
      <c r="D356" s="265">
        <v>100000001</v>
      </c>
      <c r="E356" s="265" t="s">
        <v>51</v>
      </c>
      <c r="F356" s="265" t="s">
        <v>0</v>
      </c>
      <c r="G356" s="266">
        <v>3634.89</v>
      </c>
      <c r="H356" s="266">
        <v>3634.89</v>
      </c>
      <c r="I356" s="268">
        <v>44621</v>
      </c>
      <c r="J356" s="268">
        <v>45961</v>
      </c>
      <c r="K356" s="267"/>
      <c r="L356" s="224" t="str">
        <f t="shared" si="130"/>
        <v>12110005_AUD_100000001_NONGHYUP BANK SYDNEY BRANCH</v>
      </c>
      <c r="M356" s="221">
        <f t="shared" si="110"/>
        <v>3634.89</v>
      </c>
      <c r="N356" s="24" t="str">
        <f>IF(OR(L356=$L$2,L356=$L$3),$M$10+1,IFERROR(VLOOKUP(A356,'Repricing Maturity Adj.'!$A$3:$C$170,3,0),(IF(K356&lt;$M$10,"Check",K356))))</f>
        <v>Non_sensitive</v>
      </c>
      <c r="O356" s="62" t="b">
        <f t="shared" si="111"/>
        <v>1</v>
      </c>
      <c r="P356" s="63" t="str">
        <f t="shared" si="112"/>
        <v>Asset</v>
      </c>
      <c r="Q356" s="25">
        <f t="shared" si="113"/>
        <v>0</v>
      </c>
      <c r="R356" s="25">
        <f t="shared" si="114"/>
        <v>0</v>
      </c>
      <c r="S356" s="25">
        <f t="shared" si="115"/>
        <v>0</v>
      </c>
      <c r="T356" s="25">
        <f t="shared" si="116"/>
        <v>0</v>
      </c>
      <c r="U356" s="25">
        <f t="shared" si="117"/>
        <v>0</v>
      </c>
      <c r="V356" s="25">
        <f t="shared" si="118"/>
        <v>0</v>
      </c>
      <c r="W356" s="25">
        <f t="shared" si="119"/>
        <v>0</v>
      </c>
      <c r="X356" s="64">
        <f t="shared" si="120"/>
        <v>0</v>
      </c>
      <c r="Y356" s="64">
        <f t="shared" si="121"/>
        <v>0</v>
      </c>
      <c r="Z356" s="64">
        <f t="shared" si="122"/>
        <v>0</v>
      </c>
      <c r="AA356" s="64">
        <f t="shared" si="123"/>
        <v>0</v>
      </c>
      <c r="AB356" s="64">
        <f t="shared" si="124"/>
        <v>0</v>
      </c>
      <c r="AC356" s="64">
        <f t="shared" si="125"/>
        <v>0</v>
      </c>
      <c r="AD356" s="64">
        <f t="shared" si="126"/>
        <v>0</v>
      </c>
      <c r="AE356" s="64">
        <f t="shared" si="127"/>
        <v>0</v>
      </c>
      <c r="AF356" s="64">
        <f t="shared" si="128"/>
        <v>0</v>
      </c>
      <c r="AG356" s="29">
        <f t="shared" si="129"/>
        <v>3634.89</v>
      </c>
    </row>
    <row r="357" spans="1:34" s="20" customFormat="1">
      <c r="A357" s="265">
        <v>12110005</v>
      </c>
      <c r="B357" s="265" t="s">
        <v>398</v>
      </c>
      <c r="C357" s="265" t="s">
        <v>405</v>
      </c>
      <c r="D357" s="265">
        <v>100000001</v>
      </c>
      <c r="E357" s="265" t="s">
        <v>51</v>
      </c>
      <c r="F357" s="265" t="s">
        <v>0</v>
      </c>
      <c r="G357" s="266">
        <v>1608.76</v>
      </c>
      <c r="H357" s="266">
        <v>1608.76</v>
      </c>
      <c r="I357" s="268">
        <v>44621</v>
      </c>
      <c r="J357" s="268">
        <v>45961</v>
      </c>
      <c r="K357" s="267"/>
      <c r="L357" s="224" t="str">
        <f t="shared" si="130"/>
        <v>12110005_AUD_100000001_NONGHYUP BANK SYDNEY BRANCH</v>
      </c>
      <c r="M357" s="221">
        <f t="shared" si="110"/>
        <v>1608.76</v>
      </c>
      <c r="N357" s="24" t="str">
        <f>IF(OR(L357=$L$2,L357=$L$3),$M$10+1,IFERROR(VLOOKUP(A357,'Repricing Maturity Adj.'!$A$3:$C$170,3,0),(IF(K357&lt;$M$10,"Check",K357))))</f>
        <v>Non_sensitive</v>
      </c>
      <c r="O357" s="62" t="b">
        <f t="shared" si="111"/>
        <v>1</v>
      </c>
      <c r="P357" s="63" t="str">
        <f t="shared" si="112"/>
        <v>Asset</v>
      </c>
      <c r="Q357" s="25">
        <f t="shared" si="113"/>
        <v>0</v>
      </c>
      <c r="R357" s="25">
        <f t="shared" si="114"/>
        <v>0</v>
      </c>
      <c r="S357" s="25">
        <f t="shared" si="115"/>
        <v>0</v>
      </c>
      <c r="T357" s="25">
        <f t="shared" si="116"/>
        <v>0</v>
      </c>
      <c r="U357" s="25">
        <f t="shared" si="117"/>
        <v>0</v>
      </c>
      <c r="V357" s="25">
        <f t="shared" si="118"/>
        <v>0</v>
      </c>
      <c r="W357" s="25">
        <f t="shared" si="119"/>
        <v>0</v>
      </c>
      <c r="X357" s="64">
        <f t="shared" si="120"/>
        <v>0</v>
      </c>
      <c r="Y357" s="64">
        <f t="shared" si="121"/>
        <v>0</v>
      </c>
      <c r="Z357" s="64">
        <f t="shared" si="122"/>
        <v>0</v>
      </c>
      <c r="AA357" s="64">
        <f t="shared" si="123"/>
        <v>0</v>
      </c>
      <c r="AB357" s="64">
        <f t="shared" si="124"/>
        <v>0</v>
      </c>
      <c r="AC357" s="64">
        <f t="shared" si="125"/>
        <v>0</v>
      </c>
      <c r="AD357" s="64">
        <f t="shared" si="126"/>
        <v>0</v>
      </c>
      <c r="AE357" s="64">
        <f t="shared" si="127"/>
        <v>0</v>
      </c>
      <c r="AF357" s="64">
        <f t="shared" si="128"/>
        <v>0</v>
      </c>
      <c r="AG357" s="29">
        <f t="shared" si="129"/>
        <v>1608.76</v>
      </c>
    </row>
    <row r="358" spans="1:34" s="20" customFormat="1">
      <c r="A358" s="265">
        <v>12110005</v>
      </c>
      <c r="B358" s="265" t="s">
        <v>398</v>
      </c>
      <c r="C358" s="265" t="s">
        <v>406</v>
      </c>
      <c r="D358" s="265">
        <v>100000001</v>
      </c>
      <c r="E358" s="265" t="s">
        <v>51</v>
      </c>
      <c r="F358" s="265" t="s">
        <v>0</v>
      </c>
      <c r="G358" s="266">
        <v>331.75</v>
      </c>
      <c r="H358" s="266">
        <v>331.75</v>
      </c>
      <c r="I358" s="268">
        <v>44621</v>
      </c>
      <c r="J358" s="268">
        <v>45961</v>
      </c>
      <c r="K358" s="267"/>
      <c r="L358" s="224" t="str">
        <f t="shared" si="130"/>
        <v>12110005_AUD_100000001_NONGHYUP BANK SYDNEY BRANCH</v>
      </c>
      <c r="M358" s="221">
        <f t="shared" si="110"/>
        <v>331.75</v>
      </c>
      <c r="N358" s="24" t="str">
        <f>IF(OR(L358=$L$2,L358=$L$3),$M$10+1,IFERROR(VLOOKUP(A358,'Repricing Maturity Adj.'!$A$3:$C$170,3,0),(IF(K358&lt;$M$10,"Check",K358))))</f>
        <v>Non_sensitive</v>
      </c>
      <c r="O358" s="62" t="b">
        <f t="shared" si="111"/>
        <v>1</v>
      </c>
      <c r="P358" s="63" t="str">
        <f t="shared" si="112"/>
        <v>Asset</v>
      </c>
      <c r="Q358" s="25">
        <f t="shared" si="113"/>
        <v>0</v>
      </c>
      <c r="R358" s="25">
        <f t="shared" si="114"/>
        <v>0</v>
      </c>
      <c r="S358" s="25">
        <f t="shared" si="115"/>
        <v>0</v>
      </c>
      <c r="T358" s="25">
        <f t="shared" si="116"/>
        <v>0</v>
      </c>
      <c r="U358" s="25">
        <f t="shared" si="117"/>
        <v>0</v>
      </c>
      <c r="V358" s="25">
        <f t="shared" si="118"/>
        <v>0</v>
      </c>
      <c r="W358" s="25">
        <f t="shared" si="119"/>
        <v>0</v>
      </c>
      <c r="X358" s="64">
        <f t="shared" si="120"/>
        <v>0</v>
      </c>
      <c r="Y358" s="64">
        <f t="shared" si="121"/>
        <v>0</v>
      </c>
      <c r="Z358" s="64">
        <f t="shared" si="122"/>
        <v>0</v>
      </c>
      <c r="AA358" s="64">
        <f t="shared" si="123"/>
        <v>0</v>
      </c>
      <c r="AB358" s="64">
        <f t="shared" si="124"/>
        <v>0</v>
      </c>
      <c r="AC358" s="64">
        <f t="shared" si="125"/>
        <v>0</v>
      </c>
      <c r="AD358" s="64">
        <f t="shared" si="126"/>
        <v>0</v>
      </c>
      <c r="AE358" s="64">
        <f t="shared" si="127"/>
        <v>0</v>
      </c>
      <c r="AF358" s="64">
        <f t="shared" si="128"/>
        <v>0</v>
      </c>
      <c r="AG358" s="29">
        <f t="shared" si="129"/>
        <v>331.75</v>
      </c>
    </row>
    <row r="359" spans="1:34" s="20" customFormat="1">
      <c r="A359" s="265">
        <v>12110005</v>
      </c>
      <c r="B359" s="265" t="s">
        <v>398</v>
      </c>
      <c r="C359" s="265" t="s">
        <v>407</v>
      </c>
      <c r="D359" s="265">
        <v>100000001</v>
      </c>
      <c r="E359" s="265" t="s">
        <v>51</v>
      </c>
      <c r="F359" s="265" t="s">
        <v>0</v>
      </c>
      <c r="G359" s="266">
        <v>636.23</v>
      </c>
      <c r="H359" s="266">
        <v>636.23</v>
      </c>
      <c r="I359" s="268">
        <v>44621</v>
      </c>
      <c r="J359" s="268">
        <v>45961</v>
      </c>
      <c r="K359" s="267"/>
      <c r="L359" s="224" t="str">
        <f t="shared" si="130"/>
        <v>12110005_AUD_100000001_NONGHYUP BANK SYDNEY BRANCH</v>
      </c>
      <c r="M359" s="221">
        <f t="shared" si="110"/>
        <v>636.23</v>
      </c>
      <c r="N359" s="24" t="str">
        <f>IF(OR(L359=$L$2,L359=$L$3),$M$10+1,IFERROR(VLOOKUP(A359,'Repricing Maturity Adj.'!$A$3:$C$170,3,0),(IF(K359&lt;$M$10,"Check",K359))))</f>
        <v>Non_sensitive</v>
      </c>
      <c r="O359" s="62" t="b">
        <f t="shared" si="111"/>
        <v>1</v>
      </c>
      <c r="P359" s="63" t="str">
        <f t="shared" si="112"/>
        <v>Asset</v>
      </c>
      <c r="Q359" s="25">
        <f t="shared" si="113"/>
        <v>0</v>
      </c>
      <c r="R359" s="25">
        <f t="shared" si="114"/>
        <v>0</v>
      </c>
      <c r="S359" s="25">
        <f t="shared" si="115"/>
        <v>0</v>
      </c>
      <c r="T359" s="25">
        <f t="shared" si="116"/>
        <v>0</v>
      </c>
      <c r="U359" s="25">
        <f t="shared" si="117"/>
        <v>0</v>
      </c>
      <c r="V359" s="25">
        <f t="shared" si="118"/>
        <v>0</v>
      </c>
      <c r="W359" s="25">
        <f t="shared" si="119"/>
        <v>0</v>
      </c>
      <c r="X359" s="64">
        <f t="shared" si="120"/>
        <v>0</v>
      </c>
      <c r="Y359" s="64">
        <f t="shared" si="121"/>
        <v>0</v>
      </c>
      <c r="Z359" s="64">
        <f t="shared" si="122"/>
        <v>0</v>
      </c>
      <c r="AA359" s="64">
        <f t="shared" si="123"/>
        <v>0</v>
      </c>
      <c r="AB359" s="64">
        <f t="shared" si="124"/>
        <v>0</v>
      </c>
      <c r="AC359" s="64">
        <f t="shared" si="125"/>
        <v>0</v>
      </c>
      <c r="AD359" s="64">
        <f t="shared" si="126"/>
        <v>0</v>
      </c>
      <c r="AE359" s="64">
        <f t="shared" si="127"/>
        <v>0</v>
      </c>
      <c r="AF359" s="64">
        <f t="shared" si="128"/>
        <v>0</v>
      </c>
      <c r="AG359" s="29">
        <f t="shared" si="129"/>
        <v>636.23</v>
      </c>
    </row>
    <row r="360" spans="1:34" s="20" customFormat="1">
      <c r="A360" s="265">
        <v>12110005</v>
      </c>
      <c r="B360" s="265" t="s">
        <v>398</v>
      </c>
      <c r="C360" s="265" t="s">
        <v>408</v>
      </c>
      <c r="D360" s="265">
        <v>100000001</v>
      </c>
      <c r="E360" s="265" t="s">
        <v>51</v>
      </c>
      <c r="F360" s="265" t="s">
        <v>0</v>
      </c>
      <c r="G360" s="266">
        <v>2513.12</v>
      </c>
      <c r="H360" s="266">
        <v>2513.12</v>
      </c>
      <c r="I360" s="268">
        <v>44621</v>
      </c>
      <c r="J360" s="268">
        <v>45961</v>
      </c>
      <c r="K360" s="267"/>
      <c r="L360" s="224" t="str">
        <f t="shared" si="130"/>
        <v>12110005_AUD_100000001_NONGHYUP BANK SYDNEY BRANCH</v>
      </c>
      <c r="M360" s="221">
        <f t="shared" si="110"/>
        <v>2513.12</v>
      </c>
      <c r="N360" s="24" t="str">
        <f>IF(OR(L360=$L$2,L360=$L$3),$M$10+1,IFERROR(VLOOKUP(A360,'Repricing Maturity Adj.'!$A$3:$C$170,3,0),(IF(K360&lt;$M$10,"Check",K360))))</f>
        <v>Non_sensitive</v>
      </c>
      <c r="O360" s="62" t="b">
        <f t="shared" si="111"/>
        <v>1</v>
      </c>
      <c r="P360" s="63" t="str">
        <f t="shared" si="112"/>
        <v>Asset</v>
      </c>
      <c r="Q360" s="25">
        <f t="shared" si="113"/>
        <v>0</v>
      </c>
      <c r="R360" s="25">
        <f t="shared" si="114"/>
        <v>0</v>
      </c>
      <c r="S360" s="25">
        <f t="shared" si="115"/>
        <v>0</v>
      </c>
      <c r="T360" s="25">
        <f t="shared" si="116"/>
        <v>0</v>
      </c>
      <c r="U360" s="25">
        <f t="shared" si="117"/>
        <v>0</v>
      </c>
      <c r="V360" s="25">
        <f t="shared" si="118"/>
        <v>0</v>
      </c>
      <c r="W360" s="25">
        <f t="shared" si="119"/>
        <v>0</v>
      </c>
      <c r="X360" s="64">
        <f t="shared" si="120"/>
        <v>0</v>
      </c>
      <c r="Y360" s="64">
        <f t="shared" si="121"/>
        <v>0</v>
      </c>
      <c r="Z360" s="64">
        <f t="shared" si="122"/>
        <v>0</v>
      </c>
      <c r="AA360" s="64">
        <f t="shared" si="123"/>
        <v>0</v>
      </c>
      <c r="AB360" s="64">
        <f t="shared" si="124"/>
        <v>0</v>
      </c>
      <c r="AC360" s="64">
        <f t="shared" si="125"/>
        <v>0</v>
      </c>
      <c r="AD360" s="64">
        <f t="shared" si="126"/>
        <v>0</v>
      </c>
      <c r="AE360" s="64">
        <f t="shared" si="127"/>
        <v>0</v>
      </c>
      <c r="AF360" s="64">
        <f t="shared" si="128"/>
        <v>0</v>
      </c>
      <c r="AG360" s="29">
        <f t="shared" si="129"/>
        <v>2513.12</v>
      </c>
    </row>
    <row r="361" spans="1:34" s="20" customFormat="1">
      <c r="A361" s="265">
        <v>12110005</v>
      </c>
      <c r="B361" s="265" t="s">
        <v>398</v>
      </c>
      <c r="C361" s="265" t="s">
        <v>409</v>
      </c>
      <c r="D361" s="265">
        <v>100000001</v>
      </c>
      <c r="E361" s="265" t="s">
        <v>51</v>
      </c>
      <c r="F361" s="265" t="s">
        <v>0</v>
      </c>
      <c r="G361" s="266">
        <v>272.67</v>
      </c>
      <c r="H361" s="266">
        <v>272.67</v>
      </c>
      <c r="I361" s="268">
        <v>44621</v>
      </c>
      <c r="J361" s="268">
        <v>45961</v>
      </c>
      <c r="K361" s="267"/>
      <c r="L361" s="224" t="str">
        <f t="shared" si="130"/>
        <v>12110005_AUD_100000001_NONGHYUP BANK SYDNEY BRANCH</v>
      </c>
      <c r="M361" s="221">
        <f t="shared" si="110"/>
        <v>272.67</v>
      </c>
      <c r="N361" s="24" t="str">
        <f>IF(OR(L361=$L$2,L361=$L$3),$M$10+1,IFERROR(VLOOKUP(A361,'Repricing Maturity Adj.'!$A$3:$C$170,3,0),(IF(K361&lt;$M$10,"Check",K361))))</f>
        <v>Non_sensitive</v>
      </c>
      <c r="O361" s="62" t="b">
        <f t="shared" si="111"/>
        <v>1</v>
      </c>
      <c r="P361" s="63" t="str">
        <f t="shared" si="112"/>
        <v>Asset</v>
      </c>
      <c r="Q361" s="25">
        <f t="shared" si="113"/>
        <v>0</v>
      </c>
      <c r="R361" s="25">
        <f t="shared" si="114"/>
        <v>0</v>
      </c>
      <c r="S361" s="25">
        <f t="shared" si="115"/>
        <v>0</v>
      </c>
      <c r="T361" s="25">
        <f t="shared" si="116"/>
        <v>0</v>
      </c>
      <c r="U361" s="25">
        <f t="shared" si="117"/>
        <v>0</v>
      </c>
      <c r="V361" s="25">
        <f t="shared" si="118"/>
        <v>0</v>
      </c>
      <c r="W361" s="25">
        <f t="shared" si="119"/>
        <v>0</v>
      </c>
      <c r="X361" s="64">
        <f t="shared" si="120"/>
        <v>0</v>
      </c>
      <c r="Y361" s="64">
        <f t="shared" si="121"/>
        <v>0</v>
      </c>
      <c r="Z361" s="64">
        <f t="shared" si="122"/>
        <v>0</v>
      </c>
      <c r="AA361" s="64">
        <f t="shared" si="123"/>
        <v>0</v>
      </c>
      <c r="AB361" s="64">
        <f t="shared" si="124"/>
        <v>0</v>
      </c>
      <c r="AC361" s="64">
        <f t="shared" si="125"/>
        <v>0</v>
      </c>
      <c r="AD361" s="64">
        <f t="shared" si="126"/>
        <v>0</v>
      </c>
      <c r="AE361" s="64">
        <f t="shared" si="127"/>
        <v>0</v>
      </c>
      <c r="AF361" s="64">
        <f t="shared" si="128"/>
        <v>0</v>
      </c>
      <c r="AG361" s="29">
        <f t="shared" si="129"/>
        <v>272.67</v>
      </c>
    </row>
    <row r="362" spans="1:34" s="20" customFormat="1">
      <c r="A362" s="265">
        <v>12110005</v>
      </c>
      <c r="B362" s="265" t="s">
        <v>398</v>
      </c>
      <c r="C362" s="265" t="s">
        <v>410</v>
      </c>
      <c r="D362" s="265">
        <v>100000001</v>
      </c>
      <c r="E362" s="265" t="s">
        <v>51</v>
      </c>
      <c r="F362" s="265" t="s">
        <v>0</v>
      </c>
      <c r="G362" s="266">
        <v>409.01</v>
      </c>
      <c r="H362" s="266">
        <v>409.01</v>
      </c>
      <c r="I362" s="268">
        <v>44621</v>
      </c>
      <c r="J362" s="268">
        <v>45961</v>
      </c>
      <c r="K362" s="267"/>
      <c r="L362" s="224" t="str">
        <f t="shared" si="130"/>
        <v>12110005_AUD_100000001_NONGHYUP BANK SYDNEY BRANCH</v>
      </c>
      <c r="M362" s="221">
        <f t="shared" si="110"/>
        <v>409.01</v>
      </c>
      <c r="N362" s="24" t="str">
        <f>IF(OR(L362=$L$2,L362=$L$3),$M$10+1,IFERROR(VLOOKUP(A362,'Repricing Maturity Adj.'!$A$3:$C$170,3,0),(IF(K362&lt;$M$10,"Check",K362))))</f>
        <v>Non_sensitive</v>
      </c>
      <c r="O362" s="62" t="b">
        <f t="shared" si="111"/>
        <v>1</v>
      </c>
      <c r="P362" s="63" t="str">
        <f t="shared" si="112"/>
        <v>Asset</v>
      </c>
      <c r="Q362" s="25">
        <f t="shared" si="113"/>
        <v>0</v>
      </c>
      <c r="R362" s="25">
        <f t="shared" si="114"/>
        <v>0</v>
      </c>
      <c r="S362" s="25">
        <f t="shared" si="115"/>
        <v>0</v>
      </c>
      <c r="T362" s="25">
        <f t="shared" si="116"/>
        <v>0</v>
      </c>
      <c r="U362" s="25">
        <f t="shared" si="117"/>
        <v>0</v>
      </c>
      <c r="V362" s="25">
        <f t="shared" si="118"/>
        <v>0</v>
      </c>
      <c r="W362" s="25">
        <f t="shared" si="119"/>
        <v>0</v>
      </c>
      <c r="X362" s="64">
        <f t="shared" si="120"/>
        <v>0</v>
      </c>
      <c r="Y362" s="64">
        <f t="shared" si="121"/>
        <v>0</v>
      </c>
      <c r="Z362" s="64">
        <f t="shared" si="122"/>
        <v>0</v>
      </c>
      <c r="AA362" s="64">
        <f t="shared" si="123"/>
        <v>0</v>
      </c>
      <c r="AB362" s="64">
        <f t="shared" si="124"/>
        <v>0</v>
      </c>
      <c r="AC362" s="64">
        <f t="shared" si="125"/>
        <v>0</v>
      </c>
      <c r="AD362" s="64">
        <f t="shared" si="126"/>
        <v>0</v>
      </c>
      <c r="AE362" s="64">
        <f t="shared" si="127"/>
        <v>0</v>
      </c>
      <c r="AF362" s="64">
        <f t="shared" si="128"/>
        <v>0</v>
      </c>
      <c r="AG362" s="29">
        <f t="shared" si="129"/>
        <v>409.01</v>
      </c>
    </row>
    <row r="363" spans="1:34" s="20" customFormat="1">
      <c r="A363" s="265">
        <v>12110005</v>
      </c>
      <c r="B363" s="265" t="s">
        <v>398</v>
      </c>
      <c r="C363" s="265" t="s">
        <v>411</v>
      </c>
      <c r="D363" s="265">
        <v>100000001</v>
      </c>
      <c r="E363" s="265" t="s">
        <v>51</v>
      </c>
      <c r="F363" s="265" t="s">
        <v>0</v>
      </c>
      <c r="G363" s="266">
        <v>518.55999999999995</v>
      </c>
      <c r="H363" s="266">
        <v>518.55999999999995</v>
      </c>
      <c r="I363" s="268">
        <v>44621</v>
      </c>
      <c r="J363" s="268">
        <v>45991</v>
      </c>
      <c r="K363" s="267"/>
      <c r="L363" s="224" t="str">
        <f t="shared" si="130"/>
        <v>12110005_AUD_100000001_NONGHYUP BANK SYDNEY BRANCH</v>
      </c>
      <c r="M363" s="221">
        <f t="shared" si="110"/>
        <v>518.55999999999995</v>
      </c>
      <c r="N363" s="24" t="str">
        <f>IF(OR(L363=$L$2,L363=$L$3),$M$10+1,IFERROR(VLOOKUP(A363,'Repricing Maturity Adj.'!$A$3:$C$170,3,0),(IF(K363&lt;$M$10,"Check",K363))))</f>
        <v>Non_sensitive</v>
      </c>
      <c r="O363" s="62" t="b">
        <f t="shared" si="111"/>
        <v>1</v>
      </c>
      <c r="P363" s="63" t="str">
        <f t="shared" si="112"/>
        <v>Asset</v>
      </c>
      <c r="Q363" s="25">
        <f t="shared" si="113"/>
        <v>0</v>
      </c>
      <c r="R363" s="25">
        <f t="shared" si="114"/>
        <v>0</v>
      </c>
      <c r="S363" s="25">
        <f t="shared" si="115"/>
        <v>0</v>
      </c>
      <c r="T363" s="25">
        <f t="shared" si="116"/>
        <v>0</v>
      </c>
      <c r="U363" s="25">
        <f t="shared" si="117"/>
        <v>0</v>
      </c>
      <c r="V363" s="25">
        <f t="shared" si="118"/>
        <v>0</v>
      </c>
      <c r="W363" s="25">
        <f t="shared" si="119"/>
        <v>0</v>
      </c>
      <c r="X363" s="64">
        <f t="shared" si="120"/>
        <v>0</v>
      </c>
      <c r="Y363" s="64">
        <f t="shared" si="121"/>
        <v>0</v>
      </c>
      <c r="Z363" s="64">
        <f t="shared" si="122"/>
        <v>0</v>
      </c>
      <c r="AA363" s="64">
        <f t="shared" si="123"/>
        <v>0</v>
      </c>
      <c r="AB363" s="64">
        <f t="shared" si="124"/>
        <v>0</v>
      </c>
      <c r="AC363" s="64">
        <f t="shared" si="125"/>
        <v>0</v>
      </c>
      <c r="AD363" s="64">
        <f t="shared" si="126"/>
        <v>0</v>
      </c>
      <c r="AE363" s="64">
        <f t="shared" si="127"/>
        <v>0</v>
      </c>
      <c r="AF363" s="64">
        <f t="shared" si="128"/>
        <v>0</v>
      </c>
      <c r="AG363" s="29">
        <f t="shared" si="129"/>
        <v>518.55999999999995</v>
      </c>
    </row>
    <row r="364" spans="1:34" s="20" customFormat="1">
      <c r="A364" s="265">
        <v>12110005</v>
      </c>
      <c r="B364" s="265" t="s">
        <v>398</v>
      </c>
      <c r="C364" s="265" t="s">
        <v>412</v>
      </c>
      <c r="D364" s="265">
        <v>100000001</v>
      </c>
      <c r="E364" s="265" t="s">
        <v>51</v>
      </c>
      <c r="F364" s="265" t="s">
        <v>0</v>
      </c>
      <c r="G364" s="266">
        <v>431.37</v>
      </c>
      <c r="H364" s="266">
        <v>431.37</v>
      </c>
      <c r="I364" s="268">
        <v>44621</v>
      </c>
      <c r="J364" s="268">
        <v>45991</v>
      </c>
      <c r="K364" s="267"/>
      <c r="L364" s="224" t="str">
        <f t="shared" si="130"/>
        <v>12110005_AUD_100000001_NONGHYUP BANK SYDNEY BRANCH</v>
      </c>
      <c r="M364" s="221">
        <f t="shared" si="110"/>
        <v>431.37</v>
      </c>
      <c r="N364" s="24" t="str">
        <f>IF(OR(L364=$L$2,L364=$L$3),$M$10+1,IFERROR(VLOOKUP(A364,'Repricing Maturity Adj.'!$A$3:$C$170,3,0),(IF(K364&lt;$M$10,"Check",K364))))</f>
        <v>Non_sensitive</v>
      </c>
      <c r="O364" s="62" t="b">
        <f t="shared" si="111"/>
        <v>1</v>
      </c>
      <c r="P364" s="63" t="str">
        <f t="shared" si="112"/>
        <v>Asset</v>
      </c>
      <c r="Q364" s="25">
        <f t="shared" si="113"/>
        <v>0</v>
      </c>
      <c r="R364" s="25">
        <f t="shared" si="114"/>
        <v>0</v>
      </c>
      <c r="S364" s="25">
        <f t="shared" si="115"/>
        <v>0</v>
      </c>
      <c r="T364" s="25">
        <f t="shared" si="116"/>
        <v>0</v>
      </c>
      <c r="U364" s="25">
        <f t="shared" si="117"/>
        <v>0</v>
      </c>
      <c r="V364" s="25">
        <f t="shared" si="118"/>
        <v>0</v>
      </c>
      <c r="W364" s="25">
        <f t="shared" si="119"/>
        <v>0</v>
      </c>
      <c r="X364" s="64">
        <f t="shared" si="120"/>
        <v>0</v>
      </c>
      <c r="Y364" s="64">
        <f t="shared" si="121"/>
        <v>0</v>
      </c>
      <c r="Z364" s="64">
        <f t="shared" si="122"/>
        <v>0</v>
      </c>
      <c r="AA364" s="64">
        <f t="shared" si="123"/>
        <v>0</v>
      </c>
      <c r="AB364" s="64">
        <f t="shared" si="124"/>
        <v>0</v>
      </c>
      <c r="AC364" s="64">
        <f t="shared" si="125"/>
        <v>0</v>
      </c>
      <c r="AD364" s="64">
        <f t="shared" si="126"/>
        <v>0</v>
      </c>
      <c r="AE364" s="64">
        <f t="shared" si="127"/>
        <v>0</v>
      </c>
      <c r="AF364" s="64">
        <f t="shared" si="128"/>
        <v>0</v>
      </c>
      <c r="AG364" s="29">
        <f t="shared" si="129"/>
        <v>431.37</v>
      </c>
    </row>
    <row r="365" spans="1:34" s="20" customFormat="1">
      <c r="A365" s="265">
        <v>12110005</v>
      </c>
      <c r="B365" s="265" t="s">
        <v>398</v>
      </c>
      <c r="C365" s="265" t="s">
        <v>413</v>
      </c>
      <c r="D365" s="265">
        <v>100000001</v>
      </c>
      <c r="E365" s="265" t="s">
        <v>51</v>
      </c>
      <c r="F365" s="265" t="s">
        <v>0</v>
      </c>
      <c r="G365" s="266">
        <v>1330.8</v>
      </c>
      <c r="H365" s="266">
        <v>1330.8</v>
      </c>
      <c r="I365" s="268">
        <v>44621</v>
      </c>
      <c r="J365" s="268">
        <v>45991</v>
      </c>
      <c r="K365" s="267"/>
      <c r="L365" s="224" t="str">
        <f t="shared" si="130"/>
        <v>12110005_AUD_100000001_NONGHYUP BANK SYDNEY BRANCH</v>
      </c>
      <c r="M365" s="221">
        <f t="shared" si="110"/>
        <v>1330.8</v>
      </c>
      <c r="N365" s="24" t="str">
        <f>IF(OR(L365=$L$2,L365=$L$3),$M$10+1,IFERROR(VLOOKUP(A365,'Repricing Maturity Adj.'!$A$3:$C$170,3,0),(IF(K365&lt;$M$10,"Check",K365))))</f>
        <v>Non_sensitive</v>
      </c>
      <c r="O365" s="62" t="b">
        <f t="shared" si="111"/>
        <v>1</v>
      </c>
      <c r="P365" s="63" t="str">
        <f t="shared" si="112"/>
        <v>Asset</v>
      </c>
      <c r="Q365" s="25">
        <f t="shared" si="113"/>
        <v>0</v>
      </c>
      <c r="R365" s="25">
        <f t="shared" si="114"/>
        <v>0</v>
      </c>
      <c r="S365" s="25">
        <f t="shared" si="115"/>
        <v>0</v>
      </c>
      <c r="T365" s="25">
        <f t="shared" si="116"/>
        <v>0</v>
      </c>
      <c r="U365" s="25">
        <f t="shared" si="117"/>
        <v>0</v>
      </c>
      <c r="V365" s="25">
        <f t="shared" si="118"/>
        <v>0</v>
      </c>
      <c r="W365" s="25">
        <f t="shared" si="119"/>
        <v>0</v>
      </c>
      <c r="X365" s="64">
        <f t="shared" si="120"/>
        <v>0</v>
      </c>
      <c r="Y365" s="64">
        <f t="shared" si="121"/>
        <v>0</v>
      </c>
      <c r="Z365" s="64">
        <f t="shared" si="122"/>
        <v>0</v>
      </c>
      <c r="AA365" s="64">
        <f t="shared" si="123"/>
        <v>0</v>
      </c>
      <c r="AB365" s="64">
        <f t="shared" si="124"/>
        <v>0</v>
      </c>
      <c r="AC365" s="64">
        <f t="shared" si="125"/>
        <v>0</v>
      </c>
      <c r="AD365" s="64">
        <f t="shared" si="126"/>
        <v>0</v>
      </c>
      <c r="AE365" s="64">
        <f t="shared" si="127"/>
        <v>0</v>
      </c>
      <c r="AF365" s="64">
        <f t="shared" si="128"/>
        <v>0</v>
      </c>
      <c r="AG365" s="29">
        <f t="shared" si="129"/>
        <v>1330.8</v>
      </c>
    </row>
    <row r="366" spans="1:34" s="20" customFormat="1">
      <c r="A366" s="265">
        <v>12110005</v>
      </c>
      <c r="B366" s="265" t="s">
        <v>398</v>
      </c>
      <c r="C366" s="265" t="s">
        <v>414</v>
      </c>
      <c r="D366" s="265">
        <v>100000001</v>
      </c>
      <c r="E366" s="265" t="s">
        <v>51</v>
      </c>
      <c r="F366" s="265" t="s">
        <v>0</v>
      </c>
      <c r="G366" s="266">
        <v>1725.48</v>
      </c>
      <c r="H366" s="266">
        <v>1725.48</v>
      </c>
      <c r="I366" s="268">
        <v>44621</v>
      </c>
      <c r="J366" s="268">
        <v>45991</v>
      </c>
      <c r="K366" s="267"/>
      <c r="L366" s="224" t="str">
        <f t="shared" si="130"/>
        <v>12110005_AUD_100000001_NONGHYUP BANK SYDNEY BRANCH</v>
      </c>
      <c r="M366" s="221">
        <f t="shared" si="110"/>
        <v>1725.48</v>
      </c>
      <c r="N366" s="24" t="str">
        <f>IF(OR(L366=$L$2,L366=$L$3),$M$10+1,IFERROR(VLOOKUP(A366,'Repricing Maturity Adj.'!$A$3:$C$170,3,0),(IF(K366&lt;$M$10,"Check",K366))))</f>
        <v>Non_sensitive</v>
      </c>
      <c r="O366" s="62" t="b">
        <f t="shared" si="111"/>
        <v>1</v>
      </c>
      <c r="P366" s="63" t="str">
        <f t="shared" si="112"/>
        <v>Asset</v>
      </c>
      <c r="Q366" s="25">
        <f t="shared" si="113"/>
        <v>0</v>
      </c>
      <c r="R366" s="25">
        <f t="shared" si="114"/>
        <v>0</v>
      </c>
      <c r="S366" s="25">
        <f t="shared" si="115"/>
        <v>0</v>
      </c>
      <c r="T366" s="25">
        <f t="shared" si="116"/>
        <v>0</v>
      </c>
      <c r="U366" s="25">
        <f t="shared" si="117"/>
        <v>0</v>
      </c>
      <c r="V366" s="25">
        <f t="shared" si="118"/>
        <v>0</v>
      </c>
      <c r="W366" s="25">
        <f t="shared" si="119"/>
        <v>0</v>
      </c>
      <c r="X366" s="64">
        <f t="shared" si="120"/>
        <v>0</v>
      </c>
      <c r="Y366" s="64">
        <f t="shared" si="121"/>
        <v>0</v>
      </c>
      <c r="Z366" s="64">
        <f t="shared" si="122"/>
        <v>0</v>
      </c>
      <c r="AA366" s="64">
        <f t="shared" si="123"/>
        <v>0</v>
      </c>
      <c r="AB366" s="64">
        <f t="shared" si="124"/>
        <v>0</v>
      </c>
      <c r="AC366" s="64">
        <f t="shared" si="125"/>
        <v>0</v>
      </c>
      <c r="AD366" s="64">
        <f t="shared" si="126"/>
        <v>0</v>
      </c>
      <c r="AE366" s="64">
        <f t="shared" si="127"/>
        <v>0</v>
      </c>
      <c r="AF366" s="64">
        <f t="shared" si="128"/>
        <v>0</v>
      </c>
      <c r="AG366" s="29">
        <f t="shared" si="129"/>
        <v>1725.48</v>
      </c>
      <c r="AH366" s="26"/>
    </row>
    <row r="367" spans="1:34">
      <c r="A367" s="265">
        <v>12110005</v>
      </c>
      <c r="B367" s="265" t="s">
        <v>398</v>
      </c>
      <c r="C367" s="265" t="s">
        <v>415</v>
      </c>
      <c r="D367" s="265">
        <v>100000001</v>
      </c>
      <c r="E367" s="265" t="s">
        <v>51</v>
      </c>
      <c r="F367" s="265" t="s">
        <v>0</v>
      </c>
      <c r="G367" s="266">
        <v>1206.1099999999999</v>
      </c>
      <c r="H367" s="266">
        <v>1206.1099999999999</v>
      </c>
      <c r="I367" s="268">
        <v>44621</v>
      </c>
      <c r="J367" s="268">
        <v>45961</v>
      </c>
      <c r="K367" s="267"/>
      <c r="L367" s="224" t="str">
        <f t="shared" si="130"/>
        <v>12110005_AUD_100000001_NONGHYUP BANK SYDNEY BRANCH</v>
      </c>
      <c r="M367" s="221">
        <f t="shared" si="110"/>
        <v>1206.1099999999999</v>
      </c>
      <c r="N367" s="24" t="str">
        <f>IF(OR(L367=$L$2,L367=$L$3),$M$10+1,IFERROR(VLOOKUP(A367,'Repricing Maturity Adj.'!$A$3:$C$170,3,0),(IF(K367&lt;$M$10,"Check",K367))))</f>
        <v>Non_sensitive</v>
      </c>
      <c r="O367" s="62" t="b">
        <f t="shared" si="111"/>
        <v>1</v>
      </c>
      <c r="P367" s="63" t="str">
        <f t="shared" si="112"/>
        <v>Asset</v>
      </c>
      <c r="Q367" s="25">
        <f t="shared" si="113"/>
        <v>0</v>
      </c>
      <c r="R367" s="25">
        <f t="shared" si="114"/>
        <v>0</v>
      </c>
      <c r="S367" s="25">
        <f t="shared" si="115"/>
        <v>0</v>
      </c>
      <c r="T367" s="25">
        <f t="shared" si="116"/>
        <v>0</v>
      </c>
      <c r="U367" s="25">
        <f t="shared" si="117"/>
        <v>0</v>
      </c>
      <c r="V367" s="25">
        <f t="shared" si="118"/>
        <v>0</v>
      </c>
      <c r="W367" s="25">
        <f t="shared" si="119"/>
        <v>0</v>
      </c>
      <c r="X367" s="64">
        <f t="shared" si="120"/>
        <v>0</v>
      </c>
      <c r="Y367" s="64">
        <f t="shared" si="121"/>
        <v>0</v>
      </c>
      <c r="Z367" s="64">
        <f t="shared" si="122"/>
        <v>0</v>
      </c>
      <c r="AA367" s="64">
        <f t="shared" si="123"/>
        <v>0</v>
      </c>
      <c r="AB367" s="64">
        <f t="shared" si="124"/>
        <v>0</v>
      </c>
      <c r="AC367" s="64">
        <f t="shared" si="125"/>
        <v>0</v>
      </c>
      <c r="AD367" s="64">
        <f t="shared" si="126"/>
        <v>0</v>
      </c>
      <c r="AE367" s="64">
        <f t="shared" si="127"/>
        <v>0</v>
      </c>
      <c r="AF367" s="64">
        <f t="shared" si="128"/>
        <v>0</v>
      </c>
      <c r="AG367" s="29">
        <f t="shared" si="129"/>
        <v>1206.1099999999999</v>
      </c>
    </row>
    <row r="368" spans="1:34" s="20" customFormat="1">
      <c r="A368" s="265">
        <v>12110005</v>
      </c>
      <c r="B368" s="265" t="s">
        <v>398</v>
      </c>
      <c r="C368" s="265" t="s">
        <v>416</v>
      </c>
      <c r="D368" s="265">
        <v>100000001</v>
      </c>
      <c r="E368" s="265" t="s">
        <v>51</v>
      </c>
      <c r="F368" s="265" t="s">
        <v>0</v>
      </c>
      <c r="G368" s="266">
        <v>995.5</v>
      </c>
      <c r="H368" s="266">
        <v>995.5</v>
      </c>
      <c r="I368" s="268">
        <v>44806</v>
      </c>
      <c r="J368" s="268">
        <v>46265</v>
      </c>
      <c r="K368" s="267"/>
      <c r="L368" s="224" t="str">
        <f t="shared" si="130"/>
        <v>12110005_AUD_100000001_NONGHYUP BANK SYDNEY BRANCH</v>
      </c>
      <c r="M368" s="221">
        <f t="shared" si="110"/>
        <v>995.5</v>
      </c>
      <c r="N368" s="24" t="str">
        <f>IF(OR(L368=$L$2,L368=$L$3),$M$10+1,IFERROR(VLOOKUP(A368,'Repricing Maturity Adj.'!$A$3:$C$170,3,0),(IF(K368&lt;$M$10,"Check",K368))))</f>
        <v>Non_sensitive</v>
      </c>
      <c r="O368" s="62" t="b">
        <f t="shared" si="111"/>
        <v>1</v>
      </c>
      <c r="P368" s="63" t="str">
        <f t="shared" si="112"/>
        <v>Asset</v>
      </c>
      <c r="Q368" s="25">
        <f t="shared" si="113"/>
        <v>0</v>
      </c>
      <c r="R368" s="25">
        <f t="shared" si="114"/>
        <v>0</v>
      </c>
      <c r="S368" s="25">
        <f t="shared" si="115"/>
        <v>0</v>
      </c>
      <c r="T368" s="25">
        <f t="shared" si="116"/>
        <v>0</v>
      </c>
      <c r="U368" s="25">
        <f t="shared" si="117"/>
        <v>0</v>
      </c>
      <c r="V368" s="25">
        <f t="shared" si="118"/>
        <v>0</v>
      </c>
      <c r="W368" s="25">
        <f t="shared" si="119"/>
        <v>0</v>
      </c>
      <c r="X368" s="64">
        <f t="shared" si="120"/>
        <v>0</v>
      </c>
      <c r="Y368" s="64">
        <f t="shared" si="121"/>
        <v>0</v>
      </c>
      <c r="Z368" s="64">
        <f t="shared" si="122"/>
        <v>0</v>
      </c>
      <c r="AA368" s="64">
        <f t="shared" si="123"/>
        <v>0</v>
      </c>
      <c r="AB368" s="64">
        <f t="shared" si="124"/>
        <v>0</v>
      </c>
      <c r="AC368" s="64">
        <f t="shared" si="125"/>
        <v>0</v>
      </c>
      <c r="AD368" s="64">
        <f t="shared" si="126"/>
        <v>0</v>
      </c>
      <c r="AE368" s="64">
        <f t="shared" si="127"/>
        <v>0</v>
      </c>
      <c r="AF368" s="64">
        <f t="shared" si="128"/>
        <v>0</v>
      </c>
      <c r="AG368" s="29">
        <f t="shared" si="129"/>
        <v>995.5</v>
      </c>
      <c r="AH368" s="26"/>
    </row>
    <row r="369" spans="1:34" s="20" customFormat="1">
      <c r="A369" s="265">
        <v>12110005</v>
      </c>
      <c r="B369" s="265" t="s">
        <v>398</v>
      </c>
      <c r="C369" s="265" t="s">
        <v>360</v>
      </c>
      <c r="D369" s="265">
        <v>100000001</v>
      </c>
      <c r="E369" s="265" t="s">
        <v>51</v>
      </c>
      <c r="F369" s="265" t="s">
        <v>0</v>
      </c>
      <c r="G369" s="266">
        <v>-90.5</v>
      </c>
      <c r="H369" s="266">
        <v>-90.5</v>
      </c>
      <c r="I369" s="267"/>
      <c r="J369" s="267"/>
      <c r="K369" s="267"/>
      <c r="L369" s="224" t="str">
        <f t="shared" si="130"/>
        <v>12110005_AUD_100000001_NONGHYUP BANK SYDNEY BRANCH</v>
      </c>
      <c r="M369" s="221">
        <f t="shared" si="110"/>
        <v>-90.5</v>
      </c>
      <c r="N369" s="24" t="str">
        <f>IF(OR(L369=$L$2,L369=$L$3),$M$10+1,IFERROR(VLOOKUP(A369,'Repricing Maturity Adj.'!$A$3:$C$170,3,0),(IF(K369&lt;$M$10,"Check",K369))))</f>
        <v>Non_sensitive</v>
      </c>
      <c r="O369" s="62" t="b">
        <f t="shared" si="111"/>
        <v>1</v>
      </c>
      <c r="P369" s="63" t="str">
        <f t="shared" si="112"/>
        <v>Asset</v>
      </c>
      <c r="Q369" s="25">
        <f t="shared" si="113"/>
        <v>0</v>
      </c>
      <c r="R369" s="25">
        <f t="shared" si="114"/>
        <v>0</v>
      </c>
      <c r="S369" s="25">
        <f t="shared" si="115"/>
        <v>0</v>
      </c>
      <c r="T369" s="25">
        <f t="shared" si="116"/>
        <v>0</v>
      </c>
      <c r="U369" s="25">
        <f t="shared" si="117"/>
        <v>0</v>
      </c>
      <c r="V369" s="25">
        <f t="shared" si="118"/>
        <v>0</v>
      </c>
      <c r="W369" s="25">
        <f t="shared" si="119"/>
        <v>0</v>
      </c>
      <c r="X369" s="64">
        <f t="shared" si="120"/>
        <v>0</v>
      </c>
      <c r="Y369" s="64">
        <f t="shared" si="121"/>
        <v>0</v>
      </c>
      <c r="Z369" s="64">
        <f t="shared" si="122"/>
        <v>0</v>
      </c>
      <c r="AA369" s="64">
        <f t="shared" si="123"/>
        <v>0</v>
      </c>
      <c r="AB369" s="64">
        <f t="shared" si="124"/>
        <v>0</v>
      </c>
      <c r="AC369" s="64">
        <f t="shared" si="125"/>
        <v>0</v>
      </c>
      <c r="AD369" s="64">
        <f t="shared" si="126"/>
        <v>0</v>
      </c>
      <c r="AE369" s="64">
        <f t="shared" si="127"/>
        <v>0</v>
      </c>
      <c r="AF369" s="64">
        <f t="shared" si="128"/>
        <v>0</v>
      </c>
      <c r="AG369" s="29">
        <f t="shared" si="129"/>
        <v>-90.5</v>
      </c>
      <c r="AH369" s="26"/>
    </row>
    <row r="370" spans="1:34" s="20" customFormat="1">
      <c r="A370" s="265">
        <v>12130001</v>
      </c>
      <c r="B370" s="265" t="s">
        <v>417</v>
      </c>
      <c r="C370" s="265" t="s">
        <v>287</v>
      </c>
      <c r="D370" s="265">
        <v>100000001</v>
      </c>
      <c r="E370" s="265" t="s">
        <v>51</v>
      </c>
      <c r="F370" s="265" t="s">
        <v>0</v>
      </c>
      <c r="G370" s="266">
        <v>3462678</v>
      </c>
      <c r="H370" s="266">
        <v>3462678</v>
      </c>
      <c r="I370" s="268">
        <v>44621</v>
      </c>
      <c r="J370" s="268">
        <v>47057</v>
      </c>
      <c r="K370" s="267"/>
      <c r="L370" s="224" t="str">
        <f t="shared" si="130"/>
        <v>12130001_AUD_100000001_NONGHYUP BANK SYDNEY BRANCH</v>
      </c>
      <c r="M370" s="221">
        <f t="shared" si="110"/>
        <v>3462678</v>
      </c>
      <c r="N370" s="24" t="str">
        <f>IF(OR(L370=$L$2,L370=$L$3),$M$10+1,IFERROR(VLOOKUP(A370,'Repricing Maturity Adj.'!$A$3:$C$170,3,0),(IF(K370&lt;$M$10,"Check",K370))))</f>
        <v>Non_sensitive</v>
      </c>
      <c r="O370" s="62" t="b">
        <f t="shared" si="111"/>
        <v>1</v>
      </c>
      <c r="P370" s="63" t="str">
        <f t="shared" si="112"/>
        <v>Asset</v>
      </c>
      <c r="Q370" s="25">
        <f t="shared" si="113"/>
        <v>0</v>
      </c>
      <c r="R370" s="25">
        <f t="shared" si="114"/>
        <v>0</v>
      </c>
      <c r="S370" s="25">
        <f t="shared" si="115"/>
        <v>0</v>
      </c>
      <c r="T370" s="25">
        <f t="shared" si="116"/>
        <v>0</v>
      </c>
      <c r="U370" s="25">
        <f t="shared" si="117"/>
        <v>0</v>
      </c>
      <c r="V370" s="25">
        <f t="shared" si="118"/>
        <v>0</v>
      </c>
      <c r="W370" s="25">
        <f t="shared" si="119"/>
        <v>0</v>
      </c>
      <c r="X370" s="64">
        <f t="shared" si="120"/>
        <v>0</v>
      </c>
      <c r="Y370" s="64">
        <f t="shared" si="121"/>
        <v>0</v>
      </c>
      <c r="Z370" s="64">
        <f t="shared" si="122"/>
        <v>0</v>
      </c>
      <c r="AA370" s="64">
        <f t="shared" si="123"/>
        <v>0</v>
      </c>
      <c r="AB370" s="64">
        <f t="shared" si="124"/>
        <v>0</v>
      </c>
      <c r="AC370" s="64">
        <f t="shared" si="125"/>
        <v>0</v>
      </c>
      <c r="AD370" s="64">
        <f t="shared" si="126"/>
        <v>0</v>
      </c>
      <c r="AE370" s="64">
        <f t="shared" si="127"/>
        <v>0</v>
      </c>
      <c r="AF370" s="64">
        <f t="shared" si="128"/>
        <v>0</v>
      </c>
      <c r="AG370" s="29">
        <f t="shared" si="129"/>
        <v>3462678</v>
      </c>
      <c r="AH370" s="26"/>
    </row>
    <row r="371" spans="1:34">
      <c r="A371" s="265">
        <v>12130001</v>
      </c>
      <c r="B371" s="265" t="s">
        <v>417</v>
      </c>
      <c r="C371" s="265" t="s">
        <v>628</v>
      </c>
      <c r="D371" s="265">
        <v>100000001</v>
      </c>
      <c r="E371" s="265" t="s">
        <v>51</v>
      </c>
      <c r="F371" s="265" t="s">
        <v>0</v>
      </c>
      <c r="G371" s="266">
        <v>68966.19</v>
      </c>
      <c r="H371" s="266">
        <v>68966.19</v>
      </c>
      <c r="I371" s="268">
        <v>45692</v>
      </c>
      <c r="J371" s="268">
        <v>46421</v>
      </c>
      <c r="K371" s="267"/>
      <c r="L371" s="224" t="str">
        <f t="shared" si="130"/>
        <v>12130001_AUD_100000001_NONGHYUP BANK SYDNEY BRANCH</v>
      </c>
      <c r="M371" s="221">
        <f t="shared" si="110"/>
        <v>68966.19</v>
      </c>
      <c r="N371" s="24" t="str">
        <f>IF(OR(L371=$L$2,L371=$L$3),$M$10+1,IFERROR(VLOOKUP(A371,'Repricing Maturity Adj.'!$A$3:$C$170,3,0),(IF(K371&lt;$M$10,"Check",K371))))</f>
        <v>Non_sensitive</v>
      </c>
      <c r="O371" s="62" t="b">
        <f t="shared" si="111"/>
        <v>1</v>
      </c>
      <c r="P371" s="63" t="str">
        <f t="shared" si="112"/>
        <v>Asset</v>
      </c>
      <c r="Q371" s="25">
        <f t="shared" si="113"/>
        <v>0</v>
      </c>
      <c r="R371" s="25">
        <f t="shared" si="114"/>
        <v>0</v>
      </c>
      <c r="S371" s="25">
        <f t="shared" si="115"/>
        <v>0</v>
      </c>
      <c r="T371" s="25">
        <f t="shared" si="116"/>
        <v>0</v>
      </c>
      <c r="U371" s="25">
        <f t="shared" si="117"/>
        <v>0</v>
      </c>
      <c r="V371" s="25">
        <f t="shared" si="118"/>
        <v>0</v>
      </c>
      <c r="W371" s="25">
        <f t="shared" si="119"/>
        <v>0</v>
      </c>
      <c r="X371" s="64">
        <f t="shared" si="120"/>
        <v>0</v>
      </c>
      <c r="Y371" s="64">
        <f t="shared" si="121"/>
        <v>0</v>
      </c>
      <c r="Z371" s="64">
        <f t="shared" si="122"/>
        <v>0</v>
      </c>
      <c r="AA371" s="64">
        <f t="shared" si="123"/>
        <v>0</v>
      </c>
      <c r="AB371" s="64">
        <f t="shared" si="124"/>
        <v>0</v>
      </c>
      <c r="AC371" s="64">
        <f t="shared" si="125"/>
        <v>0</v>
      </c>
      <c r="AD371" s="64">
        <f t="shared" si="126"/>
        <v>0</v>
      </c>
      <c r="AE371" s="64">
        <f t="shared" si="127"/>
        <v>0</v>
      </c>
      <c r="AF371" s="64">
        <f t="shared" si="128"/>
        <v>0</v>
      </c>
      <c r="AG371" s="29">
        <f t="shared" si="129"/>
        <v>68966.19</v>
      </c>
    </row>
    <row r="372" spans="1:34">
      <c r="A372" s="265">
        <v>12130001</v>
      </c>
      <c r="B372" s="265" t="s">
        <v>417</v>
      </c>
      <c r="C372" s="265" t="s">
        <v>895</v>
      </c>
      <c r="D372" s="265">
        <v>100000001</v>
      </c>
      <c r="E372" s="265" t="s">
        <v>51</v>
      </c>
      <c r="F372" s="265" t="s">
        <v>0</v>
      </c>
      <c r="G372" s="266">
        <v>53331.6</v>
      </c>
      <c r="H372" s="266">
        <v>53331.6</v>
      </c>
      <c r="I372" s="268">
        <v>46039</v>
      </c>
      <c r="J372" s="268">
        <v>46403</v>
      </c>
      <c r="K372" s="267"/>
      <c r="L372" s="224" t="str">
        <f t="shared" si="130"/>
        <v>12130001_AUD_100000001_NONGHYUP BANK SYDNEY BRANCH</v>
      </c>
      <c r="M372" s="221">
        <f t="shared" si="110"/>
        <v>53331.6</v>
      </c>
      <c r="N372" s="24" t="str">
        <f>IF(OR(L372=$L$2,L372=$L$3),$M$10+1,IFERROR(VLOOKUP(A372,'Repricing Maturity Adj.'!$A$3:$C$170,3,0),(IF(K372&lt;$M$10,"Check",K372))))</f>
        <v>Non_sensitive</v>
      </c>
      <c r="O372" s="62" t="b">
        <f t="shared" si="111"/>
        <v>1</v>
      </c>
      <c r="P372" s="63" t="str">
        <f t="shared" si="112"/>
        <v>Asset</v>
      </c>
      <c r="Q372" s="25">
        <f t="shared" si="113"/>
        <v>0</v>
      </c>
      <c r="R372" s="25">
        <f t="shared" si="114"/>
        <v>0</v>
      </c>
      <c r="S372" s="25">
        <f t="shared" si="115"/>
        <v>0</v>
      </c>
      <c r="T372" s="25">
        <f t="shared" si="116"/>
        <v>0</v>
      </c>
      <c r="U372" s="25">
        <f t="shared" si="117"/>
        <v>0</v>
      </c>
      <c r="V372" s="25">
        <f t="shared" si="118"/>
        <v>0</v>
      </c>
      <c r="W372" s="25">
        <f t="shared" si="119"/>
        <v>0</v>
      </c>
      <c r="X372" s="64">
        <f t="shared" si="120"/>
        <v>0</v>
      </c>
      <c r="Y372" s="64">
        <f t="shared" si="121"/>
        <v>0</v>
      </c>
      <c r="Z372" s="64">
        <f t="shared" si="122"/>
        <v>0</v>
      </c>
      <c r="AA372" s="64">
        <f t="shared" si="123"/>
        <v>0</v>
      </c>
      <c r="AB372" s="64">
        <f t="shared" si="124"/>
        <v>0</v>
      </c>
      <c r="AC372" s="64">
        <f t="shared" si="125"/>
        <v>0</v>
      </c>
      <c r="AD372" s="64">
        <f t="shared" si="126"/>
        <v>0</v>
      </c>
      <c r="AE372" s="64">
        <f t="shared" si="127"/>
        <v>0</v>
      </c>
      <c r="AF372" s="64">
        <f t="shared" si="128"/>
        <v>0</v>
      </c>
      <c r="AG372" s="29">
        <f t="shared" si="129"/>
        <v>53331.6</v>
      </c>
    </row>
    <row r="373" spans="1:34">
      <c r="A373" s="265">
        <v>12130001</v>
      </c>
      <c r="B373" s="265" t="s">
        <v>417</v>
      </c>
      <c r="C373" s="265" t="s">
        <v>896</v>
      </c>
      <c r="D373" s="265">
        <v>100000001</v>
      </c>
      <c r="E373" s="265" t="s">
        <v>51</v>
      </c>
      <c r="F373" s="265" t="s">
        <v>0</v>
      </c>
      <c r="G373" s="266">
        <v>52975.57</v>
      </c>
      <c r="H373" s="266">
        <v>52975.57</v>
      </c>
      <c r="I373" s="268">
        <v>46040</v>
      </c>
      <c r="J373" s="268">
        <v>46368</v>
      </c>
      <c r="K373" s="267"/>
      <c r="L373" s="224" t="str">
        <f t="shared" si="130"/>
        <v>12130001_AUD_100000001_NONGHYUP BANK SYDNEY BRANCH</v>
      </c>
      <c r="M373" s="221">
        <f t="shared" si="110"/>
        <v>52975.57</v>
      </c>
      <c r="N373" s="24" t="str">
        <f>IF(OR(L373=$L$2,L373=$L$3),$M$10+1,IFERROR(VLOOKUP(A373,'Repricing Maturity Adj.'!$A$3:$C$170,3,0),(IF(K373&lt;$M$10,"Check",K373))))</f>
        <v>Non_sensitive</v>
      </c>
      <c r="O373" s="62" t="b">
        <f t="shared" si="111"/>
        <v>1</v>
      </c>
      <c r="P373" s="63" t="str">
        <f t="shared" si="112"/>
        <v>Asset</v>
      </c>
      <c r="Q373" s="25">
        <f t="shared" si="113"/>
        <v>0</v>
      </c>
      <c r="R373" s="25">
        <f t="shared" si="114"/>
        <v>0</v>
      </c>
      <c r="S373" s="25">
        <f t="shared" si="115"/>
        <v>0</v>
      </c>
      <c r="T373" s="25">
        <f t="shared" si="116"/>
        <v>0</v>
      </c>
      <c r="U373" s="25">
        <f t="shared" si="117"/>
        <v>0</v>
      </c>
      <c r="V373" s="25">
        <f t="shared" si="118"/>
        <v>0</v>
      </c>
      <c r="W373" s="25">
        <f t="shared" si="119"/>
        <v>0</v>
      </c>
      <c r="X373" s="64">
        <f t="shared" si="120"/>
        <v>0</v>
      </c>
      <c r="Y373" s="64">
        <f t="shared" si="121"/>
        <v>0</v>
      </c>
      <c r="Z373" s="64">
        <f t="shared" si="122"/>
        <v>0</v>
      </c>
      <c r="AA373" s="64">
        <f t="shared" si="123"/>
        <v>0</v>
      </c>
      <c r="AB373" s="64">
        <f t="shared" si="124"/>
        <v>0</v>
      </c>
      <c r="AC373" s="64">
        <f t="shared" si="125"/>
        <v>0</v>
      </c>
      <c r="AD373" s="64">
        <f t="shared" si="126"/>
        <v>0</v>
      </c>
      <c r="AE373" s="64">
        <f t="shared" si="127"/>
        <v>0</v>
      </c>
      <c r="AF373" s="64">
        <f t="shared" si="128"/>
        <v>0</v>
      </c>
      <c r="AG373" s="29">
        <f t="shared" si="129"/>
        <v>52975.57</v>
      </c>
    </row>
    <row r="374" spans="1:34">
      <c r="A374" s="265">
        <v>12130001</v>
      </c>
      <c r="B374" s="265" t="s">
        <v>417</v>
      </c>
      <c r="C374" s="265" t="s">
        <v>901</v>
      </c>
      <c r="D374" s="265">
        <v>100000001</v>
      </c>
      <c r="E374" s="265" t="s">
        <v>51</v>
      </c>
      <c r="F374" s="265" t="s">
        <v>0</v>
      </c>
      <c r="G374" s="266">
        <v>59206.33</v>
      </c>
      <c r="H374" s="266">
        <v>59206.33</v>
      </c>
      <c r="I374" s="268">
        <v>46049</v>
      </c>
      <c r="J374" s="268">
        <v>46413</v>
      </c>
      <c r="K374" s="267"/>
      <c r="L374" s="224" t="str">
        <f t="shared" si="130"/>
        <v>12130001_AUD_100000001_NONGHYUP BANK SYDNEY BRANCH</v>
      </c>
      <c r="M374" s="221">
        <f t="shared" si="110"/>
        <v>59206.33</v>
      </c>
      <c r="N374" s="24" t="str">
        <f>IF(OR(L374=$L$2,L374=$L$3),$M$10+1,IFERROR(VLOOKUP(A374,'Repricing Maturity Adj.'!$A$3:$C$170,3,0),(IF(K374&lt;$M$10,"Check",K374))))</f>
        <v>Non_sensitive</v>
      </c>
      <c r="O374" s="62" t="b">
        <f t="shared" si="111"/>
        <v>1</v>
      </c>
      <c r="P374" s="63" t="str">
        <f t="shared" si="112"/>
        <v>Asset</v>
      </c>
      <c r="Q374" s="25">
        <f t="shared" si="113"/>
        <v>0</v>
      </c>
      <c r="R374" s="25">
        <f t="shared" si="114"/>
        <v>0</v>
      </c>
      <c r="S374" s="25">
        <f t="shared" si="115"/>
        <v>0</v>
      </c>
      <c r="T374" s="25">
        <f t="shared" si="116"/>
        <v>0</v>
      </c>
      <c r="U374" s="25">
        <f t="shared" si="117"/>
        <v>0</v>
      </c>
      <c r="V374" s="25">
        <f t="shared" si="118"/>
        <v>0</v>
      </c>
      <c r="W374" s="25">
        <f t="shared" si="119"/>
        <v>0</v>
      </c>
      <c r="X374" s="64">
        <f t="shared" si="120"/>
        <v>0</v>
      </c>
      <c r="Y374" s="64">
        <f t="shared" si="121"/>
        <v>0</v>
      </c>
      <c r="Z374" s="64">
        <f t="shared" si="122"/>
        <v>0</v>
      </c>
      <c r="AA374" s="64">
        <f t="shared" si="123"/>
        <v>0</v>
      </c>
      <c r="AB374" s="64">
        <f t="shared" si="124"/>
        <v>0</v>
      </c>
      <c r="AC374" s="64">
        <f t="shared" si="125"/>
        <v>0</v>
      </c>
      <c r="AD374" s="64">
        <f t="shared" si="126"/>
        <v>0</v>
      </c>
      <c r="AE374" s="64">
        <f t="shared" si="127"/>
        <v>0</v>
      </c>
      <c r="AF374" s="64">
        <f t="shared" si="128"/>
        <v>0</v>
      </c>
      <c r="AG374" s="29">
        <f t="shared" si="129"/>
        <v>59206.33</v>
      </c>
    </row>
    <row r="375" spans="1:34">
      <c r="A375" s="265">
        <v>12130001</v>
      </c>
      <c r="B375" s="265" t="s">
        <v>417</v>
      </c>
      <c r="C375" s="265" t="s">
        <v>903</v>
      </c>
      <c r="D375" s="265">
        <v>100000001</v>
      </c>
      <c r="E375" s="265" t="s">
        <v>51</v>
      </c>
      <c r="F375" s="265" t="s">
        <v>0</v>
      </c>
      <c r="G375" s="266">
        <v>58640.68</v>
      </c>
      <c r="H375" s="266">
        <v>58640.68</v>
      </c>
      <c r="I375" s="268">
        <v>46046</v>
      </c>
      <c r="J375" s="268">
        <v>46410</v>
      </c>
      <c r="K375" s="267"/>
      <c r="L375" s="224" t="str">
        <f t="shared" si="130"/>
        <v>12130001_AUD_100000001_NONGHYUP BANK SYDNEY BRANCH</v>
      </c>
      <c r="M375" s="221">
        <f t="shared" si="110"/>
        <v>58640.68</v>
      </c>
      <c r="N375" s="24" t="str">
        <f>IF(OR(L375=$L$2,L375=$L$3),$M$10+1,IFERROR(VLOOKUP(A375,'Repricing Maturity Adj.'!$A$3:$C$170,3,0),(IF(K375&lt;$M$10,"Check",K375))))</f>
        <v>Non_sensitive</v>
      </c>
      <c r="O375" s="62" t="b">
        <f t="shared" si="111"/>
        <v>1</v>
      </c>
      <c r="P375" s="63" t="str">
        <f t="shared" si="112"/>
        <v>Asset</v>
      </c>
      <c r="Q375" s="25">
        <f t="shared" si="113"/>
        <v>0</v>
      </c>
      <c r="R375" s="25">
        <f t="shared" si="114"/>
        <v>0</v>
      </c>
      <c r="S375" s="25">
        <f t="shared" si="115"/>
        <v>0</v>
      </c>
      <c r="T375" s="25">
        <f t="shared" si="116"/>
        <v>0</v>
      </c>
      <c r="U375" s="25">
        <f t="shared" si="117"/>
        <v>0</v>
      </c>
      <c r="V375" s="25">
        <f t="shared" si="118"/>
        <v>0</v>
      </c>
      <c r="W375" s="25">
        <f t="shared" si="119"/>
        <v>0</v>
      </c>
      <c r="X375" s="64">
        <f t="shared" si="120"/>
        <v>0</v>
      </c>
      <c r="Y375" s="64">
        <f t="shared" si="121"/>
        <v>0</v>
      </c>
      <c r="Z375" s="64">
        <f t="shared" si="122"/>
        <v>0</v>
      </c>
      <c r="AA375" s="64">
        <f t="shared" si="123"/>
        <v>0</v>
      </c>
      <c r="AB375" s="64">
        <f t="shared" si="124"/>
        <v>0</v>
      </c>
      <c r="AC375" s="64">
        <f t="shared" si="125"/>
        <v>0</v>
      </c>
      <c r="AD375" s="64">
        <f t="shared" si="126"/>
        <v>0</v>
      </c>
      <c r="AE375" s="64">
        <f t="shared" si="127"/>
        <v>0</v>
      </c>
      <c r="AF375" s="64">
        <f t="shared" si="128"/>
        <v>0</v>
      </c>
      <c r="AG375" s="29">
        <f t="shared" si="129"/>
        <v>58640.68</v>
      </c>
    </row>
    <row r="376" spans="1:34">
      <c r="A376" s="265">
        <v>12130001</v>
      </c>
      <c r="B376" s="265" t="s">
        <v>417</v>
      </c>
      <c r="C376" s="265" t="s">
        <v>418</v>
      </c>
      <c r="D376" s="265">
        <v>100000001</v>
      </c>
      <c r="E376" s="265" t="s">
        <v>51</v>
      </c>
      <c r="F376" s="265" t="s">
        <v>0</v>
      </c>
      <c r="G376" s="266">
        <v>3674</v>
      </c>
      <c r="H376" s="266">
        <v>3674</v>
      </c>
      <c r="I376" s="267"/>
      <c r="J376" s="267"/>
      <c r="K376" s="267"/>
      <c r="L376" s="224" t="str">
        <f t="shared" si="130"/>
        <v>12130001_AUD_100000001_NONGHYUP BANK SYDNEY BRANCH</v>
      </c>
      <c r="M376" s="221">
        <f t="shared" si="110"/>
        <v>3674</v>
      </c>
      <c r="N376" s="24" t="str">
        <f>IF(OR(L376=$L$2,L376=$L$3),$M$10+1,IFERROR(VLOOKUP(A376,'Repricing Maturity Adj.'!$A$3:$C$170,3,0),(IF(K376&lt;$M$10,"Check",K376))))</f>
        <v>Non_sensitive</v>
      </c>
      <c r="O376" s="62" t="b">
        <f t="shared" si="111"/>
        <v>1</v>
      </c>
      <c r="P376" s="63" t="str">
        <f t="shared" si="112"/>
        <v>Asset</v>
      </c>
      <c r="Q376" s="25">
        <f t="shared" si="113"/>
        <v>0</v>
      </c>
      <c r="R376" s="25">
        <f t="shared" si="114"/>
        <v>0</v>
      </c>
      <c r="S376" s="25">
        <f t="shared" si="115"/>
        <v>0</v>
      </c>
      <c r="T376" s="25">
        <f t="shared" si="116"/>
        <v>0</v>
      </c>
      <c r="U376" s="25">
        <f t="shared" si="117"/>
        <v>0</v>
      </c>
      <c r="V376" s="25">
        <f t="shared" si="118"/>
        <v>0</v>
      </c>
      <c r="W376" s="25">
        <f t="shared" si="119"/>
        <v>0</v>
      </c>
      <c r="X376" s="64">
        <f t="shared" si="120"/>
        <v>0</v>
      </c>
      <c r="Y376" s="64">
        <f t="shared" si="121"/>
        <v>0</v>
      </c>
      <c r="Z376" s="64">
        <f t="shared" si="122"/>
        <v>0</v>
      </c>
      <c r="AA376" s="64">
        <f t="shared" si="123"/>
        <v>0</v>
      </c>
      <c r="AB376" s="64">
        <f t="shared" si="124"/>
        <v>0</v>
      </c>
      <c r="AC376" s="64">
        <f t="shared" si="125"/>
        <v>0</v>
      </c>
      <c r="AD376" s="64">
        <f t="shared" si="126"/>
        <v>0</v>
      </c>
      <c r="AE376" s="64">
        <f t="shared" si="127"/>
        <v>0</v>
      </c>
      <c r="AF376" s="64">
        <f t="shared" si="128"/>
        <v>0</v>
      </c>
      <c r="AG376" s="29">
        <f t="shared" si="129"/>
        <v>3674</v>
      </c>
    </row>
    <row r="377" spans="1:34">
      <c r="A377" s="265">
        <v>12130001</v>
      </c>
      <c r="B377" s="265" t="s">
        <v>417</v>
      </c>
      <c r="C377" s="265" t="s">
        <v>419</v>
      </c>
      <c r="D377" s="265">
        <v>100000001</v>
      </c>
      <c r="E377" s="265" t="s">
        <v>51</v>
      </c>
      <c r="F377" s="265" t="s">
        <v>0</v>
      </c>
      <c r="G377" s="266">
        <v>12433</v>
      </c>
      <c r="H377" s="266">
        <v>12433</v>
      </c>
      <c r="I377" s="267"/>
      <c r="J377" s="267"/>
      <c r="K377" s="267"/>
      <c r="L377" s="224" t="str">
        <f t="shared" si="130"/>
        <v>12130001_AUD_100000001_NONGHYUP BANK SYDNEY BRANCH</v>
      </c>
      <c r="M377" s="221">
        <f t="shared" si="110"/>
        <v>12433</v>
      </c>
      <c r="N377" s="24" t="str">
        <f>IF(OR(L377=$L$2,L377=$L$3),$M$10+1,IFERROR(VLOOKUP(A377,'Repricing Maturity Adj.'!$A$3:$C$170,3,0),(IF(K377&lt;$M$10,"Check",K377))))</f>
        <v>Non_sensitive</v>
      </c>
      <c r="O377" s="62" t="b">
        <f t="shared" si="111"/>
        <v>1</v>
      </c>
      <c r="P377" s="63" t="str">
        <f t="shared" si="112"/>
        <v>Asset</v>
      </c>
      <c r="Q377" s="25">
        <f t="shared" si="113"/>
        <v>0</v>
      </c>
      <c r="R377" s="25">
        <f t="shared" si="114"/>
        <v>0</v>
      </c>
      <c r="S377" s="25">
        <f t="shared" si="115"/>
        <v>0</v>
      </c>
      <c r="T377" s="25">
        <f t="shared" si="116"/>
        <v>0</v>
      </c>
      <c r="U377" s="25">
        <f t="shared" si="117"/>
        <v>0</v>
      </c>
      <c r="V377" s="25">
        <f t="shared" si="118"/>
        <v>0</v>
      </c>
      <c r="W377" s="25">
        <f t="shared" si="119"/>
        <v>0</v>
      </c>
      <c r="X377" s="64">
        <f t="shared" si="120"/>
        <v>0</v>
      </c>
      <c r="Y377" s="64">
        <f t="shared" si="121"/>
        <v>0</v>
      </c>
      <c r="Z377" s="64">
        <f t="shared" si="122"/>
        <v>0</v>
      </c>
      <c r="AA377" s="64">
        <f t="shared" si="123"/>
        <v>0</v>
      </c>
      <c r="AB377" s="64">
        <f t="shared" si="124"/>
        <v>0</v>
      </c>
      <c r="AC377" s="64">
        <f t="shared" si="125"/>
        <v>0</v>
      </c>
      <c r="AD377" s="64">
        <f t="shared" si="126"/>
        <v>0</v>
      </c>
      <c r="AE377" s="64">
        <f t="shared" si="127"/>
        <v>0</v>
      </c>
      <c r="AF377" s="64">
        <f t="shared" si="128"/>
        <v>0</v>
      </c>
      <c r="AG377" s="29">
        <f t="shared" si="129"/>
        <v>12433</v>
      </c>
    </row>
    <row r="378" spans="1:34">
      <c r="A378" s="265">
        <v>12130001</v>
      </c>
      <c r="B378" s="265" t="s">
        <v>417</v>
      </c>
      <c r="C378" s="265" t="s">
        <v>420</v>
      </c>
      <c r="D378" s="265">
        <v>100000001</v>
      </c>
      <c r="E378" s="265" t="s">
        <v>51</v>
      </c>
      <c r="F378" s="265" t="s">
        <v>0</v>
      </c>
      <c r="G378" s="266">
        <v>-3674</v>
      </c>
      <c r="H378" s="266">
        <v>-3674</v>
      </c>
      <c r="I378" s="267"/>
      <c r="J378" s="267"/>
      <c r="K378" s="267"/>
      <c r="L378" s="224" t="str">
        <f t="shared" si="130"/>
        <v>12130001_AUD_100000001_NONGHYUP BANK SYDNEY BRANCH</v>
      </c>
      <c r="M378" s="221">
        <f t="shared" si="110"/>
        <v>-3674</v>
      </c>
      <c r="N378" s="24" t="str">
        <f>IF(OR(L378=$L$2,L378=$L$3),$M$10+1,IFERROR(VLOOKUP(A378,'Repricing Maturity Adj.'!$A$3:$C$170,3,0),(IF(K378&lt;$M$10,"Check",K378))))</f>
        <v>Non_sensitive</v>
      </c>
      <c r="O378" s="62" t="b">
        <f t="shared" si="111"/>
        <v>1</v>
      </c>
      <c r="P378" s="63" t="str">
        <f t="shared" si="112"/>
        <v>Asset</v>
      </c>
      <c r="Q378" s="25">
        <f t="shared" si="113"/>
        <v>0</v>
      </c>
      <c r="R378" s="25">
        <f t="shared" si="114"/>
        <v>0</v>
      </c>
      <c r="S378" s="25">
        <f t="shared" si="115"/>
        <v>0</v>
      </c>
      <c r="T378" s="25">
        <f t="shared" si="116"/>
        <v>0</v>
      </c>
      <c r="U378" s="25">
        <f t="shared" si="117"/>
        <v>0</v>
      </c>
      <c r="V378" s="25">
        <f t="shared" si="118"/>
        <v>0</v>
      </c>
      <c r="W378" s="25">
        <f t="shared" si="119"/>
        <v>0</v>
      </c>
      <c r="X378" s="64">
        <f t="shared" si="120"/>
        <v>0</v>
      </c>
      <c r="Y378" s="64">
        <f t="shared" si="121"/>
        <v>0</v>
      </c>
      <c r="Z378" s="64">
        <f t="shared" si="122"/>
        <v>0</v>
      </c>
      <c r="AA378" s="64">
        <f t="shared" si="123"/>
        <v>0</v>
      </c>
      <c r="AB378" s="64">
        <f t="shared" si="124"/>
        <v>0</v>
      </c>
      <c r="AC378" s="64">
        <f t="shared" si="125"/>
        <v>0</v>
      </c>
      <c r="AD378" s="64">
        <f t="shared" si="126"/>
        <v>0</v>
      </c>
      <c r="AE378" s="64">
        <f t="shared" si="127"/>
        <v>0</v>
      </c>
      <c r="AF378" s="64">
        <f t="shared" si="128"/>
        <v>0</v>
      </c>
      <c r="AG378" s="29">
        <f t="shared" si="129"/>
        <v>-3674</v>
      </c>
    </row>
    <row r="379" spans="1:34">
      <c r="A379" s="265">
        <v>12130001</v>
      </c>
      <c r="B379" s="265" t="s">
        <v>417</v>
      </c>
      <c r="C379" s="265" t="s">
        <v>421</v>
      </c>
      <c r="D379" s="265">
        <v>100000001</v>
      </c>
      <c r="E379" s="265" t="s">
        <v>51</v>
      </c>
      <c r="F379" s="265" t="s">
        <v>0</v>
      </c>
      <c r="G379" s="266">
        <v>-3707</v>
      </c>
      <c r="H379" s="266">
        <v>-3707</v>
      </c>
      <c r="I379" s="267"/>
      <c r="J379" s="267"/>
      <c r="K379" s="267"/>
      <c r="L379" s="224" t="str">
        <f t="shared" si="130"/>
        <v>12130001_AUD_100000001_NONGHYUP BANK SYDNEY BRANCH</v>
      </c>
      <c r="M379" s="221">
        <f t="shared" si="110"/>
        <v>-3707</v>
      </c>
      <c r="N379" s="24" t="str">
        <f>IF(OR(L379=$L$2,L379=$L$3),$M$10+1,IFERROR(VLOOKUP(A379,'Repricing Maturity Adj.'!$A$3:$C$170,3,0),(IF(K379&lt;$M$10,"Check",K379))))</f>
        <v>Non_sensitive</v>
      </c>
      <c r="O379" s="62" t="b">
        <f t="shared" si="111"/>
        <v>1</v>
      </c>
      <c r="P379" s="63" t="str">
        <f t="shared" si="112"/>
        <v>Asset</v>
      </c>
      <c r="Q379" s="25">
        <f t="shared" si="113"/>
        <v>0</v>
      </c>
      <c r="R379" s="25">
        <f t="shared" si="114"/>
        <v>0</v>
      </c>
      <c r="S379" s="25">
        <f t="shared" si="115"/>
        <v>0</v>
      </c>
      <c r="T379" s="25">
        <f t="shared" si="116"/>
        <v>0</v>
      </c>
      <c r="U379" s="25">
        <f t="shared" si="117"/>
        <v>0</v>
      </c>
      <c r="V379" s="25">
        <f t="shared" si="118"/>
        <v>0</v>
      </c>
      <c r="W379" s="25">
        <f t="shared" si="119"/>
        <v>0</v>
      </c>
      <c r="X379" s="64">
        <f t="shared" si="120"/>
        <v>0</v>
      </c>
      <c r="Y379" s="64">
        <f t="shared" si="121"/>
        <v>0</v>
      </c>
      <c r="Z379" s="64">
        <f t="shared" si="122"/>
        <v>0</v>
      </c>
      <c r="AA379" s="64">
        <f t="shared" si="123"/>
        <v>0</v>
      </c>
      <c r="AB379" s="64">
        <f t="shared" si="124"/>
        <v>0</v>
      </c>
      <c r="AC379" s="64">
        <f t="shared" si="125"/>
        <v>0</v>
      </c>
      <c r="AD379" s="64">
        <f t="shared" si="126"/>
        <v>0</v>
      </c>
      <c r="AE379" s="64">
        <f t="shared" si="127"/>
        <v>0</v>
      </c>
      <c r="AF379" s="64">
        <f t="shared" si="128"/>
        <v>0</v>
      </c>
      <c r="AG379" s="29">
        <f t="shared" si="129"/>
        <v>-3707</v>
      </c>
    </row>
    <row r="380" spans="1:34">
      <c r="A380" s="265">
        <v>12130001</v>
      </c>
      <c r="B380" s="265" t="s">
        <v>417</v>
      </c>
      <c r="C380" s="265" t="s">
        <v>422</v>
      </c>
      <c r="D380" s="265">
        <v>100000001</v>
      </c>
      <c r="E380" s="265" t="s">
        <v>51</v>
      </c>
      <c r="F380" s="265" t="s">
        <v>0</v>
      </c>
      <c r="G380" s="266">
        <v>-925.82</v>
      </c>
      <c r="H380" s="266">
        <v>-925.82</v>
      </c>
      <c r="I380" s="267"/>
      <c r="J380" s="267"/>
      <c r="K380" s="267"/>
      <c r="L380" s="224" t="str">
        <f t="shared" si="130"/>
        <v>12130001_AUD_100000001_NONGHYUP BANK SYDNEY BRANCH</v>
      </c>
      <c r="M380" s="221">
        <f t="shared" si="110"/>
        <v>-925.82</v>
      </c>
      <c r="N380" s="24" t="str">
        <f>IF(OR(L380=$L$2,L380=$L$3),$M$10+1,IFERROR(VLOOKUP(A380,'Repricing Maturity Adj.'!$A$3:$C$170,3,0),(IF(K380&lt;$M$10,"Check",K380))))</f>
        <v>Non_sensitive</v>
      </c>
      <c r="O380" s="62" t="b">
        <f t="shared" si="111"/>
        <v>1</v>
      </c>
      <c r="P380" s="63" t="str">
        <f t="shared" si="112"/>
        <v>Asset</v>
      </c>
      <c r="Q380" s="25">
        <f t="shared" si="113"/>
        <v>0</v>
      </c>
      <c r="R380" s="25">
        <f t="shared" si="114"/>
        <v>0</v>
      </c>
      <c r="S380" s="25">
        <f t="shared" si="115"/>
        <v>0</v>
      </c>
      <c r="T380" s="25">
        <f t="shared" si="116"/>
        <v>0</v>
      </c>
      <c r="U380" s="25">
        <f t="shared" si="117"/>
        <v>0</v>
      </c>
      <c r="V380" s="25">
        <f t="shared" si="118"/>
        <v>0</v>
      </c>
      <c r="W380" s="25">
        <f t="shared" si="119"/>
        <v>0</v>
      </c>
      <c r="X380" s="64">
        <f t="shared" si="120"/>
        <v>0</v>
      </c>
      <c r="Y380" s="64">
        <f t="shared" si="121"/>
        <v>0</v>
      </c>
      <c r="Z380" s="64">
        <f t="shared" si="122"/>
        <v>0</v>
      </c>
      <c r="AA380" s="64">
        <f t="shared" si="123"/>
        <v>0</v>
      </c>
      <c r="AB380" s="64">
        <f t="shared" si="124"/>
        <v>0</v>
      </c>
      <c r="AC380" s="64">
        <f t="shared" si="125"/>
        <v>0</v>
      </c>
      <c r="AD380" s="64">
        <f t="shared" si="126"/>
        <v>0</v>
      </c>
      <c r="AE380" s="64">
        <f t="shared" si="127"/>
        <v>0</v>
      </c>
      <c r="AF380" s="64">
        <f t="shared" si="128"/>
        <v>0</v>
      </c>
      <c r="AG380" s="29">
        <f t="shared" si="129"/>
        <v>-925.82</v>
      </c>
    </row>
    <row r="381" spans="1:34">
      <c r="A381" s="265">
        <v>12130001</v>
      </c>
      <c r="B381" s="265" t="s">
        <v>417</v>
      </c>
      <c r="C381" s="265" t="s">
        <v>423</v>
      </c>
      <c r="D381" s="265">
        <v>100000001</v>
      </c>
      <c r="E381" s="265" t="s">
        <v>51</v>
      </c>
      <c r="F381" s="265" t="s">
        <v>0</v>
      </c>
      <c r="G381" s="266">
        <v>-1024</v>
      </c>
      <c r="H381" s="266">
        <v>-1024</v>
      </c>
      <c r="I381" s="267"/>
      <c r="J381" s="267"/>
      <c r="K381" s="267"/>
      <c r="L381" s="224" t="str">
        <f t="shared" si="130"/>
        <v>12130001_AUD_100000001_NONGHYUP BANK SYDNEY BRANCH</v>
      </c>
      <c r="M381" s="221">
        <f t="shared" si="110"/>
        <v>-1024</v>
      </c>
      <c r="N381" s="24" t="str">
        <f>IF(OR(L381=$L$2,L381=$L$3),$M$10+1,IFERROR(VLOOKUP(A381,'Repricing Maturity Adj.'!$A$3:$C$170,3,0),(IF(K381&lt;$M$10,"Check",K381))))</f>
        <v>Non_sensitive</v>
      </c>
      <c r="O381" s="62" t="b">
        <f t="shared" si="111"/>
        <v>1</v>
      </c>
      <c r="P381" s="63" t="str">
        <f t="shared" si="112"/>
        <v>Asset</v>
      </c>
      <c r="Q381" s="25">
        <f t="shared" si="113"/>
        <v>0</v>
      </c>
      <c r="R381" s="25">
        <f t="shared" si="114"/>
        <v>0</v>
      </c>
      <c r="S381" s="25">
        <f t="shared" si="115"/>
        <v>0</v>
      </c>
      <c r="T381" s="25">
        <f t="shared" si="116"/>
        <v>0</v>
      </c>
      <c r="U381" s="25">
        <f t="shared" si="117"/>
        <v>0</v>
      </c>
      <c r="V381" s="25">
        <f t="shared" si="118"/>
        <v>0</v>
      </c>
      <c r="W381" s="25">
        <f t="shared" si="119"/>
        <v>0</v>
      </c>
      <c r="X381" s="64">
        <f t="shared" si="120"/>
        <v>0</v>
      </c>
      <c r="Y381" s="64">
        <f t="shared" si="121"/>
        <v>0</v>
      </c>
      <c r="Z381" s="64">
        <f t="shared" si="122"/>
        <v>0</v>
      </c>
      <c r="AA381" s="64">
        <f t="shared" si="123"/>
        <v>0</v>
      </c>
      <c r="AB381" s="64">
        <f t="shared" si="124"/>
        <v>0</v>
      </c>
      <c r="AC381" s="64">
        <f t="shared" si="125"/>
        <v>0</v>
      </c>
      <c r="AD381" s="64">
        <f t="shared" si="126"/>
        <v>0</v>
      </c>
      <c r="AE381" s="64">
        <f t="shared" si="127"/>
        <v>0</v>
      </c>
      <c r="AF381" s="64">
        <f t="shared" si="128"/>
        <v>0</v>
      </c>
      <c r="AG381" s="29">
        <f t="shared" si="129"/>
        <v>-1024</v>
      </c>
    </row>
    <row r="382" spans="1:34">
      <c r="A382" s="265">
        <v>12130001</v>
      </c>
      <c r="B382" s="265" t="s">
        <v>417</v>
      </c>
      <c r="C382" s="265" t="s">
        <v>424</v>
      </c>
      <c r="D382" s="265">
        <v>100000001</v>
      </c>
      <c r="E382" s="265" t="s">
        <v>51</v>
      </c>
      <c r="F382" s="265" t="s">
        <v>0</v>
      </c>
      <c r="G382" s="266">
        <v>-925.82</v>
      </c>
      <c r="H382" s="266">
        <v>-925.82</v>
      </c>
      <c r="I382" s="267"/>
      <c r="J382" s="267"/>
      <c r="K382" s="267"/>
      <c r="L382" s="224" t="str">
        <f t="shared" si="130"/>
        <v>12130001_AUD_100000001_NONGHYUP BANK SYDNEY BRANCH</v>
      </c>
      <c r="M382" s="221">
        <f t="shared" si="110"/>
        <v>-925.82</v>
      </c>
      <c r="N382" s="24" t="str">
        <f>IF(OR(L382=$L$2,L382=$L$3),$M$10+1,IFERROR(VLOOKUP(A382,'Repricing Maturity Adj.'!$A$3:$C$170,3,0),(IF(K382&lt;$M$10,"Check",K382))))</f>
        <v>Non_sensitive</v>
      </c>
      <c r="O382" s="62" t="b">
        <f t="shared" si="111"/>
        <v>1</v>
      </c>
      <c r="P382" s="63" t="str">
        <f t="shared" si="112"/>
        <v>Asset</v>
      </c>
      <c r="Q382" s="25">
        <f t="shared" si="113"/>
        <v>0</v>
      </c>
      <c r="R382" s="25">
        <f t="shared" si="114"/>
        <v>0</v>
      </c>
      <c r="S382" s="25">
        <f t="shared" si="115"/>
        <v>0</v>
      </c>
      <c r="T382" s="25">
        <f t="shared" si="116"/>
        <v>0</v>
      </c>
      <c r="U382" s="25">
        <f t="shared" si="117"/>
        <v>0</v>
      </c>
      <c r="V382" s="25">
        <f t="shared" si="118"/>
        <v>0</v>
      </c>
      <c r="W382" s="25">
        <f t="shared" si="119"/>
        <v>0</v>
      </c>
      <c r="X382" s="64">
        <f t="shared" si="120"/>
        <v>0</v>
      </c>
      <c r="Y382" s="64">
        <f t="shared" si="121"/>
        <v>0</v>
      </c>
      <c r="Z382" s="64">
        <f t="shared" si="122"/>
        <v>0</v>
      </c>
      <c r="AA382" s="64">
        <f t="shared" si="123"/>
        <v>0</v>
      </c>
      <c r="AB382" s="64">
        <f t="shared" si="124"/>
        <v>0</v>
      </c>
      <c r="AC382" s="64">
        <f t="shared" si="125"/>
        <v>0</v>
      </c>
      <c r="AD382" s="64">
        <f t="shared" si="126"/>
        <v>0</v>
      </c>
      <c r="AE382" s="64">
        <f t="shared" si="127"/>
        <v>0</v>
      </c>
      <c r="AF382" s="64">
        <f t="shared" si="128"/>
        <v>0</v>
      </c>
      <c r="AG382" s="29">
        <f t="shared" si="129"/>
        <v>-925.82</v>
      </c>
    </row>
    <row r="383" spans="1:34">
      <c r="A383" s="265">
        <v>12130001</v>
      </c>
      <c r="B383" s="265" t="s">
        <v>417</v>
      </c>
      <c r="C383" s="265" t="s">
        <v>425</v>
      </c>
      <c r="D383" s="265">
        <v>100000001</v>
      </c>
      <c r="E383" s="265" t="s">
        <v>51</v>
      </c>
      <c r="F383" s="265" t="s">
        <v>0</v>
      </c>
      <c r="G383" s="266">
        <v>-1023.9</v>
      </c>
      <c r="H383" s="266">
        <v>-1023.9</v>
      </c>
      <c r="I383" s="267"/>
      <c r="J383" s="267"/>
      <c r="K383" s="267"/>
      <c r="L383" s="224" t="str">
        <f t="shared" si="130"/>
        <v>12130001_AUD_100000001_NONGHYUP BANK SYDNEY BRANCH</v>
      </c>
      <c r="M383" s="221">
        <f t="shared" ref="M383:M446" si="131">IF(COUNTIF($A$2:$A$8,A383)&gt;0,-H383,H383)</f>
        <v>-1023.9</v>
      </c>
      <c r="N383" s="24" t="str">
        <f>IF(OR(L383=$L$2,L383=$L$3),$M$10+1,IFERROR(VLOOKUP(A383,'Repricing Maturity Adj.'!$A$3:$C$170,3,0),(IF(K383&lt;$M$10,"Check",K383))))</f>
        <v>Non_sensitive</v>
      </c>
      <c r="O383" s="62" t="b">
        <f t="shared" ref="O383:O446" si="132">M383=SUM(Q383:AG383)</f>
        <v>1</v>
      </c>
      <c r="P383" s="63" t="str">
        <f t="shared" ref="P383:P446" si="133">IF(A383="","N/A",IF(COUNTIF($A$2:$A$7,A383)&gt;0,"Liability",IF(COUNTIF($A$8,A383)&gt;0,"Asset",IF(A383&lt;20000000,"Asset",IF(AND(A383&gt;20000000,A383&lt;28800000),"Liability",IF(A383&gt;28800000,"Equity",""))))))</f>
        <v>Asset</v>
      </c>
      <c r="Q383" s="25">
        <f t="shared" ref="Q383:Q446" si="134">IF(AND(N383&gt;$Q$9,N383&lt;$Q$10),M383,IF(N383=$Q$10,M383,0))</f>
        <v>0</v>
      </c>
      <c r="R383" s="25">
        <f t="shared" ref="R383:R446" si="135">IF(AND(N383&gt;$R$9,N383&lt;$R$10),M383,IF(N383=$R$10,M383,0))</f>
        <v>0</v>
      </c>
      <c r="S383" s="25">
        <f t="shared" ref="S383:S446" si="136">IF(AND(N383&gt;$S$9,N383&lt;$S$10),M383,IF(N383=$S$10,M383,0))</f>
        <v>0</v>
      </c>
      <c r="T383" s="25">
        <f t="shared" ref="T383:T446" si="137">IF(AND(N383&gt;$T$9,N383&lt;$T$10),M383,IF(N383=$T$10,M383,0))</f>
        <v>0</v>
      </c>
      <c r="U383" s="25">
        <f t="shared" ref="U383:U446" si="138">IF(AND(N383&gt;$U$9,N383&lt;$U$10),M383,IF(N383=$U$10,M383,0))</f>
        <v>0</v>
      </c>
      <c r="V383" s="25">
        <f t="shared" ref="V383:V446" si="139">IF(AND(N383&gt;$V$9,N383&lt;$V$10),M383,IF(N383=$V$10,M383,0))</f>
        <v>0</v>
      </c>
      <c r="W383" s="25">
        <f t="shared" ref="W383:W446" si="140">IF(AND(N383&gt;$W$9,N383&lt;$W$10),M383,IF(N383=$W$10,M383,0))</f>
        <v>0</v>
      </c>
      <c r="X383" s="64">
        <f t="shared" ref="X383:X446" si="141">IF(AND(N383&gt;$X$9,N383&lt;$X$10),M383,IF(N383=$X$10,M383,0))</f>
        <v>0</v>
      </c>
      <c r="Y383" s="64">
        <f t="shared" ref="Y383:Y446" si="142">IF(AND(N383&gt;$Y$9,N383&lt;$Y$10),M383,IF(N383=$Y$10,M383,0))</f>
        <v>0</v>
      </c>
      <c r="Z383" s="64">
        <f t="shared" ref="Z383:Z446" si="143">IF(AND(N383&gt;$Z$9,N383&lt;$Z$10),M383,IF(N383=$Z$10,M383,0))</f>
        <v>0</v>
      </c>
      <c r="AA383" s="64">
        <f t="shared" ref="AA383:AA446" si="144">IF(AND(N383&gt;$AA$9,N383&lt;$AA$10),M383,IF(N383=$AA$10,M383,0))</f>
        <v>0</v>
      </c>
      <c r="AB383" s="64">
        <f t="shared" ref="AB383:AB446" si="145">IF(AND(N383&gt;$AB$9,N383&lt;$AB$10),M383,IF(N383=$AB$10,M383,0))</f>
        <v>0</v>
      </c>
      <c r="AC383" s="64">
        <f t="shared" ref="AC383:AC446" si="146">IF(AND(N383&gt;$AC$9,N383&lt;$AC$10),M383,IF(N383=$AC$10,M383,0))</f>
        <v>0</v>
      </c>
      <c r="AD383" s="64">
        <f t="shared" ref="AD383:AD446" si="147">IF(AND(N383&gt;$AD$9,N383&lt;$AD$10),M383,IF(N383=$AD$10,M383,0))</f>
        <v>0</v>
      </c>
      <c r="AE383" s="64">
        <f t="shared" ref="AE383:AE446" si="148">IF(AND(N383&gt;$AE$9,N383&lt;$AE$10),M383,IF(N383=$AE$10,M383,0))</f>
        <v>0</v>
      </c>
      <c r="AF383" s="64">
        <f t="shared" ref="AF383:AF446" si="149">IF(AND(N383&gt;$AF$9,N383&lt;$AF$10),M383,IF(N383=$AF$10,M383,0))</f>
        <v>0</v>
      </c>
      <c r="AG383" s="29">
        <f t="shared" ref="AG383:AG446" si="150">IF(N383=$AG$9,M383,0)</f>
        <v>-1023.9</v>
      </c>
    </row>
    <row r="384" spans="1:34">
      <c r="A384" s="265">
        <v>12130001</v>
      </c>
      <c r="B384" s="265" t="s">
        <v>417</v>
      </c>
      <c r="C384" s="265" t="s">
        <v>426</v>
      </c>
      <c r="D384" s="265">
        <v>100000001</v>
      </c>
      <c r="E384" s="265" t="s">
        <v>51</v>
      </c>
      <c r="F384" s="265" t="s">
        <v>0</v>
      </c>
      <c r="G384" s="266">
        <v>-925.82</v>
      </c>
      <c r="H384" s="266">
        <v>-925.82</v>
      </c>
      <c r="I384" s="267"/>
      <c r="J384" s="267"/>
      <c r="K384" s="267"/>
      <c r="L384" s="224" t="str">
        <f t="shared" ref="L384:L447" si="151">A384&amp;"_"&amp;F384&amp;"_"&amp;D384&amp;"_"&amp;E384</f>
        <v>12130001_AUD_100000001_NONGHYUP BANK SYDNEY BRANCH</v>
      </c>
      <c r="M384" s="221">
        <f t="shared" si="131"/>
        <v>-925.82</v>
      </c>
      <c r="N384" s="24" t="str">
        <f>IF(OR(L384=$L$2,L384=$L$3),$M$10+1,IFERROR(VLOOKUP(A384,'Repricing Maturity Adj.'!$A$3:$C$170,3,0),(IF(K384&lt;$M$10,"Check",K384))))</f>
        <v>Non_sensitive</v>
      </c>
      <c r="O384" s="62" t="b">
        <f t="shared" si="132"/>
        <v>1</v>
      </c>
      <c r="P384" s="63" t="str">
        <f t="shared" si="133"/>
        <v>Asset</v>
      </c>
      <c r="Q384" s="25">
        <f t="shared" si="134"/>
        <v>0</v>
      </c>
      <c r="R384" s="25">
        <f t="shared" si="135"/>
        <v>0</v>
      </c>
      <c r="S384" s="25">
        <f t="shared" si="136"/>
        <v>0</v>
      </c>
      <c r="T384" s="25">
        <f t="shared" si="137"/>
        <v>0</v>
      </c>
      <c r="U384" s="25">
        <f t="shared" si="138"/>
        <v>0</v>
      </c>
      <c r="V384" s="25">
        <f t="shared" si="139"/>
        <v>0</v>
      </c>
      <c r="W384" s="25">
        <f t="shared" si="140"/>
        <v>0</v>
      </c>
      <c r="X384" s="64">
        <f t="shared" si="141"/>
        <v>0</v>
      </c>
      <c r="Y384" s="64">
        <f t="shared" si="142"/>
        <v>0</v>
      </c>
      <c r="Z384" s="64">
        <f t="shared" si="143"/>
        <v>0</v>
      </c>
      <c r="AA384" s="64">
        <f t="shared" si="144"/>
        <v>0</v>
      </c>
      <c r="AB384" s="64">
        <f t="shared" si="145"/>
        <v>0</v>
      </c>
      <c r="AC384" s="64">
        <f t="shared" si="146"/>
        <v>0</v>
      </c>
      <c r="AD384" s="64">
        <f t="shared" si="147"/>
        <v>0</v>
      </c>
      <c r="AE384" s="64">
        <f t="shared" si="148"/>
        <v>0</v>
      </c>
      <c r="AF384" s="64">
        <f t="shared" si="149"/>
        <v>0</v>
      </c>
      <c r="AG384" s="29">
        <f t="shared" si="150"/>
        <v>-925.82</v>
      </c>
    </row>
    <row r="385" spans="1:33">
      <c r="A385" s="265">
        <v>12130001</v>
      </c>
      <c r="B385" s="265" t="s">
        <v>417</v>
      </c>
      <c r="C385" s="265" t="s">
        <v>427</v>
      </c>
      <c r="D385" s="265">
        <v>100000001</v>
      </c>
      <c r="E385" s="265" t="s">
        <v>51</v>
      </c>
      <c r="F385" s="265" t="s">
        <v>0</v>
      </c>
      <c r="G385" s="266">
        <v>-925.82</v>
      </c>
      <c r="H385" s="266">
        <v>-925.82</v>
      </c>
      <c r="I385" s="267"/>
      <c r="J385" s="267"/>
      <c r="K385" s="267"/>
      <c r="L385" s="224" t="str">
        <f t="shared" si="151"/>
        <v>12130001_AUD_100000001_NONGHYUP BANK SYDNEY BRANCH</v>
      </c>
      <c r="M385" s="221">
        <f t="shared" si="131"/>
        <v>-925.82</v>
      </c>
      <c r="N385" s="24" t="str">
        <f>IF(OR(L385=$L$2,L385=$L$3),$M$10+1,IFERROR(VLOOKUP(A385,'Repricing Maturity Adj.'!$A$3:$C$170,3,0),(IF(K385&lt;$M$10,"Check",K385))))</f>
        <v>Non_sensitive</v>
      </c>
      <c r="O385" s="62" t="b">
        <f t="shared" si="132"/>
        <v>1</v>
      </c>
      <c r="P385" s="63" t="str">
        <f t="shared" si="133"/>
        <v>Asset</v>
      </c>
      <c r="Q385" s="25">
        <f t="shared" si="134"/>
        <v>0</v>
      </c>
      <c r="R385" s="25">
        <f t="shared" si="135"/>
        <v>0</v>
      </c>
      <c r="S385" s="25">
        <f t="shared" si="136"/>
        <v>0</v>
      </c>
      <c r="T385" s="25">
        <f t="shared" si="137"/>
        <v>0</v>
      </c>
      <c r="U385" s="25">
        <f t="shared" si="138"/>
        <v>0</v>
      </c>
      <c r="V385" s="25">
        <f t="shared" si="139"/>
        <v>0</v>
      </c>
      <c r="W385" s="25">
        <f t="shared" si="140"/>
        <v>0</v>
      </c>
      <c r="X385" s="64">
        <f t="shared" si="141"/>
        <v>0</v>
      </c>
      <c r="Y385" s="64">
        <f t="shared" si="142"/>
        <v>0</v>
      </c>
      <c r="Z385" s="64">
        <f t="shared" si="143"/>
        <v>0</v>
      </c>
      <c r="AA385" s="64">
        <f t="shared" si="144"/>
        <v>0</v>
      </c>
      <c r="AB385" s="64">
        <f t="shared" si="145"/>
        <v>0</v>
      </c>
      <c r="AC385" s="64">
        <f t="shared" si="146"/>
        <v>0</v>
      </c>
      <c r="AD385" s="64">
        <f t="shared" si="147"/>
        <v>0</v>
      </c>
      <c r="AE385" s="64">
        <f t="shared" si="148"/>
        <v>0</v>
      </c>
      <c r="AF385" s="64">
        <f t="shared" si="149"/>
        <v>0</v>
      </c>
      <c r="AG385" s="29">
        <f t="shared" si="150"/>
        <v>-925.82</v>
      </c>
    </row>
    <row r="386" spans="1:33">
      <c r="A386" s="265">
        <v>12130001</v>
      </c>
      <c r="B386" s="265" t="s">
        <v>417</v>
      </c>
      <c r="C386" s="265" t="s">
        <v>428</v>
      </c>
      <c r="D386" s="265">
        <v>100000001</v>
      </c>
      <c r="E386" s="265" t="s">
        <v>51</v>
      </c>
      <c r="F386" s="265" t="s">
        <v>0</v>
      </c>
      <c r="G386" s="266">
        <v>-1023.9</v>
      </c>
      <c r="H386" s="266">
        <v>-1023.9</v>
      </c>
      <c r="I386" s="267"/>
      <c r="J386" s="267"/>
      <c r="K386" s="267"/>
      <c r="L386" s="224" t="str">
        <f t="shared" si="151"/>
        <v>12130001_AUD_100000001_NONGHYUP BANK SYDNEY BRANCH</v>
      </c>
      <c r="M386" s="221">
        <f t="shared" si="131"/>
        <v>-1023.9</v>
      </c>
      <c r="N386" s="24" t="str">
        <f>IF(OR(L386=$L$2,L386=$L$3),$M$10+1,IFERROR(VLOOKUP(A386,'Repricing Maturity Adj.'!$A$3:$C$170,3,0),(IF(K386&lt;$M$10,"Check",K386))))</f>
        <v>Non_sensitive</v>
      </c>
      <c r="O386" s="62" t="b">
        <f t="shared" si="132"/>
        <v>1</v>
      </c>
      <c r="P386" s="63" t="str">
        <f t="shared" si="133"/>
        <v>Asset</v>
      </c>
      <c r="Q386" s="25">
        <f t="shared" si="134"/>
        <v>0</v>
      </c>
      <c r="R386" s="25">
        <f t="shared" si="135"/>
        <v>0</v>
      </c>
      <c r="S386" s="25">
        <f t="shared" si="136"/>
        <v>0</v>
      </c>
      <c r="T386" s="25">
        <f t="shared" si="137"/>
        <v>0</v>
      </c>
      <c r="U386" s="25">
        <f t="shared" si="138"/>
        <v>0</v>
      </c>
      <c r="V386" s="25">
        <f t="shared" si="139"/>
        <v>0</v>
      </c>
      <c r="W386" s="25">
        <f t="shared" si="140"/>
        <v>0</v>
      </c>
      <c r="X386" s="64">
        <f t="shared" si="141"/>
        <v>0</v>
      </c>
      <c r="Y386" s="64">
        <f t="shared" si="142"/>
        <v>0</v>
      </c>
      <c r="Z386" s="64">
        <f t="shared" si="143"/>
        <v>0</v>
      </c>
      <c r="AA386" s="64">
        <f t="shared" si="144"/>
        <v>0</v>
      </c>
      <c r="AB386" s="64">
        <f t="shared" si="145"/>
        <v>0</v>
      </c>
      <c r="AC386" s="64">
        <f t="shared" si="146"/>
        <v>0</v>
      </c>
      <c r="AD386" s="64">
        <f t="shared" si="147"/>
        <v>0</v>
      </c>
      <c r="AE386" s="64">
        <f t="shared" si="148"/>
        <v>0</v>
      </c>
      <c r="AF386" s="64">
        <f t="shared" si="149"/>
        <v>0</v>
      </c>
      <c r="AG386" s="29">
        <f t="shared" si="150"/>
        <v>-1023.9</v>
      </c>
    </row>
    <row r="387" spans="1:33">
      <c r="A387" s="265">
        <v>12130001</v>
      </c>
      <c r="B387" s="265" t="s">
        <v>417</v>
      </c>
      <c r="C387" s="265" t="s">
        <v>429</v>
      </c>
      <c r="D387" s="265">
        <v>100000001</v>
      </c>
      <c r="E387" s="265" t="s">
        <v>51</v>
      </c>
      <c r="F387" s="265" t="s">
        <v>0</v>
      </c>
      <c r="G387" s="266">
        <v>-998.99</v>
      </c>
      <c r="H387" s="266">
        <v>-998.99</v>
      </c>
      <c r="I387" s="267"/>
      <c r="J387" s="267"/>
      <c r="K387" s="267"/>
      <c r="L387" s="224" t="str">
        <f t="shared" si="151"/>
        <v>12130001_AUD_100000001_NONGHYUP BANK SYDNEY BRANCH</v>
      </c>
      <c r="M387" s="221">
        <f t="shared" si="131"/>
        <v>-998.99</v>
      </c>
      <c r="N387" s="24" t="str">
        <f>IF(OR(L387=$L$2,L387=$L$3),$M$10+1,IFERROR(VLOOKUP(A387,'Repricing Maturity Adj.'!$A$3:$C$170,3,0),(IF(K387&lt;$M$10,"Check",K387))))</f>
        <v>Non_sensitive</v>
      </c>
      <c r="O387" s="62" t="b">
        <f t="shared" si="132"/>
        <v>1</v>
      </c>
      <c r="P387" s="63" t="str">
        <f t="shared" si="133"/>
        <v>Asset</v>
      </c>
      <c r="Q387" s="25">
        <f t="shared" si="134"/>
        <v>0</v>
      </c>
      <c r="R387" s="25">
        <f t="shared" si="135"/>
        <v>0</v>
      </c>
      <c r="S387" s="25">
        <f t="shared" si="136"/>
        <v>0</v>
      </c>
      <c r="T387" s="25">
        <f t="shared" si="137"/>
        <v>0</v>
      </c>
      <c r="U387" s="25">
        <f t="shared" si="138"/>
        <v>0</v>
      </c>
      <c r="V387" s="25">
        <f t="shared" si="139"/>
        <v>0</v>
      </c>
      <c r="W387" s="25">
        <f t="shared" si="140"/>
        <v>0</v>
      </c>
      <c r="X387" s="64">
        <f t="shared" si="141"/>
        <v>0</v>
      </c>
      <c r="Y387" s="64">
        <f t="shared" si="142"/>
        <v>0</v>
      </c>
      <c r="Z387" s="64">
        <f t="shared" si="143"/>
        <v>0</v>
      </c>
      <c r="AA387" s="64">
        <f t="shared" si="144"/>
        <v>0</v>
      </c>
      <c r="AB387" s="64">
        <f t="shared" si="145"/>
        <v>0</v>
      </c>
      <c r="AC387" s="64">
        <f t="shared" si="146"/>
        <v>0</v>
      </c>
      <c r="AD387" s="64">
        <f t="shared" si="147"/>
        <v>0</v>
      </c>
      <c r="AE387" s="64">
        <f t="shared" si="148"/>
        <v>0</v>
      </c>
      <c r="AF387" s="64">
        <f t="shared" si="149"/>
        <v>0</v>
      </c>
      <c r="AG387" s="29">
        <f t="shared" si="150"/>
        <v>-998.99</v>
      </c>
    </row>
    <row r="388" spans="1:33">
      <c r="A388" s="265">
        <v>12130001</v>
      </c>
      <c r="B388" s="265" t="s">
        <v>417</v>
      </c>
      <c r="C388" s="265" t="s">
        <v>430</v>
      </c>
      <c r="D388" s="265">
        <v>100000001</v>
      </c>
      <c r="E388" s="265" t="s">
        <v>51</v>
      </c>
      <c r="F388" s="265" t="s">
        <v>0</v>
      </c>
      <c r="G388" s="266">
        <v>-951.93</v>
      </c>
      <c r="H388" s="266">
        <v>-951.93</v>
      </c>
      <c r="I388" s="267"/>
      <c r="J388" s="267"/>
      <c r="K388" s="267"/>
      <c r="L388" s="224" t="str">
        <f t="shared" si="151"/>
        <v>12130001_AUD_100000001_NONGHYUP BANK SYDNEY BRANCH</v>
      </c>
      <c r="M388" s="221">
        <f t="shared" si="131"/>
        <v>-951.93</v>
      </c>
      <c r="N388" s="24" t="str">
        <f>IF(OR(L388=$L$2,L388=$L$3),$M$10+1,IFERROR(VLOOKUP(A388,'Repricing Maturity Adj.'!$A$3:$C$170,3,0),(IF(K388&lt;$M$10,"Check",K388))))</f>
        <v>Non_sensitive</v>
      </c>
      <c r="O388" s="62" t="b">
        <f t="shared" si="132"/>
        <v>1</v>
      </c>
      <c r="P388" s="63" t="str">
        <f t="shared" si="133"/>
        <v>Asset</v>
      </c>
      <c r="Q388" s="25">
        <f t="shared" si="134"/>
        <v>0</v>
      </c>
      <c r="R388" s="25">
        <f t="shared" si="135"/>
        <v>0</v>
      </c>
      <c r="S388" s="25">
        <f t="shared" si="136"/>
        <v>0</v>
      </c>
      <c r="T388" s="25">
        <f t="shared" si="137"/>
        <v>0</v>
      </c>
      <c r="U388" s="25">
        <f t="shared" si="138"/>
        <v>0</v>
      </c>
      <c r="V388" s="25">
        <f t="shared" si="139"/>
        <v>0</v>
      </c>
      <c r="W388" s="25">
        <f t="shared" si="140"/>
        <v>0</v>
      </c>
      <c r="X388" s="64">
        <f t="shared" si="141"/>
        <v>0</v>
      </c>
      <c r="Y388" s="64">
        <f t="shared" si="142"/>
        <v>0</v>
      </c>
      <c r="Z388" s="64">
        <f t="shared" si="143"/>
        <v>0</v>
      </c>
      <c r="AA388" s="64">
        <f t="shared" si="144"/>
        <v>0</v>
      </c>
      <c r="AB388" s="64">
        <f t="shared" si="145"/>
        <v>0</v>
      </c>
      <c r="AC388" s="64">
        <f t="shared" si="146"/>
        <v>0</v>
      </c>
      <c r="AD388" s="64">
        <f t="shared" si="147"/>
        <v>0</v>
      </c>
      <c r="AE388" s="64">
        <f t="shared" si="148"/>
        <v>0</v>
      </c>
      <c r="AF388" s="64">
        <f t="shared" si="149"/>
        <v>0</v>
      </c>
      <c r="AG388" s="29">
        <f t="shared" si="150"/>
        <v>-951.93</v>
      </c>
    </row>
    <row r="389" spans="1:33">
      <c r="A389" s="265">
        <v>12130001</v>
      </c>
      <c r="B389" s="265" t="s">
        <v>417</v>
      </c>
      <c r="C389" s="265" t="s">
        <v>431</v>
      </c>
      <c r="D389" s="265">
        <v>100000001</v>
      </c>
      <c r="E389" s="265" t="s">
        <v>51</v>
      </c>
      <c r="F389" s="265" t="s">
        <v>0</v>
      </c>
      <c r="G389" s="266">
        <v>-48277</v>
      </c>
      <c r="H389" s="266">
        <v>-48277</v>
      </c>
      <c r="I389" s="267"/>
      <c r="J389" s="267"/>
      <c r="K389" s="267"/>
      <c r="L389" s="224" t="str">
        <f t="shared" si="151"/>
        <v>12130001_AUD_100000001_NONGHYUP BANK SYDNEY BRANCH</v>
      </c>
      <c r="M389" s="221">
        <f t="shared" si="131"/>
        <v>-48277</v>
      </c>
      <c r="N389" s="24" t="str">
        <f>IF(OR(L389=$L$2,L389=$L$3),$M$10+1,IFERROR(VLOOKUP(A389,'Repricing Maturity Adj.'!$A$3:$C$170,3,0),(IF(K389&lt;$M$10,"Check",K389))))</f>
        <v>Non_sensitive</v>
      </c>
      <c r="O389" s="62" t="b">
        <f t="shared" si="132"/>
        <v>1</v>
      </c>
      <c r="P389" s="63" t="str">
        <f t="shared" si="133"/>
        <v>Asset</v>
      </c>
      <c r="Q389" s="25">
        <f t="shared" si="134"/>
        <v>0</v>
      </c>
      <c r="R389" s="25">
        <f t="shared" si="135"/>
        <v>0</v>
      </c>
      <c r="S389" s="25">
        <f t="shared" si="136"/>
        <v>0</v>
      </c>
      <c r="T389" s="25">
        <f t="shared" si="137"/>
        <v>0</v>
      </c>
      <c r="U389" s="25">
        <f t="shared" si="138"/>
        <v>0</v>
      </c>
      <c r="V389" s="25">
        <f t="shared" si="139"/>
        <v>0</v>
      </c>
      <c r="W389" s="25">
        <f t="shared" si="140"/>
        <v>0</v>
      </c>
      <c r="X389" s="64">
        <f t="shared" si="141"/>
        <v>0</v>
      </c>
      <c r="Y389" s="64">
        <f t="shared" si="142"/>
        <v>0</v>
      </c>
      <c r="Z389" s="64">
        <f t="shared" si="143"/>
        <v>0</v>
      </c>
      <c r="AA389" s="64">
        <f t="shared" si="144"/>
        <v>0</v>
      </c>
      <c r="AB389" s="64">
        <f t="shared" si="145"/>
        <v>0</v>
      </c>
      <c r="AC389" s="64">
        <f t="shared" si="146"/>
        <v>0</v>
      </c>
      <c r="AD389" s="64">
        <f t="shared" si="147"/>
        <v>0</v>
      </c>
      <c r="AE389" s="64">
        <f t="shared" si="148"/>
        <v>0</v>
      </c>
      <c r="AF389" s="64">
        <f t="shared" si="149"/>
        <v>0</v>
      </c>
      <c r="AG389" s="29">
        <f t="shared" si="150"/>
        <v>-48277</v>
      </c>
    </row>
    <row r="390" spans="1:33">
      <c r="A390" s="265">
        <v>12310002</v>
      </c>
      <c r="B390" s="265" t="s">
        <v>362</v>
      </c>
      <c r="C390" s="265" t="s">
        <v>363</v>
      </c>
      <c r="D390" s="265">
        <v>100000001</v>
      </c>
      <c r="E390" s="265" t="s">
        <v>51</v>
      </c>
      <c r="F390" s="265" t="s">
        <v>0</v>
      </c>
      <c r="G390" s="266">
        <v>-2512.84</v>
      </c>
      <c r="H390" s="266">
        <v>-2512.84</v>
      </c>
      <c r="I390" s="268">
        <v>44621</v>
      </c>
      <c r="J390" s="268">
        <v>45961</v>
      </c>
      <c r="K390" s="267"/>
      <c r="L390" s="224" t="str">
        <f t="shared" si="151"/>
        <v>12310002_AUD_100000001_NONGHYUP BANK SYDNEY BRANCH</v>
      </c>
      <c r="M390" s="221">
        <f t="shared" si="131"/>
        <v>-2512.84</v>
      </c>
      <c r="N390" s="24" t="str">
        <f>IF(OR(L390=$L$2,L390=$L$3),$M$10+1,IFERROR(VLOOKUP(A390,'Repricing Maturity Adj.'!$A$3:$C$170,3,0),(IF(K390&lt;$M$10,"Check",K390))))</f>
        <v>Non_sensitive</v>
      </c>
      <c r="O390" s="62" t="b">
        <f t="shared" si="132"/>
        <v>1</v>
      </c>
      <c r="P390" s="63" t="str">
        <f t="shared" si="133"/>
        <v>Asset</v>
      </c>
      <c r="Q390" s="25">
        <f t="shared" si="134"/>
        <v>0</v>
      </c>
      <c r="R390" s="25">
        <f t="shared" si="135"/>
        <v>0</v>
      </c>
      <c r="S390" s="25">
        <f t="shared" si="136"/>
        <v>0</v>
      </c>
      <c r="T390" s="25">
        <f t="shared" si="137"/>
        <v>0</v>
      </c>
      <c r="U390" s="25">
        <f t="shared" si="138"/>
        <v>0</v>
      </c>
      <c r="V390" s="25">
        <f t="shared" si="139"/>
        <v>0</v>
      </c>
      <c r="W390" s="25">
        <f t="shared" si="140"/>
        <v>0</v>
      </c>
      <c r="X390" s="64">
        <f t="shared" si="141"/>
        <v>0</v>
      </c>
      <c r="Y390" s="64">
        <f t="shared" si="142"/>
        <v>0</v>
      </c>
      <c r="Z390" s="64">
        <f t="shared" si="143"/>
        <v>0</v>
      </c>
      <c r="AA390" s="64">
        <f t="shared" si="144"/>
        <v>0</v>
      </c>
      <c r="AB390" s="64">
        <f t="shared" si="145"/>
        <v>0</v>
      </c>
      <c r="AC390" s="64">
        <f t="shared" si="146"/>
        <v>0</v>
      </c>
      <c r="AD390" s="64">
        <f t="shared" si="147"/>
        <v>0</v>
      </c>
      <c r="AE390" s="64">
        <f t="shared" si="148"/>
        <v>0</v>
      </c>
      <c r="AF390" s="64">
        <f t="shared" si="149"/>
        <v>0</v>
      </c>
      <c r="AG390" s="29">
        <f t="shared" si="150"/>
        <v>-2512.84</v>
      </c>
    </row>
    <row r="391" spans="1:33">
      <c r="A391" s="265">
        <v>12310002</v>
      </c>
      <c r="B391" s="265" t="s">
        <v>362</v>
      </c>
      <c r="C391" s="265" t="s">
        <v>364</v>
      </c>
      <c r="D391" s="265">
        <v>100000001</v>
      </c>
      <c r="E391" s="265" t="s">
        <v>51</v>
      </c>
      <c r="F391" s="265" t="s">
        <v>0</v>
      </c>
      <c r="G391" s="266">
        <v>-1396.12</v>
      </c>
      <c r="H391" s="266">
        <v>-1396.12</v>
      </c>
      <c r="I391" s="268">
        <v>44621</v>
      </c>
      <c r="J391" s="268">
        <v>45961</v>
      </c>
      <c r="K391" s="267"/>
      <c r="L391" s="224" t="str">
        <f t="shared" si="151"/>
        <v>12310002_AUD_100000001_NONGHYUP BANK SYDNEY BRANCH</v>
      </c>
      <c r="M391" s="221">
        <f t="shared" si="131"/>
        <v>-1396.12</v>
      </c>
      <c r="N391" s="24" t="str">
        <f>IF(OR(L391=$L$2,L391=$L$3),$M$10+1,IFERROR(VLOOKUP(A391,'Repricing Maturity Adj.'!$A$3:$C$170,3,0),(IF(K391&lt;$M$10,"Check",K391))))</f>
        <v>Non_sensitive</v>
      </c>
      <c r="O391" s="62" t="b">
        <f t="shared" si="132"/>
        <v>1</v>
      </c>
      <c r="P391" s="63" t="str">
        <f t="shared" si="133"/>
        <v>Asset</v>
      </c>
      <c r="Q391" s="25">
        <f t="shared" si="134"/>
        <v>0</v>
      </c>
      <c r="R391" s="25">
        <f t="shared" si="135"/>
        <v>0</v>
      </c>
      <c r="S391" s="25">
        <f t="shared" si="136"/>
        <v>0</v>
      </c>
      <c r="T391" s="25">
        <f t="shared" si="137"/>
        <v>0</v>
      </c>
      <c r="U391" s="25">
        <f t="shared" si="138"/>
        <v>0</v>
      </c>
      <c r="V391" s="25">
        <f t="shared" si="139"/>
        <v>0</v>
      </c>
      <c r="W391" s="25">
        <f t="shared" si="140"/>
        <v>0</v>
      </c>
      <c r="X391" s="64">
        <f t="shared" si="141"/>
        <v>0</v>
      </c>
      <c r="Y391" s="64">
        <f t="shared" si="142"/>
        <v>0</v>
      </c>
      <c r="Z391" s="64">
        <f t="shared" si="143"/>
        <v>0</v>
      </c>
      <c r="AA391" s="64">
        <f t="shared" si="144"/>
        <v>0</v>
      </c>
      <c r="AB391" s="64">
        <f t="shared" si="145"/>
        <v>0</v>
      </c>
      <c r="AC391" s="64">
        <f t="shared" si="146"/>
        <v>0</v>
      </c>
      <c r="AD391" s="64">
        <f t="shared" si="147"/>
        <v>0</v>
      </c>
      <c r="AE391" s="64">
        <f t="shared" si="148"/>
        <v>0</v>
      </c>
      <c r="AF391" s="64">
        <f t="shared" si="149"/>
        <v>0</v>
      </c>
      <c r="AG391" s="29">
        <f t="shared" si="150"/>
        <v>-1396.12</v>
      </c>
    </row>
    <row r="392" spans="1:33">
      <c r="A392" s="265">
        <v>12310002</v>
      </c>
      <c r="B392" s="265" t="s">
        <v>362</v>
      </c>
      <c r="C392" s="265" t="s">
        <v>365</v>
      </c>
      <c r="D392" s="265">
        <v>100000001</v>
      </c>
      <c r="E392" s="265" t="s">
        <v>51</v>
      </c>
      <c r="F392" s="265" t="s">
        <v>0</v>
      </c>
      <c r="G392" s="266">
        <v>-9939.6</v>
      </c>
      <c r="H392" s="266">
        <v>-9939.6</v>
      </c>
      <c r="I392" s="268">
        <v>44621</v>
      </c>
      <c r="J392" s="268">
        <v>45961</v>
      </c>
      <c r="K392" s="267"/>
      <c r="L392" s="224" t="str">
        <f t="shared" si="151"/>
        <v>12310002_AUD_100000001_NONGHYUP BANK SYDNEY BRANCH</v>
      </c>
      <c r="M392" s="221">
        <f t="shared" si="131"/>
        <v>-9939.6</v>
      </c>
      <c r="N392" s="24" t="str">
        <f>IF(OR(L392=$L$2,L392=$L$3),$M$10+1,IFERROR(VLOOKUP(A392,'Repricing Maturity Adj.'!$A$3:$C$170,3,0),(IF(K392&lt;$M$10,"Check",K392))))</f>
        <v>Non_sensitive</v>
      </c>
      <c r="O392" s="62" t="b">
        <f t="shared" si="132"/>
        <v>1</v>
      </c>
      <c r="P392" s="63" t="str">
        <f t="shared" si="133"/>
        <v>Asset</v>
      </c>
      <c r="Q392" s="25">
        <f t="shared" si="134"/>
        <v>0</v>
      </c>
      <c r="R392" s="25">
        <f t="shared" si="135"/>
        <v>0</v>
      </c>
      <c r="S392" s="25">
        <f t="shared" si="136"/>
        <v>0</v>
      </c>
      <c r="T392" s="25">
        <f t="shared" si="137"/>
        <v>0</v>
      </c>
      <c r="U392" s="25">
        <f t="shared" si="138"/>
        <v>0</v>
      </c>
      <c r="V392" s="25">
        <f t="shared" si="139"/>
        <v>0</v>
      </c>
      <c r="W392" s="25">
        <f t="shared" si="140"/>
        <v>0</v>
      </c>
      <c r="X392" s="64">
        <f t="shared" si="141"/>
        <v>0</v>
      </c>
      <c r="Y392" s="64">
        <f t="shared" si="142"/>
        <v>0</v>
      </c>
      <c r="Z392" s="64">
        <f t="shared" si="143"/>
        <v>0</v>
      </c>
      <c r="AA392" s="64">
        <f t="shared" si="144"/>
        <v>0</v>
      </c>
      <c r="AB392" s="64">
        <f t="shared" si="145"/>
        <v>0</v>
      </c>
      <c r="AC392" s="64">
        <f t="shared" si="146"/>
        <v>0</v>
      </c>
      <c r="AD392" s="64">
        <f t="shared" si="147"/>
        <v>0</v>
      </c>
      <c r="AE392" s="64">
        <f t="shared" si="148"/>
        <v>0</v>
      </c>
      <c r="AF392" s="64">
        <f t="shared" si="149"/>
        <v>0</v>
      </c>
      <c r="AG392" s="29">
        <f t="shared" si="150"/>
        <v>-9939.6</v>
      </c>
    </row>
    <row r="393" spans="1:33">
      <c r="A393" s="265">
        <v>12310002</v>
      </c>
      <c r="B393" s="265" t="s">
        <v>362</v>
      </c>
      <c r="C393" s="265" t="s">
        <v>366</v>
      </c>
      <c r="D393" s="265">
        <v>100000001</v>
      </c>
      <c r="E393" s="265" t="s">
        <v>51</v>
      </c>
      <c r="F393" s="265" t="s">
        <v>0</v>
      </c>
      <c r="G393" s="266">
        <v>-2588.4299999999998</v>
      </c>
      <c r="H393" s="266">
        <v>-2588.4299999999998</v>
      </c>
      <c r="I393" s="268">
        <v>44621</v>
      </c>
      <c r="J393" s="268">
        <v>45961</v>
      </c>
      <c r="K393" s="267"/>
      <c r="L393" s="224" t="str">
        <f t="shared" si="151"/>
        <v>12310002_AUD_100000001_NONGHYUP BANK SYDNEY BRANCH</v>
      </c>
      <c r="M393" s="221">
        <f t="shared" si="131"/>
        <v>-2588.4299999999998</v>
      </c>
      <c r="N393" s="24" t="str">
        <f>IF(OR(L393=$L$2,L393=$L$3),$M$10+1,IFERROR(VLOOKUP(A393,'Repricing Maturity Adj.'!$A$3:$C$170,3,0),(IF(K393&lt;$M$10,"Check",K393))))</f>
        <v>Non_sensitive</v>
      </c>
      <c r="O393" s="62" t="b">
        <f t="shared" si="132"/>
        <v>1</v>
      </c>
      <c r="P393" s="63" t="str">
        <f t="shared" si="133"/>
        <v>Asset</v>
      </c>
      <c r="Q393" s="25">
        <f t="shared" si="134"/>
        <v>0</v>
      </c>
      <c r="R393" s="25">
        <f t="shared" si="135"/>
        <v>0</v>
      </c>
      <c r="S393" s="25">
        <f t="shared" si="136"/>
        <v>0</v>
      </c>
      <c r="T393" s="25">
        <f t="shared" si="137"/>
        <v>0</v>
      </c>
      <c r="U393" s="25">
        <f t="shared" si="138"/>
        <v>0</v>
      </c>
      <c r="V393" s="25">
        <f t="shared" si="139"/>
        <v>0</v>
      </c>
      <c r="W393" s="25">
        <f t="shared" si="140"/>
        <v>0</v>
      </c>
      <c r="X393" s="64">
        <f t="shared" si="141"/>
        <v>0</v>
      </c>
      <c r="Y393" s="64">
        <f t="shared" si="142"/>
        <v>0</v>
      </c>
      <c r="Z393" s="64">
        <f t="shared" si="143"/>
        <v>0</v>
      </c>
      <c r="AA393" s="64">
        <f t="shared" si="144"/>
        <v>0</v>
      </c>
      <c r="AB393" s="64">
        <f t="shared" si="145"/>
        <v>0</v>
      </c>
      <c r="AC393" s="64">
        <f t="shared" si="146"/>
        <v>0</v>
      </c>
      <c r="AD393" s="64">
        <f t="shared" si="147"/>
        <v>0</v>
      </c>
      <c r="AE393" s="64">
        <f t="shared" si="148"/>
        <v>0</v>
      </c>
      <c r="AF393" s="64">
        <f t="shared" si="149"/>
        <v>0</v>
      </c>
      <c r="AG393" s="29">
        <f t="shared" si="150"/>
        <v>-2588.4299999999998</v>
      </c>
    </row>
    <row r="394" spans="1:33">
      <c r="A394" s="265">
        <v>12310002</v>
      </c>
      <c r="B394" s="265" t="s">
        <v>362</v>
      </c>
      <c r="C394" s="265" t="s">
        <v>367</v>
      </c>
      <c r="D394" s="265">
        <v>100000001</v>
      </c>
      <c r="E394" s="265" t="s">
        <v>51</v>
      </c>
      <c r="F394" s="265" t="s">
        <v>0</v>
      </c>
      <c r="G394" s="266">
        <v>-2019.88</v>
      </c>
      <c r="H394" s="266">
        <v>-2019.88</v>
      </c>
      <c r="I394" s="268">
        <v>44621</v>
      </c>
      <c r="J394" s="268">
        <v>45961</v>
      </c>
      <c r="K394" s="267"/>
      <c r="L394" s="224" t="str">
        <f t="shared" si="151"/>
        <v>12310002_AUD_100000001_NONGHYUP BANK SYDNEY BRANCH</v>
      </c>
      <c r="M394" s="221">
        <f t="shared" si="131"/>
        <v>-2019.88</v>
      </c>
      <c r="N394" s="24" t="str">
        <f>IF(OR(L394=$L$2,L394=$L$3),$M$10+1,IFERROR(VLOOKUP(A394,'Repricing Maturity Adj.'!$A$3:$C$170,3,0),(IF(K394&lt;$M$10,"Check",K394))))</f>
        <v>Non_sensitive</v>
      </c>
      <c r="O394" s="62" t="b">
        <f t="shared" si="132"/>
        <v>1</v>
      </c>
      <c r="P394" s="63" t="str">
        <f t="shared" si="133"/>
        <v>Asset</v>
      </c>
      <c r="Q394" s="25">
        <f t="shared" si="134"/>
        <v>0</v>
      </c>
      <c r="R394" s="25">
        <f t="shared" si="135"/>
        <v>0</v>
      </c>
      <c r="S394" s="25">
        <f t="shared" si="136"/>
        <v>0</v>
      </c>
      <c r="T394" s="25">
        <f t="shared" si="137"/>
        <v>0</v>
      </c>
      <c r="U394" s="25">
        <f t="shared" si="138"/>
        <v>0</v>
      </c>
      <c r="V394" s="25">
        <f t="shared" si="139"/>
        <v>0</v>
      </c>
      <c r="W394" s="25">
        <f t="shared" si="140"/>
        <v>0</v>
      </c>
      <c r="X394" s="64">
        <f t="shared" si="141"/>
        <v>0</v>
      </c>
      <c r="Y394" s="64">
        <f t="shared" si="142"/>
        <v>0</v>
      </c>
      <c r="Z394" s="64">
        <f t="shared" si="143"/>
        <v>0</v>
      </c>
      <c r="AA394" s="64">
        <f t="shared" si="144"/>
        <v>0</v>
      </c>
      <c r="AB394" s="64">
        <f t="shared" si="145"/>
        <v>0</v>
      </c>
      <c r="AC394" s="64">
        <f t="shared" si="146"/>
        <v>0</v>
      </c>
      <c r="AD394" s="64">
        <f t="shared" si="147"/>
        <v>0</v>
      </c>
      <c r="AE394" s="64">
        <f t="shared" si="148"/>
        <v>0</v>
      </c>
      <c r="AF394" s="64">
        <f t="shared" si="149"/>
        <v>0</v>
      </c>
      <c r="AG394" s="29">
        <f t="shared" si="150"/>
        <v>-2019.88</v>
      </c>
    </row>
    <row r="395" spans="1:33">
      <c r="A395" s="265">
        <v>12310002</v>
      </c>
      <c r="B395" s="265" t="s">
        <v>362</v>
      </c>
      <c r="C395" s="265" t="s">
        <v>368</v>
      </c>
      <c r="D395" s="265">
        <v>100000001</v>
      </c>
      <c r="E395" s="265" t="s">
        <v>51</v>
      </c>
      <c r="F395" s="265" t="s">
        <v>0</v>
      </c>
      <c r="G395" s="266">
        <v>-2801.67</v>
      </c>
      <c r="H395" s="266">
        <v>-2801.67</v>
      </c>
      <c r="I395" s="268">
        <v>44621</v>
      </c>
      <c r="J395" s="268">
        <v>46387</v>
      </c>
      <c r="K395" s="267"/>
      <c r="L395" s="224" t="str">
        <f t="shared" si="151"/>
        <v>12310002_AUD_100000001_NONGHYUP BANK SYDNEY BRANCH</v>
      </c>
      <c r="M395" s="221">
        <f t="shared" si="131"/>
        <v>-2801.67</v>
      </c>
      <c r="N395" s="24" t="str">
        <f>IF(OR(L395=$L$2,L395=$L$3),$M$10+1,IFERROR(VLOOKUP(A395,'Repricing Maturity Adj.'!$A$3:$C$170,3,0),(IF(K395&lt;$M$10,"Check",K395))))</f>
        <v>Non_sensitive</v>
      </c>
      <c r="O395" s="62" t="b">
        <f t="shared" si="132"/>
        <v>1</v>
      </c>
      <c r="P395" s="63" t="str">
        <f t="shared" si="133"/>
        <v>Asset</v>
      </c>
      <c r="Q395" s="25">
        <f t="shared" si="134"/>
        <v>0</v>
      </c>
      <c r="R395" s="25">
        <f t="shared" si="135"/>
        <v>0</v>
      </c>
      <c r="S395" s="25">
        <f t="shared" si="136"/>
        <v>0</v>
      </c>
      <c r="T395" s="25">
        <f t="shared" si="137"/>
        <v>0</v>
      </c>
      <c r="U395" s="25">
        <f t="shared" si="138"/>
        <v>0</v>
      </c>
      <c r="V395" s="25">
        <f t="shared" si="139"/>
        <v>0</v>
      </c>
      <c r="W395" s="25">
        <f t="shared" si="140"/>
        <v>0</v>
      </c>
      <c r="X395" s="64">
        <f t="shared" si="141"/>
        <v>0</v>
      </c>
      <c r="Y395" s="64">
        <f t="shared" si="142"/>
        <v>0</v>
      </c>
      <c r="Z395" s="64">
        <f t="shared" si="143"/>
        <v>0</v>
      </c>
      <c r="AA395" s="64">
        <f t="shared" si="144"/>
        <v>0</v>
      </c>
      <c r="AB395" s="64">
        <f t="shared" si="145"/>
        <v>0</v>
      </c>
      <c r="AC395" s="64">
        <f t="shared" si="146"/>
        <v>0</v>
      </c>
      <c r="AD395" s="64">
        <f t="shared" si="147"/>
        <v>0</v>
      </c>
      <c r="AE395" s="64">
        <f t="shared" si="148"/>
        <v>0</v>
      </c>
      <c r="AF395" s="64">
        <f t="shared" si="149"/>
        <v>0</v>
      </c>
      <c r="AG395" s="29">
        <f t="shared" si="150"/>
        <v>-2801.67</v>
      </c>
    </row>
    <row r="396" spans="1:33">
      <c r="A396" s="265">
        <v>12310002</v>
      </c>
      <c r="B396" s="265" t="s">
        <v>362</v>
      </c>
      <c r="C396" s="265" t="s">
        <v>368</v>
      </c>
      <c r="D396" s="265">
        <v>100000001</v>
      </c>
      <c r="E396" s="265" t="s">
        <v>51</v>
      </c>
      <c r="F396" s="265" t="s">
        <v>0</v>
      </c>
      <c r="G396" s="266">
        <v>-13.7</v>
      </c>
      <c r="H396" s="266">
        <v>-13.7</v>
      </c>
      <c r="I396" s="268">
        <v>44621</v>
      </c>
      <c r="J396" s="268">
        <v>46387</v>
      </c>
      <c r="K396" s="267"/>
      <c r="L396" s="224" t="str">
        <f t="shared" si="151"/>
        <v>12310002_AUD_100000001_NONGHYUP BANK SYDNEY BRANCH</v>
      </c>
      <c r="M396" s="221">
        <f t="shared" si="131"/>
        <v>-13.7</v>
      </c>
      <c r="N396" s="24" t="str">
        <f>IF(OR(L396=$L$2,L396=$L$3),$M$10+1,IFERROR(VLOOKUP(A396,'Repricing Maturity Adj.'!$A$3:$C$170,3,0),(IF(K396&lt;$M$10,"Check",K396))))</f>
        <v>Non_sensitive</v>
      </c>
      <c r="O396" s="62" t="b">
        <f t="shared" si="132"/>
        <v>1</v>
      </c>
      <c r="P396" s="63" t="str">
        <f t="shared" si="133"/>
        <v>Asset</v>
      </c>
      <c r="Q396" s="25">
        <f t="shared" si="134"/>
        <v>0</v>
      </c>
      <c r="R396" s="25">
        <f t="shared" si="135"/>
        <v>0</v>
      </c>
      <c r="S396" s="25">
        <f t="shared" si="136"/>
        <v>0</v>
      </c>
      <c r="T396" s="25">
        <f t="shared" si="137"/>
        <v>0</v>
      </c>
      <c r="U396" s="25">
        <f t="shared" si="138"/>
        <v>0</v>
      </c>
      <c r="V396" s="25">
        <f t="shared" si="139"/>
        <v>0</v>
      </c>
      <c r="W396" s="25">
        <f t="shared" si="140"/>
        <v>0</v>
      </c>
      <c r="X396" s="64">
        <f t="shared" si="141"/>
        <v>0</v>
      </c>
      <c r="Y396" s="64">
        <f t="shared" si="142"/>
        <v>0</v>
      </c>
      <c r="Z396" s="64">
        <f t="shared" si="143"/>
        <v>0</v>
      </c>
      <c r="AA396" s="64">
        <f t="shared" si="144"/>
        <v>0</v>
      </c>
      <c r="AB396" s="64">
        <f t="shared" si="145"/>
        <v>0</v>
      </c>
      <c r="AC396" s="64">
        <f t="shared" si="146"/>
        <v>0</v>
      </c>
      <c r="AD396" s="64">
        <f t="shared" si="147"/>
        <v>0</v>
      </c>
      <c r="AE396" s="64">
        <f t="shared" si="148"/>
        <v>0</v>
      </c>
      <c r="AF396" s="64">
        <f t="shared" si="149"/>
        <v>0</v>
      </c>
      <c r="AG396" s="29">
        <f t="shared" si="150"/>
        <v>-13.7</v>
      </c>
    </row>
    <row r="397" spans="1:33">
      <c r="A397" s="265">
        <v>12310002</v>
      </c>
      <c r="B397" s="265" t="s">
        <v>362</v>
      </c>
      <c r="C397" s="265" t="s">
        <v>369</v>
      </c>
      <c r="D397" s="265">
        <v>100000001</v>
      </c>
      <c r="E397" s="265" t="s">
        <v>51</v>
      </c>
      <c r="F397" s="265" t="s">
        <v>0</v>
      </c>
      <c r="G397" s="266">
        <v>-411.68</v>
      </c>
      <c r="H397" s="266">
        <v>-411.68</v>
      </c>
      <c r="I397" s="268">
        <v>44621</v>
      </c>
      <c r="J397" s="268">
        <v>45961</v>
      </c>
      <c r="K397" s="267"/>
      <c r="L397" s="224" t="str">
        <f t="shared" si="151"/>
        <v>12310002_AUD_100000001_NONGHYUP BANK SYDNEY BRANCH</v>
      </c>
      <c r="M397" s="221">
        <f t="shared" si="131"/>
        <v>-411.68</v>
      </c>
      <c r="N397" s="24" t="str">
        <f>IF(OR(L397=$L$2,L397=$L$3),$M$10+1,IFERROR(VLOOKUP(A397,'Repricing Maturity Adj.'!$A$3:$C$170,3,0),(IF(K397&lt;$M$10,"Check",K397))))</f>
        <v>Non_sensitive</v>
      </c>
      <c r="O397" s="62" t="b">
        <f t="shared" si="132"/>
        <v>1</v>
      </c>
      <c r="P397" s="63" t="str">
        <f t="shared" si="133"/>
        <v>Asset</v>
      </c>
      <c r="Q397" s="25">
        <f t="shared" si="134"/>
        <v>0</v>
      </c>
      <c r="R397" s="25">
        <f t="shared" si="135"/>
        <v>0</v>
      </c>
      <c r="S397" s="25">
        <f t="shared" si="136"/>
        <v>0</v>
      </c>
      <c r="T397" s="25">
        <f t="shared" si="137"/>
        <v>0</v>
      </c>
      <c r="U397" s="25">
        <f t="shared" si="138"/>
        <v>0</v>
      </c>
      <c r="V397" s="25">
        <f t="shared" si="139"/>
        <v>0</v>
      </c>
      <c r="W397" s="25">
        <f t="shared" si="140"/>
        <v>0</v>
      </c>
      <c r="X397" s="64">
        <f t="shared" si="141"/>
        <v>0</v>
      </c>
      <c r="Y397" s="64">
        <f t="shared" si="142"/>
        <v>0</v>
      </c>
      <c r="Z397" s="64">
        <f t="shared" si="143"/>
        <v>0</v>
      </c>
      <c r="AA397" s="64">
        <f t="shared" si="144"/>
        <v>0</v>
      </c>
      <c r="AB397" s="64">
        <f t="shared" si="145"/>
        <v>0</v>
      </c>
      <c r="AC397" s="64">
        <f t="shared" si="146"/>
        <v>0</v>
      </c>
      <c r="AD397" s="64">
        <f t="shared" si="147"/>
        <v>0</v>
      </c>
      <c r="AE397" s="64">
        <f t="shared" si="148"/>
        <v>0</v>
      </c>
      <c r="AF397" s="64">
        <f t="shared" si="149"/>
        <v>0</v>
      </c>
      <c r="AG397" s="29">
        <f t="shared" si="150"/>
        <v>-411.68</v>
      </c>
    </row>
    <row r="398" spans="1:33">
      <c r="A398" s="265">
        <v>12310002</v>
      </c>
      <c r="B398" s="265" t="s">
        <v>362</v>
      </c>
      <c r="C398" s="265" t="s">
        <v>370</v>
      </c>
      <c r="D398" s="265">
        <v>100000001</v>
      </c>
      <c r="E398" s="265" t="s">
        <v>51</v>
      </c>
      <c r="F398" s="265" t="s">
        <v>0</v>
      </c>
      <c r="G398" s="266">
        <v>-81.33</v>
      </c>
      <c r="H398" s="266">
        <v>-81.33</v>
      </c>
      <c r="I398" s="268">
        <v>44621</v>
      </c>
      <c r="J398" s="268">
        <v>46387</v>
      </c>
      <c r="K398" s="267"/>
      <c r="L398" s="224" t="str">
        <f t="shared" si="151"/>
        <v>12310002_AUD_100000001_NONGHYUP BANK SYDNEY BRANCH</v>
      </c>
      <c r="M398" s="221">
        <f t="shared" si="131"/>
        <v>-81.33</v>
      </c>
      <c r="N398" s="24" t="str">
        <f>IF(OR(L398=$L$2,L398=$L$3),$M$10+1,IFERROR(VLOOKUP(A398,'Repricing Maturity Adj.'!$A$3:$C$170,3,0),(IF(K398&lt;$M$10,"Check",K398))))</f>
        <v>Non_sensitive</v>
      </c>
      <c r="O398" s="62" t="b">
        <f t="shared" si="132"/>
        <v>1</v>
      </c>
      <c r="P398" s="63" t="str">
        <f t="shared" si="133"/>
        <v>Asset</v>
      </c>
      <c r="Q398" s="25">
        <f t="shared" si="134"/>
        <v>0</v>
      </c>
      <c r="R398" s="25">
        <f t="shared" si="135"/>
        <v>0</v>
      </c>
      <c r="S398" s="25">
        <f t="shared" si="136"/>
        <v>0</v>
      </c>
      <c r="T398" s="25">
        <f t="shared" si="137"/>
        <v>0</v>
      </c>
      <c r="U398" s="25">
        <f t="shared" si="138"/>
        <v>0</v>
      </c>
      <c r="V398" s="25">
        <f t="shared" si="139"/>
        <v>0</v>
      </c>
      <c r="W398" s="25">
        <f t="shared" si="140"/>
        <v>0</v>
      </c>
      <c r="X398" s="64">
        <f t="shared" si="141"/>
        <v>0</v>
      </c>
      <c r="Y398" s="64">
        <f t="shared" si="142"/>
        <v>0</v>
      </c>
      <c r="Z398" s="64">
        <f t="shared" si="143"/>
        <v>0</v>
      </c>
      <c r="AA398" s="64">
        <f t="shared" si="144"/>
        <v>0</v>
      </c>
      <c r="AB398" s="64">
        <f t="shared" si="145"/>
        <v>0</v>
      </c>
      <c r="AC398" s="64">
        <f t="shared" si="146"/>
        <v>0</v>
      </c>
      <c r="AD398" s="64">
        <f t="shared" si="147"/>
        <v>0</v>
      </c>
      <c r="AE398" s="64">
        <f t="shared" si="148"/>
        <v>0</v>
      </c>
      <c r="AF398" s="64">
        <f t="shared" si="149"/>
        <v>0</v>
      </c>
      <c r="AG398" s="29">
        <f t="shared" si="150"/>
        <v>-81.33</v>
      </c>
    </row>
    <row r="399" spans="1:33">
      <c r="A399" s="265">
        <v>12310002</v>
      </c>
      <c r="B399" s="265" t="s">
        <v>362</v>
      </c>
      <c r="C399" s="265" t="s">
        <v>370</v>
      </c>
      <c r="D399" s="265">
        <v>100000001</v>
      </c>
      <c r="E399" s="265" t="s">
        <v>51</v>
      </c>
      <c r="F399" s="265" t="s">
        <v>0</v>
      </c>
      <c r="G399" s="266">
        <v>-16636.59</v>
      </c>
      <c r="H399" s="266">
        <v>-16636.59</v>
      </c>
      <c r="I399" s="268">
        <v>44621</v>
      </c>
      <c r="J399" s="268">
        <v>46387</v>
      </c>
      <c r="K399" s="267"/>
      <c r="L399" s="224" t="str">
        <f t="shared" si="151"/>
        <v>12310002_AUD_100000001_NONGHYUP BANK SYDNEY BRANCH</v>
      </c>
      <c r="M399" s="221">
        <f t="shared" si="131"/>
        <v>-16636.59</v>
      </c>
      <c r="N399" s="24" t="str">
        <f>IF(OR(L399=$L$2,L399=$L$3),$M$10+1,IFERROR(VLOOKUP(A399,'Repricing Maturity Adj.'!$A$3:$C$170,3,0),(IF(K399&lt;$M$10,"Check",K399))))</f>
        <v>Non_sensitive</v>
      </c>
      <c r="O399" s="62" t="b">
        <f t="shared" si="132"/>
        <v>1</v>
      </c>
      <c r="P399" s="63" t="str">
        <f t="shared" si="133"/>
        <v>Asset</v>
      </c>
      <c r="Q399" s="25">
        <f t="shared" si="134"/>
        <v>0</v>
      </c>
      <c r="R399" s="25">
        <f t="shared" si="135"/>
        <v>0</v>
      </c>
      <c r="S399" s="25">
        <f t="shared" si="136"/>
        <v>0</v>
      </c>
      <c r="T399" s="25">
        <f t="shared" si="137"/>
        <v>0</v>
      </c>
      <c r="U399" s="25">
        <f t="shared" si="138"/>
        <v>0</v>
      </c>
      <c r="V399" s="25">
        <f t="shared" si="139"/>
        <v>0</v>
      </c>
      <c r="W399" s="25">
        <f t="shared" si="140"/>
        <v>0</v>
      </c>
      <c r="X399" s="64">
        <f t="shared" si="141"/>
        <v>0</v>
      </c>
      <c r="Y399" s="64">
        <f t="shared" si="142"/>
        <v>0</v>
      </c>
      <c r="Z399" s="64">
        <f t="shared" si="143"/>
        <v>0</v>
      </c>
      <c r="AA399" s="64">
        <f t="shared" si="144"/>
        <v>0</v>
      </c>
      <c r="AB399" s="64">
        <f t="shared" si="145"/>
        <v>0</v>
      </c>
      <c r="AC399" s="64">
        <f t="shared" si="146"/>
        <v>0</v>
      </c>
      <c r="AD399" s="64">
        <f t="shared" si="147"/>
        <v>0</v>
      </c>
      <c r="AE399" s="64">
        <f t="shared" si="148"/>
        <v>0</v>
      </c>
      <c r="AF399" s="64">
        <f t="shared" si="149"/>
        <v>0</v>
      </c>
      <c r="AG399" s="29">
        <f t="shared" si="150"/>
        <v>-16636.59</v>
      </c>
    </row>
    <row r="400" spans="1:33">
      <c r="A400" s="265">
        <v>12310002</v>
      </c>
      <c r="B400" s="265" t="s">
        <v>362</v>
      </c>
      <c r="C400" s="265" t="s">
        <v>371</v>
      </c>
      <c r="D400" s="265">
        <v>100000001</v>
      </c>
      <c r="E400" s="265" t="s">
        <v>51</v>
      </c>
      <c r="F400" s="265" t="s">
        <v>0</v>
      </c>
      <c r="G400" s="266">
        <v>-1217.8399999999999</v>
      </c>
      <c r="H400" s="266">
        <v>-1217.8399999999999</v>
      </c>
      <c r="I400" s="268">
        <v>44621</v>
      </c>
      <c r="J400" s="268">
        <v>45961</v>
      </c>
      <c r="K400" s="267"/>
      <c r="L400" s="224" t="str">
        <f t="shared" si="151"/>
        <v>12310002_AUD_100000001_NONGHYUP BANK SYDNEY BRANCH</v>
      </c>
      <c r="M400" s="221">
        <f t="shared" si="131"/>
        <v>-1217.8399999999999</v>
      </c>
      <c r="N400" s="24" t="str">
        <f>IF(OR(L400=$L$2,L400=$L$3),$M$10+1,IFERROR(VLOOKUP(A400,'Repricing Maturity Adj.'!$A$3:$C$170,3,0),(IF(K400&lt;$M$10,"Check",K400))))</f>
        <v>Non_sensitive</v>
      </c>
      <c r="O400" s="62" t="b">
        <f t="shared" si="132"/>
        <v>1</v>
      </c>
      <c r="P400" s="63" t="str">
        <f t="shared" si="133"/>
        <v>Asset</v>
      </c>
      <c r="Q400" s="25">
        <f t="shared" si="134"/>
        <v>0</v>
      </c>
      <c r="R400" s="25">
        <f t="shared" si="135"/>
        <v>0</v>
      </c>
      <c r="S400" s="25">
        <f t="shared" si="136"/>
        <v>0</v>
      </c>
      <c r="T400" s="25">
        <f t="shared" si="137"/>
        <v>0</v>
      </c>
      <c r="U400" s="25">
        <f t="shared" si="138"/>
        <v>0</v>
      </c>
      <c r="V400" s="25">
        <f t="shared" si="139"/>
        <v>0</v>
      </c>
      <c r="W400" s="25">
        <f t="shared" si="140"/>
        <v>0</v>
      </c>
      <c r="X400" s="64">
        <f t="shared" si="141"/>
        <v>0</v>
      </c>
      <c r="Y400" s="64">
        <f t="shared" si="142"/>
        <v>0</v>
      </c>
      <c r="Z400" s="64">
        <f t="shared" si="143"/>
        <v>0</v>
      </c>
      <c r="AA400" s="64">
        <f t="shared" si="144"/>
        <v>0</v>
      </c>
      <c r="AB400" s="64">
        <f t="shared" si="145"/>
        <v>0</v>
      </c>
      <c r="AC400" s="64">
        <f t="shared" si="146"/>
        <v>0</v>
      </c>
      <c r="AD400" s="64">
        <f t="shared" si="147"/>
        <v>0</v>
      </c>
      <c r="AE400" s="64">
        <f t="shared" si="148"/>
        <v>0</v>
      </c>
      <c r="AF400" s="64">
        <f t="shared" si="149"/>
        <v>0</v>
      </c>
      <c r="AG400" s="29">
        <f t="shared" si="150"/>
        <v>-1217.8399999999999</v>
      </c>
    </row>
    <row r="401" spans="1:33">
      <c r="A401" s="265">
        <v>12310002</v>
      </c>
      <c r="B401" s="265" t="s">
        <v>362</v>
      </c>
      <c r="C401" s="265" t="s">
        <v>372</v>
      </c>
      <c r="D401" s="265">
        <v>100000001</v>
      </c>
      <c r="E401" s="265" t="s">
        <v>51</v>
      </c>
      <c r="F401" s="265" t="s">
        <v>0</v>
      </c>
      <c r="G401" s="266">
        <v>-361.43</v>
      </c>
      <c r="H401" s="266">
        <v>-361.43</v>
      </c>
      <c r="I401" s="268">
        <v>44621</v>
      </c>
      <c r="J401" s="268">
        <v>46387</v>
      </c>
      <c r="K401" s="267"/>
      <c r="L401" s="224" t="str">
        <f t="shared" si="151"/>
        <v>12310002_AUD_100000001_NONGHYUP BANK SYDNEY BRANCH</v>
      </c>
      <c r="M401" s="221">
        <f t="shared" si="131"/>
        <v>-361.43</v>
      </c>
      <c r="N401" s="24" t="str">
        <f>IF(OR(L401=$L$2,L401=$L$3),$M$10+1,IFERROR(VLOOKUP(A401,'Repricing Maturity Adj.'!$A$3:$C$170,3,0),(IF(K401&lt;$M$10,"Check",K401))))</f>
        <v>Non_sensitive</v>
      </c>
      <c r="O401" s="62" t="b">
        <f t="shared" si="132"/>
        <v>1</v>
      </c>
      <c r="P401" s="63" t="str">
        <f t="shared" si="133"/>
        <v>Asset</v>
      </c>
      <c r="Q401" s="25">
        <f t="shared" si="134"/>
        <v>0</v>
      </c>
      <c r="R401" s="25">
        <f t="shared" si="135"/>
        <v>0</v>
      </c>
      <c r="S401" s="25">
        <f t="shared" si="136"/>
        <v>0</v>
      </c>
      <c r="T401" s="25">
        <f t="shared" si="137"/>
        <v>0</v>
      </c>
      <c r="U401" s="25">
        <f t="shared" si="138"/>
        <v>0</v>
      </c>
      <c r="V401" s="25">
        <f t="shared" si="139"/>
        <v>0</v>
      </c>
      <c r="W401" s="25">
        <f t="shared" si="140"/>
        <v>0</v>
      </c>
      <c r="X401" s="64">
        <f t="shared" si="141"/>
        <v>0</v>
      </c>
      <c r="Y401" s="64">
        <f t="shared" si="142"/>
        <v>0</v>
      </c>
      <c r="Z401" s="64">
        <f t="shared" si="143"/>
        <v>0</v>
      </c>
      <c r="AA401" s="64">
        <f t="shared" si="144"/>
        <v>0</v>
      </c>
      <c r="AB401" s="64">
        <f t="shared" si="145"/>
        <v>0</v>
      </c>
      <c r="AC401" s="64">
        <f t="shared" si="146"/>
        <v>0</v>
      </c>
      <c r="AD401" s="64">
        <f t="shared" si="147"/>
        <v>0</v>
      </c>
      <c r="AE401" s="64">
        <f t="shared" si="148"/>
        <v>0</v>
      </c>
      <c r="AF401" s="64">
        <f t="shared" si="149"/>
        <v>0</v>
      </c>
      <c r="AG401" s="29">
        <f t="shared" si="150"/>
        <v>-361.43</v>
      </c>
    </row>
    <row r="402" spans="1:33">
      <c r="A402" s="265">
        <v>12310002</v>
      </c>
      <c r="B402" s="265" t="s">
        <v>362</v>
      </c>
      <c r="C402" s="265" t="s">
        <v>372</v>
      </c>
      <c r="D402" s="265">
        <v>100000001</v>
      </c>
      <c r="E402" s="265" t="s">
        <v>51</v>
      </c>
      <c r="F402" s="265" t="s">
        <v>0</v>
      </c>
      <c r="G402" s="266">
        <v>-1.77</v>
      </c>
      <c r="H402" s="266">
        <v>-1.77</v>
      </c>
      <c r="I402" s="268">
        <v>44621</v>
      </c>
      <c r="J402" s="268">
        <v>46387</v>
      </c>
      <c r="K402" s="267"/>
      <c r="L402" s="224" t="str">
        <f t="shared" si="151"/>
        <v>12310002_AUD_100000001_NONGHYUP BANK SYDNEY BRANCH</v>
      </c>
      <c r="M402" s="221">
        <f t="shared" si="131"/>
        <v>-1.77</v>
      </c>
      <c r="N402" s="24" t="str">
        <f>IF(OR(L402=$L$2,L402=$L$3),$M$10+1,IFERROR(VLOOKUP(A402,'Repricing Maturity Adj.'!$A$3:$C$170,3,0),(IF(K402&lt;$M$10,"Check",K402))))</f>
        <v>Non_sensitive</v>
      </c>
      <c r="O402" s="62" t="b">
        <f t="shared" si="132"/>
        <v>1</v>
      </c>
      <c r="P402" s="63" t="str">
        <f t="shared" si="133"/>
        <v>Asset</v>
      </c>
      <c r="Q402" s="25">
        <f t="shared" si="134"/>
        <v>0</v>
      </c>
      <c r="R402" s="25">
        <f t="shared" si="135"/>
        <v>0</v>
      </c>
      <c r="S402" s="25">
        <f t="shared" si="136"/>
        <v>0</v>
      </c>
      <c r="T402" s="25">
        <f t="shared" si="137"/>
        <v>0</v>
      </c>
      <c r="U402" s="25">
        <f t="shared" si="138"/>
        <v>0</v>
      </c>
      <c r="V402" s="25">
        <f t="shared" si="139"/>
        <v>0</v>
      </c>
      <c r="W402" s="25">
        <f t="shared" si="140"/>
        <v>0</v>
      </c>
      <c r="X402" s="64">
        <f t="shared" si="141"/>
        <v>0</v>
      </c>
      <c r="Y402" s="64">
        <f t="shared" si="142"/>
        <v>0</v>
      </c>
      <c r="Z402" s="64">
        <f t="shared" si="143"/>
        <v>0</v>
      </c>
      <c r="AA402" s="64">
        <f t="shared" si="144"/>
        <v>0</v>
      </c>
      <c r="AB402" s="64">
        <f t="shared" si="145"/>
        <v>0</v>
      </c>
      <c r="AC402" s="64">
        <f t="shared" si="146"/>
        <v>0</v>
      </c>
      <c r="AD402" s="64">
        <f t="shared" si="147"/>
        <v>0</v>
      </c>
      <c r="AE402" s="64">
        <f t="shared" si="148"/>
        <v>0</v>
      </c>
      <c r="AF402" s="64">
        <f t="shared" si="149"/>
        <v>0</v>
      </c>
      <c r="AG402" s="29">
        <f t="shared" si="150"/>
        <v>-1.77</v>
      </c>
    </row>
    <row r="403" spans="1:33">
      <c r="A403" s="265">
        <v>12310002</v>
      </c>
      <c r="B403" s="265" t="s">
        <v>362</v>
      </c>
      <c r="C403" s="265" t="s">
        <v>373</v>
      </c>
      <c r="D403" s="265">
        <v>100000001</v>
      </c>
      <c r="E403" s="265" t="s">
        <v>51</v>
      </c>
      <c r="F403" s="265" t="s">
        <v>0</v>
      </c>
      <c r="G403" s="266">
        <v>-3228.9</v>
      </c>
      <c r="H403" s="266">
        <v>-3228.9</v>
      </c>
      <c r="I403" s="268">
        <v>44621</v>
      </c>
      <c r="J403" s="268">
        <v>46387</v>
      </c>
      <c r="K403" s="267"/>
      <c r="L403" s="224" t="str">
        <f t="shared" si="151"/>
        <v>12310002_AUD_100000001_NONGHYUP BANK SYDNEY BRANCH</v>
      </c>
      <c r="M403" s="221">
        <f t="shared" si="131"/>
        <v>-3228.9</v>
      </c>
      <c r="N403" s="24" t="str">
        <f>IF(OR(L403=$L$2,L403=$L$3),$M$10+1,IFERROR(VLOOKUP(A403,'Repricing Maturity Adj.'!$A$3:$C$170,3,0),(IF(K403&lt;$M$10,"Check",K403))))</f>
        <v>Non_sensitive</v>
      </c>
      <c r="O403" s="62" t="b">
        <f t="shared" si="132"/>
        <v>1</v>
      </c>
      <c r="P403" s="63" t="str">
        <f t="shared" si="133"/>
        <v>Asset</v>
      </c>
      <c r="Q403" s="25">
        <f t="shared" si="134"/>
        <v>0</v>
      </c>
      <c r="R403" s="25">
        <f t="shared" si="135"/>
        <v>0</v>
      </c>
      <c r="S403" s="25">
        <f t="shared" si="136"/>
        <v>0</v>
      </c>
      <c r="T403" s="25">
        <f t="shared" si="137"/>
        <v>0</v>
      </c>
      <c r="U403" s="25">
        <f t="shared" si="138"/>
        <v>0</v>
      </c>
      <c r="V403" s="25">
        <f t="shared" si="139"/>
        <v>0</v>
      </c>
      <c r="W403" s="25">
        <f t="shared" si="140"/>
        <v>0</v>
      </c>
      <c r="X403" s="64">
        <f t="shared" si="141"/>
        <v>0</v>
      </c>
      <c r="Y403" s="64">
        <f t="shared" si="142"/>
        <v>0</v>
      </c>
      <c r="Z403" s="64">
        <f t="shared" si="143"/>
        <v>0</v>
      </c>
      <c r="AA403" s="64">
        <f t="shared" si="144"/>
        <v>0</v>
      </c>
      <c r="AB403" s="64">
        <f t="shared" si="145"/>
        <v>0</v>
      </c>
      <c r="AC403" s="64">
        <f t="shared" si="146"/>
        <v>0</v>
      </c>
      <c r="AD403" s="64">
        <f t="shared" si="147"/>
        <v>0</v>
      </c>
      <c r="AE403" s="64">
        <f t="shared" si="148"/>
        <v>0</v>
      </c>
      <c r="AF403" s="64">
        <f t="shared" si="149"/>
        <v>0</v>
      </c>
      <c r="AG403" s="29">
        <f t="shared" si="150"/>
        <v>-3228.9</v>
      </c>
    </row>
    <row r="404" spans="1:33">
      <c r="A404" s="265">
        <v>12310002</v>
      </c>
      <c r="B404" s="265" t="s">
        <v>362</v>
      </c>
      <c r="C404" s="265" t="s">
        <v>373</v>
      </c>
      <c r="D404" s="265">
        <v>100000001</v>
      </c>
      <c r="E404" s="265" t="s">
        <v>51</v>
      </c>
      <c r="F404" s="265" t="s">
        <v>0</v>
      </c>
      <c r="G404" s="266">
        <v>-15.78</v>
      </c>
      <c r="H404" s="266">
        <v>-15.78</v>
      </c>
      <c r="I404" s="268">
        <v>44621</v>
      </c>
      <c r="J404" s="268">
        <v>46387</v>
      </c>
      <c r="K404" s="267"/>
      <c r="L404" s="224" t="str">
        <f t="shared" si="151"/>
        <v>12310002_AUD_100000001_NONGHYUP BANK SYDNEY BRANCH</v>
      </c>
      <c r="M404" s="221">
        <f t="shared" si="131"/>
        <v>-15.78</v>
      </c>
      <c r="N404" s="24" t="str">
        <f>IF(OR(L404=$L$2,L404=$L$3),$M$10+1,IFERROR(VLOOKUP(A404,'Repricing Maturity Adj.'!$A$3:$C$170,3,0),(IF(K404&lt;$M$10,"Check",K404))))</f>
        <v>Non_sensitive</v>
      </c>
      <c r="O404" s="62" t="b">
        <f t="shared" si="132"/>
        <v>1</v>
      </c>
      <c r="P404" s="63" t="str">
        <f t="shared" si="133"/>
        <v>Asset</v>
      </c>
      <c r="Q404" s="25">
        <f t="shared" si="134"/>
        <v>0</v>
      </c>
      <c r="R404" s="25">
        <f t="shared" si="135"/>
        <v>0</v>
      </c>
      <c r="S404" s="25">
        <f t="shared" si="136"/>
        <v>0</v>
      </c>
      <c r="T404" s="25">
        <f t="shared" si="137"/>
        <v>0</v>
      </c>
      <c r="U404" s="25">
        <f t="shared" si="138"/>
        <v>0</v>
      </c>
      <c r="V404" s="25">
        <f t="shared" si="139"/>
        <v>0</v>
      </c>
      <c r="W404" s="25">
        <f t="shared" si="140"/>
        <v>0</v>
      </c>
      <c r="X404" s="64">
        <f t="shared" si="141"/>
        <v>0</v>
      </c>
      <c r="Y404" s="64">
        <f t="shared" si="142"/>
        <v>0</v>
      </c>
      <c r="Z404" s="64">
        <f t="shared" si="143"/>
        <v>0</v>
      </c>
      <c r="AA404" s="64">
        <f t="shared" si="144"/>
        <v>0</v>
      </c>
      <c r="AB404" s="64">
        <f t="shared" si="145"/>
        <v>0</v>
      </c>
      <c r="AC404" s="64">
        <f t="shared" si="146"/>
        <v>0</v>
      </c>
      <c r="AD404" s="64">
        <f t="shared" si="147"/>
        <v>0</v>
      </c>
      <c r="AE404" s="64">
        <f t="shared" si="148"/>
        <v>0</v>
      </c>
      <c r="AF404" s="64">
        <f t="shared" si="149"/>
        <v>0</v>
      </c>
      <c r="AG404" s="29">
        <f t="shared" si="150"/>
        <v>-15.78</v>
      </c>
    </row>
    <row r="405" spans="1:33">
      <c r="A405" s="265">
        <v>12310002</v>
      </c>
      <c r="B405" s="265" t="s">
        <v>362</v>
      </c>
      <c r="C405" s="265" t="s">
        <v>374</v>
      </c>
      <c r="D405" s="265">
        <v>100000001</v>
      </c>
      <c r="E405" s="265" t="s">
        <v>51</v>
      </c>
      <c r="F405" s="265" t="s">
        <v>0</v>
      </c>
      <c r="G405" s="266">
        <v>-71499.69</v>
      </c>
      <c r="H405" s="266">
        <v>-71499.69</v>
      </c>
      <c r="I405" s="268">
        <v>44621</v>
      </c>
      <c r="J405" s="268">
        <v>46387</v>
      </c>
      <c r="K405" s="267"/>
      <c r="L405" s="224" t="str">
        <f t="shared" si="151"/>
        <v>12310002_AUD_100000001_NONGHYUP BANK SYDNEY BRANCH</v>
      </c>
      <c r="M405" s="221">
        <f t="shared" si="131"/>
        <v>-71499.69</v>
      </c>
      <c r="N405" s="24" t="str">
        <f>IF(OR(L405=$L$2,L405=$L$3),$M$10+1,IFERROR(VLOOKUP(A405,'Repricing Maturity Adj.'!$A$3:$C$170,3,0),(IF(K405&lt;$M$10,"Check",K405))))</f>
        <v>Non_sensitive</v>
      </c>
      <c r="O405" s="62" t="b">
        <f t="shared" si="132"/>
        <v>1</v>
      </c>
      <c r="P405" s="63" t="str">
        <f t="shared" si="133"/>
        <v>Asset</v>
      </c>
      <c r="Q405" s="25">
        <f t="shared" si="134"/>
        <v>0</v>
      </c>
      <c r="R405" s="25">
        <f t="shared" si="135"/>
        <v>0</v>
      </c>
      <c r="S405" s="25">
        <f t="shared" si="136"/>
        <v>0</v>
      </c>
      <c r="T405" s="25">
        <f t="shared" si="137"/>
        <v>0</v>
      </c>
      <c r="U405" s="25">
        <f t="shared" si="138"/>
        <v>0</v>
      </c>
      <c r="V405" s="25">
        <f t="shared" si="139"/>
        <v>0</v>
      </c>
      <c r="W405" s="25">
        <f t="shared" si="140"/>
        <v>0</v>
      </c>
      <c r="X405" s="64">
        <f t="shared" si="141"/>
        <v>0</v>
      </c>
      <c r="Y405" s="64">
        <f t="shared" si="142"/>
        <v>0</v>
      </c>
      <c r="Z405" s="64">
        <f t="shared" si="143"/>
        <v>0</v>
      </c>
      <c r="AA405" s="64">
        <f t="shared" si="144"/>
        <v>0</v>
      </c>
      <c r="AB405" s="64">
        <f t="shared" si="145"/>
        <v>0</v>
      </c>
      <c r="AC405" s="64">
        <f t="shared" si="146"/>
        <v>0</v>
      </c>
      <c r="AD405" s="64">
        <f t="shared" si="147"/>
        <v>0</v>
      </c>
      <c r="AE405" s="64">
        <f t="shared" si="148"/>
        <v>0</v>
      </c>
      <c r="AF405" s="64">
        <f t="shared" si="149"/>
        <v>0</v>
      </c>
      <c r="AG405" s="29">
        <f t="shared" si="150"/>
        <v>-71499.69</v>
      </c>
    </row>
    <row r="406" spans="1:33">
      <c r="A406" s="265">
        <v>12310002</v>
      </c>
      <c r="B406" s="265" t="s">
        <v>362</v>
      </c>
      <c r="C406" s="265" t="s">
        <v>374</v>
      </c>
      <c r="D406" s="265">
        <v>100000001</v>
      </c>
      <c r="E406" s="265" t="s">
        <v>51</v>
      </c>
      <c r="F406" s="265" t="s">
        <v>0</v>
      </c>
      <c r="G406" s="266">
        <v>-349.54</v>
      </c>
      <c r="H406" s="266">
        <v>-349.54</v>
      </c>
      <c r="I406" s="268">
        <v>44621</v>
      </c>
      <c r="J406" s="268">
        <v>46387</v>
      </c>
      <c r="K406" s="267"/>
      <c r="L406" s="224" t="str">
        <f t="shared" si="151"/>
        <v>12310002_AUD_100000001_NONGHYUP BANK SYDNEY BRANCH</v>
      </c>
      <c r="M406" s="221">
        <f t="shared" si="131"/>
        <v>-349.54</v>
      </c>
      <c r="N406" s="24" t="str">
        <f>IF(OR(L406=$L$2,L406=$L$3),$M$10+1,IFERROR(VLOOKUP(A406,'Repricing Maturity Adj.'!$A$3:$C$170,3,0),(IF(K406&lt;$M$10,"Check",K406))))</f>
        <v>Non_sensitive</v>
      </c>
      <c r="O406" s="62" t="b">
        <f t="shared" si="132"/>
        <v>1</v>
      </c>
      <c r="P406" s="63" t="str">
        <f t="shared" si="133"/>
        <v>Asset</v>
      </c>
      <c r="Q406" s="25">
        <f t="shared" si="134"/>
        <v>0</v>
      </c>
      <c r="R406" s="25">
        <f t="shared" si="135"/>
        <v>0</v>
      </c>
      <c r="S406" s="25">
        <f t="shared" si="136"/>
        <v>0</v>
      </c>
      <c r="T406" s="25">
        <f t="shared" si="137"/>
        <v>0</v>
      </c>
      <c r="U406" s="25">
        <f t="shared" si="138"/>
        <v>0</v>
      </c>
      <c r="V406" s="25">
        <f t="shared" si="139"/>
        <v>0</v>
      </c>
      <c r="W406" s="25">
        <f t="shared" si="140"/>
        <v>0</v>
      </c>
      <c r="X406" s="64">
        <f t="shared" si="141"/>
        <v>0</v>
      </c>
      <c r="Y406" s="64">
        <f t="shared" si="142"/>
        <v>0</v>
      </c>
      <c r="Z406" s="64">
        <f t="shared" si="143"/>
        <v>0</v>
      </c>
      <c r="AA406" s="64">
        <f t="shared" si="144"/>
        <v>0</v>
      </c>
      <c r="AB406" s="64">
        <f t="shared" si="145"/>
        <v>0</v>
      </c>
      <c r="AC406" s="64">
        <f t="shared" si="146"/>
        <v>0</v>
      </c>
      <c r="AD406" s="64">
        <f t="shared" si="147"/>
        <v>0</v>
      </c>
      <c r="AE406" s="64">
        <f t="shared" si="148"/>
        <v>0</v>
      </c>
      <c r="AF406" s="64">
        <f t="shared" si="149"/>
        <v>0</v>
      </c>
      <c r="AG406" s="29">
        <f t="shared" si="150"/>
        <v>-349.54</v>
      </c>
    </row>
    <row r="407" spans="1:33">
      <c r="A407" s="265">
        <v>12310002</v>
      </c>
      <c r="B407" s="265" t="s">
        <v>362</v>
      </c>
      <c r="C407" s="265" t="s">
        <v>375</v>
      </c>
      <c r="D407" s="265">
        <v>100000001</v>
      </c>
      <c r="E407" s="265" t="s">
        <v>51</v>
      </c>
      <c r="F407" s="265" t="s">
        <v>0</v>
      </c>
      <c r="G407" s="266">
        <v>-3212.88</v>
      </c>
      <c r="H407" s="266">
        <v>-3212.88</v>
      </c>
      <c r="I407" s="268">
        <v>44621</v>
      </c>
      <c r="J407" s="268">
        <v>45961</v>
      </c>
      <c r="K407" s="267"/>
      <c r="L407" s="224" t="str">
        <f t="shared" si="151"/>
        <v>12310002_AUD_100000001_NONGHYUP BANK SYDNEY BRANCH</v>
      </c>
      <c r="M407" s="221">
        <f t="shared" si="131"/>
        <v>-3212.88</v>
      </c>
      <c r="N407" s="24" t="str">
        <f>IF(OR(L407=$L$2,L407=$L$3),$M$10+1,IFERROR(VLOOKUP(A407,'Repricing Maturity Adj.'!$A$3:$C$170,3,0),(IF(K407&lt;$M$10,"Check",K407))))</f>
        <v>Non_sensitive</v>
      </c>
      <c r="O407" s="62" t="b">
        <f t="shared" si="132"/>
        <v>1</v>
      </c>
      <c r="P407" s="63" t="str">
        <f t="shared" si="133"/>
        <v>Asset</v>
      </c>
      <c r="Q407" s="25">
        <f t="shared" si="134"/>
        <v>0</v>
      </c>
      <c r="R407" s="25">
        <f t="shared" si="135"/>
        <v>0</v>
      </c>
      <c r="S407" s="25">
        <f t="shared" si="136"/>
        <v>0</v>
      </c>
      <c r="T407" s="25">
        <f t="shared" si="137"/>
        <v>0</v>
      </c>
      <c r="U407" s="25">
        <f t="shared" si="138"/>
        <v>0</v>
      </c>
      <c r="V407" s="25">
        <f t="shared" si="139"/>
        <v>0</v>
      </c>
      <c r="W407" s="25">
        <f t="shared" si="140"/>
        <v>0</v>
      </c>
      <c r="X407" s="64">
        <f t="shared" si="141"/>
        <v>0</v>
      </c>
      <c r="Y407" s="64">
        <f t="shared" si="142"/>
        <v>0</v>
      </c>
      <c r="Z407" s="64">
        <f t="shared" si="143"/>
        <v>0</v>
      </c>
      <c r="AA407" s="64">
        <f t="shared" si="144"/>
        <v>0</v>
      </c>
      <c r="AB407" s="64">
        <f t="shared" si="145"/>
        <v>0</v>
      </c>
      <c r="AC407" s="64">
        <f t="shared" si="146"/>
        <v>0</v>
      </c>
      <c r="AD407" s="64">
        <f t="shared" si="147"/>
        <v>0</v>
      </c>
      <c r="AE407" s="64">
        <f t="shared" si="148"/>
        <v>0</v>
      </c>
      <c r="AF407" s="64">
        <f t="shared" si="149"/>
        <v>0</v>
      </c>
      <c r="AG407" s="29">
        <f t="shared" si="150"/>
        <v>-3212.88</v>
      </c>
    </row>
    <row r="408" spans="1:33">
      <c r="A408" s="265">
        <v>12310002</v>
      </c>
      <c r="B408" s="265" t="s">
        <v>362</v>
      </c>
      <c r="C408" s="265" t="s">
        <v>376</v>
      </c>
      <c r="D408" s="265">
        <v>100000001</v>
      </c>
      <c r="E408" s="265" t="s">
        <v>51</v>
      </c>
      <c r="F408" s="265" t="s">
        <v>0</v>
      </c>
      <c r="G408" s="266">
        <v>-2545.13</v>
      </c>
      <c r="H408" s="266">
        <v>-2545.13</v>
      </c>
      <c r="I408" s="268">
        <v>44621</v>
      </c>
      <c r="J408" s="268">
        <v>46022</v>
      </c>
      <c r="K408" s="267"/>
      <c r="L408" s="224" t="str">
        <f t="shared" si="151"/>
        <v>12310002_AUD_100000001_NONGHYUP BANK SYDNEY BRANCH</v>
      </c>
      <c r="M408" s="221">
        <f t="shared" si="131"/>
        <v>-2545.13</v>
      </c>
      <c r="N408" s="24" t="str">
        <f>IF(OR(L408=$L$2,L408=$L$3),$M$10+1,IFERROR(VLOOKUP(A408,'Repricing Maturity Adj.'!$A$3:$C$170,3,0),(IF(K408&lt;$M$10,"Check",K408))))</f>
        <v>Non_sensitive</v>
      </c>
      <c r="O408" s="62" t="b">
        <f t="shared" si="132"/>
        <v>1</v>
      </c>
      <c r="P408" s="63" t="str">
        <f t="shared" si="133"/>
        <v>Asset</v>
      </c>
      <c r="Q408" s="25">
        <f t="shared" si="134"/>
        <v>0</v>
      </c>
      <c r="R408" s="25">
        <f t="shared" si="135"/>
        <v>0</v>
      </c>
      <c r="S408" s="25">
        <f t="shared" si="136"/>
        <v>0</v>
      </c>
      <c r="T408" s="25">
        <f t="shared" si="137"/>
        <v>0</v>
      </c>
      <c r="U408" s="25">
        <f t="shared" si="138"/>
        <v>0</v>
      </c>
      <c r="V408" s="25">
        <f t="shared" si="139"/>
        <v>0</v>
      </c>
      <c r="W408" s="25">
        <f t="shared" si="140"/>
        <v>0</v>
      </c>
      <c r="X408" s="64">
        <f t="shared" si="141"/>
        <v>0</v>
      </c>
      <c r="Y408" s="64">
        <f t="shared" si="142"/>
        <v>0</v>
      </c>
      <c r="Z408" s="64">
        <f t="shared" si="143"/>
        <v>0</v>
      </c>
      <c r="AA408" s="64">
        <f t="shared" si="144"/>
        <v>0</v>
      </c>
      <c r="AB408" s="64">
        <f t="shared" si="145"/>
        <v>0</v>
      </c>
      <c r="AC408" s="64">
        <f t="shared" si="146"/>
        <v>0</v>
      </c>
      <c r="AD408" s="64">
        <f t="shared" si="147"/>
        <v>0</v>
      </c>
      <c r="AE408" s="64">
        <f t="shared" si="148"/>
        <v>0</v>
      </c>
      <c r="AF408" s="64">
        <f t="shared" si="149"/>
        <v>0</v>
      </c>
      <c r="AG408" s="29">
        <f t="shared" si="150"/>
        <v>-2545.13</v>
      </c>
    </row>
    <row r="409" spans="1:33">
      <c r="A409" s="265">
        <v>12310002</v>
      </c>
      <c r="B409" s="265" t="s">
        <v>362</v>
      </c>
      <c r="C409" s="265" t="s">
        <v>377</v>
      </c>
      <c r="D409" s="265">
        <v>100000001</v>
      </c>
      <c r="E409" s="265" t="s">
        <v>51</v>
      </c>
      <c r="F409" s="265" t="s">
        <v>0</v>
      </c>
      <c r="G409" s="266">
        <v>-3848.83</v>
      </c>
      <c r="H409" s="266">
        <v>-3848.83</v>
      </c>
      <c r="I409" s="268">
        <v>44621</v>
      </c>
      <c r="J409" s="268">
        <v>46387</v>
      </c>
      <c r="K409" s="267"/>
      <c r="L409" s="224" t="str">
        <f t="shared" si="151"/>
        <v>12310002_AUD_100000001_NONGHYUP BANK SYDNEY BRANCH</v>
      </c>
      <c r="M409" s="221">
        <f t="shared" si="131"/>
        <v>-3848.83</v>
      </c>
      <c r="N409" s="24" t="str">
        <f>IF(OR(L409=$L$2,L409=$L$3),$M$10+1,IFERROR(VLOOKUP(A409,'Repricing Maturity Adj.'!$A$3:$C$170,3,0),(IF(K409&lt;$M$10,"Check",K409))))</f>
        <v>Non_sensitive</v>
      </c>
      <c r="O409" s="62" t="b">
        <f t="shared" si="132"/>
        <v>1</v>
      </c>
      <c r="P409" s="63" t="str">
        <f t="shared" si="133"/>
        <v>Asset</v>
      </c>
      <c r="Q409" s="25">
        <f t="shared" si="134"/>
        <v>0</v>
      </c>
      <c r="R409" s="25">
        <f t="shared" si="135"/>
        <v>0</v>
      </c>
      <c r="S409" s="25">
        <f t="shared" si="136"/>
        <v>0</v>
      </c>
      <c r="T409" s="25">
        <f t="shared" si="137"/>
        <v>0</v>
      </c>
      <c r="U409" s="25">
        <f t="shared" si="138"/>
        <v>0</v>
      </c>
      <c r="V409" s="25">
        <f t="shared" si="139"/>
        <v>0</v>
      </c>
      <c r="W409" s="25">
        <f t="shared" si="140"/>
        <v>0</v>
      </c>
      <c r="X409" s="64">
        <f t="shared" si="141"/>
        <v>0</v>
      </c>
      <c r="Y409" s="64">
        <f t="shared" si="142"/>
        <v>0</v>
      </c>
      <c r="Z409" s="64">
        <f t="shared" si="143"/>
        <v>0</v>
      </c>
      <c r="AA409" s="64">
        <f t="shared" si="144"/>
        <v>0</v>
      </c>
      <c r="AB409" s="64">
        <f t="shared" si="145"/>
        <v>0</v>
      </c>
      <c r="AC409" s="64">
        <f t="shared" si="146"/>
        <v>0</v>
      </c>
      <c r="AD409" s="64">
        <f t="shared" si="147"/>
        <v>0</v>
      </c>
      <c r="AE409" s="64">
        <f t="shared" si="148"/>
        <v>0</v>
      </c>
      <c r="AF409" s="64">
        <f t="shared" si="149"/>
        <v>0</v>
      </c>
      <c r="AG409" s="29">
        <f t="shared" si="150"/>
        <v>-3848.83</v>
      </c>
    </row>
    <row r="410" spans="1:33">
      <c r="A410" s="265">
        <v>12310002</v>
      </c>
      <c r="B410" s="265" t="s">
        <v>362</v>
      </c>
      <c r="C410" s="265" t="s">
        <v>377</v>
      </c>
      <c r="D410" s="265">
        <v>100000001</v>
      </c>
      <c r="E410" s="265" t="s">
        <v>51</v>
      </c>
      <c r="F410" s="265" t="s">
        <v>0</v>
      </c>
      <c r="G410" s="266">
        <v>-18.82</v>
      </c>
      <c r="H410" s="266">
        <v>-18.82</v>
      </c>
      <c r="I410" s="268">
        <v>44621</v>
      </c>
      <c r="J410" s="268">
        <v>46387</v>
      </c>
      <c r="K410" s="267"/>
      <c r="L410" s="224" t="str">
        <f t="shared" si="151"/>
        <v>12310002_AUD_100000001_NONGHYUP BANK SYDNEY BRANCH</v>
      </c>
      <c r="M410" s="221">
        <f t="shared" si="131"/>
        <v>-18.82</v>
      </c>
      <c r="N410" s="24" t="str">
        <f>IF(OR(L410=$L$2,L410=$L$3),$M$10+1,IFERROR(VLOOKUP(A410,'Repricing Maturity Adj.'!$A$3:$C$170,3,0),(IF(K410&lt;$M$10,"Check",K410))))</f>
        <v>Non_sensitive</v>
      </c>
      <c r="O410" s="62" t="b">
        <f t="shared" si="132"/>
        <v>1</v>
      </c>
      <c r="P410" s="63" t="str">
        <f t="shared" si="133"/>
        <v>Asset</v>
      </c>
      <c r="Q410" s="25">
        <f t="shared" si="134"/>
        <v>0</v>
      </c>
      <c r="R410" s="25">
        <f t="shared" si="135"/>
        <v>0</v>
      </c>
      <c r="S410" s="25">
        <f t="shared" si="136"/>
        <v>0</v>
      </c>
      <c r="T410" s="25">
        <f t="shared" si="137"/>
        <v>0</v>
      </c>
      <c r="U410" s="25">
        <f t="shared" si="138"/>
        <v>0</v>
      </c>
      <c r="V410" s="25">
        <f t="shared" si="139"/>
        <v>0</v>
      </c>
      <c r="W410" s="25">
        <f t="shared" si="140"/>
        <v>0</v>
      </c>
      <c r="X410" s="64">
        <f t="shared" si="141"/>
        <v>0</v>
      </c>
      <c r="Y410" s="64">
        <f t="shared" si="142"/>
        <v>0</v>
      </c>
      <c r="Z410" s="64">
        <f t="shared" si="143"/>
        <v>0</v>
      </c>
      <c r="AA410" s="64">
        <f t="shared" si="144"/>
        <v>0</v>
      </c>
      <c r="AB410" s="64">
        <f t="shared" si="145"/>
        <v>0</v>
      </c>
      <c r="AC410" s="64">
        <f t="shared" si="146"/>
        <v>0</v>
      </c>
      <c r="AD410" s="64">
        <f t="shared" si="147"/>
        <v>0</v>
      </c>
      <c r="AE410" s="64">
        <f t="shared" si="148"/>
        <v>0</v>
      </c>
      <c r="AF410" s="64">
        <f t="shared" si="149"/>
        <v>0</v>
      </c>
      <c r="AG410" s="29">
        <f t="shared" si="150"/>
        <v>-18.82</v>
      </c>
    </row>
    <row r="411" spans="1:33">
      <c r="A411" s="265">
        <v>12310002</v>
      </c>
      <c r="B411" s="265" t="s">
        <v>362</v>
      </c>
      <c r="C411" s="265" t="s">
        <v>378</v>
      </c>
      <c r="D411" s="265">
        <v>100000001</v>
      </c>
      <c r="E411" s="265" t="s">
        <v>51</v>
      </c>
      <c r="F411" s="265" t="s">
        <v>0</v>
      </c>
      <c r="G411" s="266">
        <v>-2640.44</v>
      </c>
      <c r="H411" s="266">
        <v>-2640.44</v>
      </c>
      <c r="I411" s="268">
        <v>44621</v>
      </c>
      <c r="J411" s="268">
        <v>45657</v>
      </c>
      <c r="K411" s="267"/>
      <c r="L411" s="224" t="str">
        <f t="shared" si="151"/>
        <v>12310002_AUD_100000001_NONGHYUP BANK SYDNEY BRANCH</v>
      </c>
      <c r="M411" s="221">
        <f t="shared" si="131"/>
        <v>-2640.44</v>
      </c>
      <c r="N411" s="24" t="str">
        <f>IF(OR(L411=$L$2,L411=$L$3),$M$10+1,IFERROR(VLOOKUP(A411,'Repricing Maturity Adj.'!$A$3:$C$170,3,0),(IF(K411&lt;$M$10,"Check",K411))))</f>
        <v>Non_sensitive</v>
      </c>
      <c r="O411" s="62" t="b">
        <f t="shared" si="132"/>
        <v>1</v>
      </c>
      <c r="P411" s="63" t="str">
        <f t="shared" si="133"/>
        <v>Asset</v>
      </c>
      <c r="Q411" s="25">
        <f t="shared" si="134"/>
        <v>0</v>
      </c>
      <c r="R411" s="25">
        <f t="shared" si="135"/>
        <v>0</v>
      </c>
      <c r="S411" s="25">
        <f t="shared" si="136"/>
        <v>0</v>
      </c>
      <c r="T411" s="25">
        <f t="shared" si="137"/>
        <v>0</v>
      </c>
      <c r="U411" s="25">
        <f t="shared" si="138"/>
        <v>0</v>
      </c>
      <c r="V411" s="25">
        <f t="shared" si="139"/>
        <v>0</v>
      </c>
      <c r="W411" s="25">
        <f t="shared" si="140"/>
        <v>0</v>
      </c>
      <c r="X411" s="64">
        <f t="shared" si="141"/>
        <v>0</v>
      </c>
      <c r="Y411" s="64">
        <f t="shared" si="142"/>
        <v>0</v>
      </c>
      <c r="Z411" s="64">
        <f t="shared" si="143"/>
        <v>0</v>
      </c>
      <c r="AA411" s="64">
        <f t="shared" si="144"/>
        <v>0</v>
      </c>
      <c r="AB411" s="64">
        <f t="shared" si="145"/>
        <v>0</v>
      </c>
      <c r="AC411" s="64">
        <f t="shared" si="146"/>
        <v>0</v>
      </c>
      <c r="AD411" s="64">
        <f t="shared" si="147"/>
        <v>0</v>
      </c>
      <c r="AE411" s="64">
        <f t="shared" si="148"/>
        <v>0</v>
      </c>
      <c r="AF411" s="64">
        <f t="shared" si="149"/>
        <v>0</v>
      </c>
      <c r="AG411" s="29">
        <f t="shared" si="150"/>
        <v>-2640.44</v>
      </c>
    </row>
    <row r="412" spans="1:33">
      <c r="A412" s="265">
        <v>12310002</v>
      </c>
      <c r="B412" s="265" t="s">
        <v>362</v>
      </c>
      <c r="C412" s="265" t="s">
        <v>379</v>
      </c>
      <c r="D412" s="265">
        <v>100000001</v>
      </c>
      <c r="E412" s="265" t="s">
        <v>51</v>
      </c>
      <c r="F412" s="265" t="s">
        <v>0</v>
      </c>
      <c r="G412" s="266">
        <v>-11194.93</v>
      </c>
      <c r="H412" s="266">
        <v>-11194.93</v>
      </c>
      <c r="I412" s="268">
        <v>44621</v>
      </c>
      <c r="J412" s="268">
        <v>46387</v>
      </c>
      <c r="K412" s="267"/>
      <c r="L412" s="224" t="str">
        <f t="shared" si="151"/>
        <v>12310002_AUD_100000001_NONGHYUP BANK SYDNEY BRANCH</v>
      </c>
      <c r="M412" s="221">
        <f t="shared" si="131"/>
        <v>-11194.93</v>
      </c>
      <c r="N412" s="24" t="str">
        <f>IF(OR(L412=$L$2,L412=$L$3),$M$10+1,IFERROR(VLOOKUP(A412,'Repricing Maturity Adj.'!$A$3:$C$170,3,0),(IF(K412&lt;$M$10,"Check",K412))))</f>
        <v>Non_sensitive</v>
      </c>
      <c r="O412" s="62" t="b">
        <f t="shared" si="132"/>
        <v>1</v>
      </c>
      <c r="P412" s="63" t="str">
        <f t="shared" si="133"/>
        <v>Asset</v>
      </c>
      <c r="Q412" s="25">
        <f t="shared" si="134"/>
        <v>0</v>
      </c>
      <c r="R412" s="25">
        <f t="shared" si="135"/>
        <v>0</v>
      </c>
      <c r="S412" s="25">
        <f t="shared" si="136"/>
        <v>0</v>
      </c>
      <c r="T412" s="25">
        <f t="shared" si="137"/>
        <v>0</v>
      </c>
      <c r="U412" s="25">
        <f t="shared" si="138"/>
        <v>0</v>
      </c>
      <c r="V412" s="25">
        <f t="shared" si="139"/>
        <v>0</v>
      </c>
      <c r="W412" s="25">
        <f t="shared" si="140"/>
        <v>0</v>
      </c>
      <c r="X412" s="64">
        <f t="shared" si="141"/>
        <v>0</v>
      </c>
      <c r="Y412" s="64">
        <f t="shared" si="142"/>
        <v>0</v>
      </c>
      <c r="Z412" s="64">
        <f t="shared" si="143"/>
        <v>0</v>
      </c>
      <c r="AA412" s="64">
        <f t="shared" si="144"/>
        <v>0</v>
      </c>
      <c r="AB412" s="64">
        <f t="shared" si="145"/>
        <v>0</v>
      </c>
      <c r="AC412" s="64">
        <f t="shared" si="146"/>
        <v>0</v>
      </c>
      <c r="AD412" s="64">
        <f t="shared" si="147"/>
        <v>0</v>
      </c>
      <c r="AE412" s="64">
        <f t="shared" si="148"/>
        <v>0</v>
      </c>
      <c r="AF412" s="64">
        <f t="shared" si="149"/>
        <v>0</v>
      </c>
      <c r="AG412" s="29">
        <f t="shared" si="150"/>
        <v>-11194.93</v>
      </c>
    </row>
    <row r="413" spans="1:33">
      <c r="A413" s="265">
        <v>12310002</v>
      </c>
      <c r="B413" s="265" t="s">
        <v>362</v>
      </c>
      <c r="C413" s="265" t="s">
        <v>379</v>
      </c>
      <c r="D413" s="265">
        <v>100000001</v>
      </c>
      <c r="E413" s="265" t="s">
        <v>51</v>
      </c>
      <c r="F413" s="265" t="s">
        <v>0</v>
      </c>
      <c r="G413" s="266">
        <v>-54.73</v>
      </c>
      <c r="H413" s="266">
        <v>-54.73</v>
      </c>
      <c r="I413" s="268">
        <v>44621</v>
      </c>
      <c r="J413" s="268">
        <v>46387</v>
      </c>
      <c r="K413" s="267"/>
      <c r="L413" s="224" t="str">
        <f t="shared" si="151"/>
        <v>12310002_AUD_100000001_NONGHYUP BANK SYDNEY BRANCH</v>
      </c>
      <c r="M413" s="221">
        <f t="shared" si="131"/>
        <v>-54.73</v>
      </c>
      <c r="N413" s="24" t="str">
        <f>IF(OR(L413=$L$2,L413=$L$3),$M$10+1,IFERROR(VLOOKUP(A413,'Repricing Maturity Adj.'!$A$3:$C$170,3,0),(IF(K413&lt;$M$10,"Check",K413))))</f>
        <v>Non_sensitive</v>
      </c>
      <c r="O413" s="62" t="b">
        <f t="shared" si="132"/>
        <v>1</v>
      </c>
      <c r="P413" s="63" t="str">
        <f t="shared" si="133"/>
        <v>Asset</v>
      </c>
      <c r="Q413" s="25">
        <f t="shared" si="134"/>
        <v>0</v>
      </c>
      <c r="R413" s="25">
        <f t="shared" si="135"/>
        <v>0</v>
      </c>
      <c r="S413" s="25">
        <f t="shared" si="136"/>
        <v>0</v>
      </c>
      <c r="T413" s="25">
        <f t="shared" si="137"/>
        <v>0</v>
      </c>
      <c r="U413" s="25">
        <f t="shared" si="138"/>
        <v>0</v>
      </c>
      <c r="V413" s="25">
        <f t="shared" si="139"/>
        <v>0</v>
      </c>
      <c r="W413" s="25">
        <f t="shared" si="140"/>
        <v>0</v>
      </c>
      <c r="X413" s="64">
        <f t="shared" si="141"/>
        <v>0</v>
      </c>
      <c r="Y413" s="64">
        <f t="shared" si="142"/>
        <v>0</v>
      </c>
      <c r="Z413" s="64">
        <f t="shared" si="143"/>
        <v>0</v>
      </c>
      <c r="AA413" s="64">
        <f t="shared" si="144"/>
        <v>0</v>
      </c>
      <c r="AB413" s="64">
        <f t="shared" si="145"/>
        <v>0</v>
      </c>
      <c r="AC413" s="64">
        <f t="shared" si="146"/>
        <v>0</v>
      </c>
      <c r="AD413" s="64">
        <f t="shared" si="147"/>
        <v>0</v>
      </c>
      <c r="AE413" s="64">
        <f t="shared" si="148"/>
        <v>0</v>
      </c>
      <c r="AF413" s="64">
        <f t="shared" si="149"/>
        <v>0</v>
      </c>
      <c r="AG413" s="29">
        <f t="shared" si="150"/>
        <v>-54.73</v>
      </c>
    </row>
    <row r="414" spans="1:33">
      <c r="A414" s="265">
        <v>12310002</v>
      </c>
      <c r="B414" s="265" t="s">
        <v>362</v>
      </c>
      <c r="C414" s="265" t="s">
        <v>380</v>
      </c>
      <c r="D414" s="265">
        <v>100000001</v>
      </c>
      <c r="E414" s="265" t="s">
        <v>51</v>
      </c>
      <c r="F414" s="265" t="s">
        <v>0</v>
      </c>
      <c r="G414" s="266">
        <v>-2912.26</v>
      </c>
      <c r="H414" s="266">
        <v>-2912.26</v>
      </c>
      <c r="I414" s="268">
        <v>44621</v>
      </c>
      <c r="J414" s="268">
        <v>46022</v>
      </c>
      <c r="K414" s="267"/>
      <c r="L414" s="224" t="str">
        <f t="shared" si="151"/>
        <v>12310002_AUD_100000001_NONGHYUP BANK SYDNEY BRANCH</v>
      </c>
      <c r="M414" s="221">
        <f t="shared" si="131"/>
        <v>-2912.26</v>
      </c>
      <c r="N414" s="24" t="str">
        <f>IF(OR(L414=$L$2,L414=$L$3),$M$10+1,IFERROR(VLOOKUP(A414,'Repricing Maturity Adj.'!$A$3:$C$170,3,0),(IF(K414&lt;$M$10,"Check",K414))))</f>
        <v>Non_sensitive</v>
      </c>
      <c r="O414" s="62" t="b">
        <f t="shared" si="132"/>
        <v>1</v>
      </c>
      <c r="P414" s="63" t="str">
        <f t="shared" si="133"/>
        <v>Asset</v>
      </c>
      <c r="Q414" s="25">
        <f t="shared" si="134"/>
        <v>0</v>
      </c>
      <c r="R414" s="25">
        <f t="shared" si="135"/>
        <v>0</v>
      </c>
      <c r="S414" s="25">
        <f t="shared" si="136"/>
        <v>0</v>
      </c>
      <c r="T414" s="25">
        <f t="shared" si="137"/>
        <v>0</v>
      </c>
      <c r="U414" s="25">
        <f t="shared" si="138"/>
        <v>0</v>
      </c>
      <c r="V414" s="25">
        <f t="shared" si="139"/>
        <v>0</v>
      </c>
      <c r="W414" s="25">
        <f t="shared" si="140"/>
        <v>0</v>
      </c>
      <c r="X414" s="64">
        <f t="shared" si="141"/>
        <v>0</v>
      </c>
      <c r="Y414" s="64">
        <f t="shared" si="142"/>
        <v>0</v>
      </c>
      <c r="Z414" s="64">
        <f t="shared" si="143"/>
        <v>0</v>
      </c>
      <c r="AA414" s="64">
        <f t="shared" si="144"/>
        <v>0</v>
      </c>
      <c r="AB414" s="64">
        <f t="shared" si="145"/>
        <v>0</v>
      </c>
      <c r="AC414" s="64">
        <f t="shared" si="146"/>
        <v>0</v>
      </c>
      <c r="AD414" s="64">
        <f t="shared" si="147"/>
        <v>0</v>
      </c>
      <c r="AE414" s="64">
        <f t="shared" si="148"/>
        <v>0</v>
      </c>
      <c r="AF414" s="64">
        <f t="shared" si="149"/>
        <v>0</v>
      </c>
      <c r="AG414" s="29">
        <f t="shared" si="150"/>
        <v>-2912.26</v>
      </c>
    </row>
    <row r="415" spans="1:33">
      <c r="A415" s="265">
        <v>12310002</v>
      </c>
      <c r="B415" s="265" t="s">
        <v>362</v>
      </c>
      <c r="C415" s="265" t="s">
        <v>381</v>
      </c>
      <c r="D415" s="265">
        <v>100000001</v>
      </c>
      <c r="E415" s="265" t="s">
        <v>51</v>
      </c>
      <c r="F415" s="265" t="s">
        <v>0</v>
      </c>
      <c r="G415" s="266">
        <v>-5043.8999999999996</v>
      </c>
      <c r="H415" s="266">
        <v>-5043.8999999999996</v>
      </c>
      <c r="I415" s="268">
        <v>44621</v>
      </c>
      <c r="J415" s="268">
        <v>46022</v>
      </c>
      <c r="K415" s="267"/>
      <c r="L415" s="224" t="str">
        <f t="shared" si="151"/>
        <v>12310002_AUD_100000001_NONGHYUP BANK SYDNEY BRANCH</v>
      </c>
      <c r="M415" s="221">
        <f t="shared" si="131"/>
        <v>-5043.8999999999996</v>
      </c>
      <c r="N415" s="24" t="str">
        <f>IF(OR(L415=$L$2,L415=$L$3),$M$10+1,IFERROR(VLOOKUP(A415,'Repricing Maturity Adj.'!$A$3:$C$170,3,0),(IF(K415&lt;$M$10,"Check",K415))))</f>
        <v>Non_sensitive</v>
      </c>
      <c r="O415" s="62" t="b">
        <f t="shared" si="132"/>
        <v>1</v>
      </c>
      <c r="P415" s="63" t="str">
        <f t="shared" si="133"/>
        <v>Asset</v>
      </c>
      <c r="Q415" s="25">
        <f t="shared" si="134"/>
        <v>0</v>
      </c>
      <c r="R415" s="25">
        <f t="shared" si="135"/>
        <v>0</v>
      </c>
      <c r="S415" s="25">
        <f t="shared" si="136"/>
        <v>0</v>
      </c>
      <c r="T415" s="25">
        <f t="shared" si="137"/>
        <v>0</v>
      </c>
      <c r="U415" s="25">
        <f t="shared" si="138"/>
        <v>0</v>
      </c>
      <c r="V415" s="25">
        <f t="shared" si="139"/>
        <v>0</v>
      </c>
      <c r="W415" s="25">
        <f t="shared" si="140"/>
        <v>0</v>
      </c>
      <c r="X415" s="64">
        <f t="shared" si="141"/>
        <v>0</v>
      </c>
      <c r="Y415" s="64">
        <f t="shared" si="142"/>
        <v>0</v>
      </c>
      <c r="Z415" s="64">
        <f t="shared" si="143"/>
        <v>0</v>
      </c>
      <c r="AA415" s="64">
        <f t="shared" si="144"/>
        <v>0</v>
      </c>
      <c r="AB415" s="64">
        <f t="shared" si="145"/>
        <v>0</v>
      </c>
      <c r="AC415" s="64">
        <f t="shared" si="146"/>
        <v>0</v>
      </c>
      <c r="AD415" s="64">
        <f t="shared" si="147"/>
        <v>0</v>
      </c>
      <c r="AE415" s="64">
        <f t="shared" si="148"/>
        <v>0</v>
      </c>
      <c r="AF415" s="64">
        <f t="shared" si="149"/>
        <v>0</v>
      </c>
      <c r="AG415" s="29">
        <f t="shared" si="150"/>
        <v>-5043.8999999999996</v>
      </c>
    </row>
    <row r="416" spans="1:33">
      <c r="A416" s="265">
        <v>12310002</v>
      </c>
      <c r="B416" s="265" t="s">
        <v>362</v>
      </c>
      <c r="C416" s="265" t="s">
        <v>382</v>
      </c>
      <c r="D416" s="265">
        <v>100000001</v>
      </c>
      <c r="E416" s="265" t="s">
        <v>51</v>
      </c>
      <c r="F416" s="265" t="s">
        <v>0</v>
      </c>
      <c r="G416" s="266">
        <v>-5392.35</v>
      </c>
      <c r="H416" s="266">
        <v>-5392.35</v>
      </c>
      <c r="I416" s="268">
        <v>44621</v>
      </c>
      <c r="J416" s="268">
        <v>45991</v>
      </c>
      <c r="K416" s="267"/>
      <c r="L416" s="224" t="str">
        <f t="shared" si="151"/>
        <v>12310002_AUD_100000001_NONGHYUP BANK SYDNEY BRANCH</v>
      </c>
      <c r="M416" s="221">
        <f t="shared" si="131"/>
        <v>-5392.35</v>
      </c>
      <c r="N416" s="24" t="str">
        <f>IF(OR(L416=$L$2,L416=$L$3),$M$10+1,IFERROR(VLOOKUP(A416,'Repricing Maturity Adj.'!$A$3:$C$170,3,0),(IF(K416&lt;$M$10,"Check",K416))))</f>
        <v>Non_sensitive</v>
      </c>
      <c r="O416" s="62" t="b">
        <f t="shared" si="132"/>
        <v>1</v>
      </c>
      <c r="P416" s="63" t="str">
        <f t="shared" si="133"/>
        <v>Asset</v>
      </c>
      <c r="Q416" s="25">
        <f t="shared" si="134"/>
        <v>0</v>
      </c>
      <c r="R416" s="25">
        <f t="shared" si="135"/>
        <v>0</v>
      </c>
      <c r="S416" s="25">
        <f t="shared" si="136"/>
        <v>0</v>
      </c>
      <c r="T416" s="25">
        <f t="shared" si="137"/>
        <v>0</v>
      </c>
      <c r="U416" s="25">
        <f t="shared" si="138"/>
        <v>0</v>
      </c>
      <c r="V416" s="25">
        <f t="shared" si="139"/>
        <v>0</v>
      </c>
      <c r="W416" s="25">
        <f t="shared" si="140"/>
        <v>0</v>
      </c>
      <c r="X416" s="64">
        <f t="shared" si="141"/>
        <v>0</v>
      </c>
      <c r="Y416" s="64">
        <f t="shared" si="142"/>
        <v>0</v>
      </c>
      <c r="Z416" s="64">
        <f t="shared" si="143"/>
        <v>0</v>
      </c>
      <c r="AA416" s="64">
        <f t="shared" si="144"/>
        <v>0</v>
      </c>
      <c r="AB416" s="64">
        <f t="shared" si="145"/>
        <v>0</v>
      </c>
      <c r="AC416" s="64">
        <f t="shared" si="146"/>
        <v>0</v>
      </c>
      <c r="AD416" s="64">
        <f t="shared" si="147"/>
        <v>0</v>
      </c>
      <c r="AE416" s="64">
        <f t="shared" si="148"/>
        <v>0</v>
      </c>
      <c r="AF416" s="64">
        <f t="shared" si="149"/>
        <v>0</v>
      </c>
      <c r="AG416" s="29">
        <f t="shared" si="150"/>
        <v>-5392.35</v>
      </c>
    </row>
    <row r="417" spans="1:33">
      <c r="A417" s="265">
        <v>12310002</v>
      </c>
      <c r="B417" s="265" t="s">
        <v>362</v>
      </c>
      <c r="C417" s="265" t="s">
        <v>383</v>
      </c>
      <c r="D417" s="265">
        <v>100000001</v>
      </c>
      <c r="E417" s="265" t="s">
        <v>51</v>
      </c>
      <c r="F417" s="265" t="s">
        <v>0</v>
      </c>
      <c r="G417" s="266">
        <v>-8050.92</v>
      </c>
      <c r="H417" s="266">
        <v>-8050.92</v>
      </c>
      <c r="I417" s="268">
        <v>44621</v>
      </c>
      <c r="J417" s="268">
        <v>46022</v>
      </c>
      <c r="K417" s="267"/>
      <c r="L417" s="224" t="str">
        <f t="shared" si="151"/>
        <v>12310002_AUD_100000001_NONGHYUP BANK SYDNEY BRANCH</v>
      </c>
      <c r="M417" s="221">
        <f t="shared" si="131"/>
        <v>-8050.92</v>
      </c>
      <c r="N417" s="24" t="str">
        <f>IF(OR(L417=$L$2,L417=$L$3),$M$10+1,IFERROR(VLOOKUP(A417,'Repricing Maturity Adj.'!$A$3:$C$170,3,0),(IF(K417&lt;$M$10,"Check",K417))))</f>
        <v>Non_sensitive</v>
      </c>
      <c r="O417" s="62" t="b">
        <f t="shared" si="132"/>
        <v>1</v>
      </c>
      <c r="P417" s="63" t="str">
        <f t="shared" si="133"/>
        <v>Asset</v>
      </c>
      <c r="Q417" s="25">
        <f t="shared" si="134"/>
        <v>0</v>
      </c>
      <c r="R417" s="25">
        <f t="shared" si="135"/>
        <v>0</v>
      </c>
      <c r="S417" s="25">
        <f t="shared" si="136"/>
        <v>0</v>
      </c>
      <c r="T417" s="25">
        <f t="shared" si="137"/>
        <v>0</v>
      </c>
      <c r="U417" s="25">
        <f t="shared" si="138"/>
        <v>0</v>
      </c>
      <c r="V417" s="25">
        <f t="shared" si="139"/>
        <v>0</v>
      </c>
      <c r="W417" s="25">
        <f t="shared" si="140"/>
        <v>0</v>
      </c>
      <c r="X417" s="64">
        <f t="shared" si="141"/>
        <v>0</v>
      </c>
      <c r="Y417" s="64">
        <f t="shared" si="142"/>
        <v>0</v>
      </c>
      <c r="Z417" s="64">
        <f t="shared" si="143"/>
        <v>0</v>
      </c>
      <c r="AA417" s="64">
        <f t="shared" si="144"/>
        <v>0</v>
      </c>
      <c r="AB417" s="64">
        <f t="shared" si="145"/>
        <v>0</v>
      </c>
      <c r="AC417" s="64">
        <f t="shared" si="146"/>
        <v>0</v>
      </c>
      <c r="AD417" s="64">
        <f t="shared" si="147"/>
        <v>0</v>
      </c>
      <c r="AE417" s="64">
        <f t="shared" si="148"/>
        <v>0</v>
      </c>
      <c r="AF417" s="64">
        <f t="shared" si="149"/>
        <v>0</v>
      </c>
      <c r="AG417" s="29">
        <f t="shared" si="150"/>
        <v>-8050.92</v>
      </c>
    </row>
    <row r="418" spans="1:33">
      <c r="A418" s="265">
        <v>12310002</v>
      </c>
      <c r="B418" s="265" t="s">
        <v>362</v>
      </c>
      <c r="C418" s="265" t="s">
        <v>384</v>
      </c>
      <c r="D418" s="265">
        <v>100000001</v>
      </c>
      <c r="E418" s="265" t="s">
        <v>51</v>
      </c>
      <c r="F418" s="265" t="s">
        <v>0</v>
      </c>
      <c r="G418" s="266">
        <v>-4278.83</v>
      </c>
      <c r="H418" s="266">
        <v>-4278.83</v>
      </c>
      <c r="I418" s="268">
        <v>44621</v>
      </c>
      <c r="J418" s="268">
        <v>45991</v>
      </c>
      <c r="K418" s="267"/>
      <c r="L418" s="224" t="str">
        <f t="shared" si="151"/>
        <v>12310002_AUD_100000001_NONGHYUP BANK SYDNEY BRANCH</v>
      </c>
      <c r="M418" s="221">
        <f t="shared" si="131"/>
        <v>-4278.83</v>
      </c>
      <c r="N418" s="24" t="str">
        <f>IF(OR(L418=$L$2,L418=$L$3),$M$10+1,IFERROR(VLOOKUP(A418,'Repricing Maturity Adj.'!$A$3:$C$170,3,0),(IF(K418&lt;$M$10,"Check",K418))))</f>
        <v>Non_sensitive</v>
      </c>
      <c r="O418" s="62" t="b">
        <f t="shared" si="132"/>
        <v>1</v>
      </c>
      <c r="P418" s="63" t="str">
        <f t="shared" si="133"/>
        <v>Asset</v>
      </c>
      <c r="Q418" s="25">
        <f t="shared" si="134"/>
        <v>0</v>
      </c>
      <c r="R418" s="25">
        <f t="shared" si="135"/>
        <v>0</v>
      </c>
      <c r="S418" s="25">
        <f t="shared" si="136"/>
        <v>0</v>
      </c>
      <c r="T418" s="25">
        <f t="shared" si="137"/>
        <v>0</v>
      </c>
      <c r="U418" s="25">
        <f t="shared" si="138"/>
        <v>0</v>
      </c>
      <c r="V418" s="25">
        <f t="shared" si="139"/>
        <v>0</v>
      </c>
      <c r="W418" s="25">
        <f t="shared" si="140"/>
        <v>0</v>
      </c>
      <c r="X418" s="64">
        <f t="shared" si="141"/>
        <v>0</v>
      </c>
      <c r="Y418" s="64">
        <f t="shared" si="142"/>
        <v>0</v>
      </c>
      <c r="Z418" s="64">
        <f t="shared" si="143"/>
        <v>0</v>
      </c>
      <c r="AA418" s="64">
        <f t="shared" si="144"/>
        <v>0</v>
      </c>
      <c r="AB418" s="64">
        <f t="shared" si="145"/>
        <v>0</v>
      </c>
      <c r="AC418" s="64">
        <f t="shared" si="146"/>
        <v>0</v>
      </c>
      <c r="AD418" s="64">
        <f t="shared" si="147"/>
        <v>0</v>
      </c>
      <c r="AE418" s="64">
        <f t="shared" si="148"/>
        <v>0</v>
      </c>
      <c r="AF418" s="64">
        <f t="shared" si="149"/>
        <v>0</v>
      </c>
      <c r="AG418" s="29">
        <f t="shared" si="150"/>
        <v>-4278.83</v>
      </c>
    </row>
    <row r="419" spans="1:33">
      <c r="A419" s="265">
        <v>12310002</v>
      </c>
      <c r="B419" s="265" t="s">
        <v>362</v>
      </c>
      <c r="C419" s="265" t="s">
        <v>385</v>
      </c>
      <c r="D419" s="265">
        <v>100000001</v>
      </c>
      <c r="E419" s="265" t="s">
        <v>51</v>
      </c>
      <c r="F419" s="265" t="s">
        <v>0</v>
      </c>
      <c r="G419" s="266">
        <v>-24837.119999999999</v>
      </c>
      <c r="H419" s="266">
        <v>-24837.119999999999</v>
      </c>
      <c r="I419" s="268">
        <v>44621</v>
      </c>
      <c r="J419" s="268">
        <v>45991</v>
      </c>
      <c r="K419" s="267"/>
      <c r="L419" s="224" t="str">
        <f t="shared" si="151"/>
        <v>12310002_AUD_100000001_NONGHYUP BANK SYDNEY BRANCH</v>
      </c>
      <c r="M419" s="221">
        <f t="shared" si="131"/>
        <v>-24837.119999999999</v>
      </c>
      <c r="N419" s="24" t="str">
        <f>IF(OR(L419=$L$2,L419=$L$3),$M$10+1,IFERROR(VLOOKUP(A419,'Repricing Maturity Adj.'!$A$3:$C$170,3,0),(IF(K419&lt;$M$10,"Check",K419))))</f>
        <v>Non_sensitive</v>
      </c>
      <c r="O419" s="62" t="b">
        <f t="shared" si="132"/>
        <v>1</v>
      </c>
      <c r="P419" s="63" t="str">
        <f t="shared" si="133"/>
        <v>Asset</v>
      </c>
      <c r="Q419" s="25">
        <f t="shared" si="134"/>
        <v>0</v>
      </c>
      <c r="R419" s="25">
        <f t="shared" si="135"/>
        <v>0</v>
      </c>
      <c r="S419" s="25">
        <f t="shared" si="136"/>
        <v>0</v>
      </c>
      <c r="T419" s="25">
        <f t="shared" si="137"/>
        <v>0</v>
      </c>
      <c r="U419" s="25">
        <f t="shared" si="138"/>
        <v>0</v>
      </c>
      <c r="V419" s="25">
        <f t="shared" si="139"/>
        <v>0</v>
      </c>
      <c r="W419" s="25">
        <f t="shared" si="140"/>
        <v>0</v>
      </c>
      <c r="X419" s="64">
        <f t="shared" si="141"/>
        <v>0</v>
      </c>
      <c r="Y419" s="64">
        <f t="shared" si="142"/>
        <v>0</v>
      </c>
      <c r="Z419" s="64">
        <f t="shared" si="143"/>
        <v>0</v>
      </c>
      <c r="AA419" s="64">
        <f t="shared" si="144"/>
        <v>0</v>
      </c>
      <c r="AB419" s="64">
        <f t="shared" si="145"/>
        <v>0</v>
      </c>
      <c r="AC419" s="64">
        <f t="shared" si="146"/>
        <v>0</v>
      </c>
      <c r="AD419" s="64">
        <f t="shared" si="147"/>
        <v>0</v>
      </c>
      <c r="AE419" s="64">
        <f t="shared" si="148"/>
        <v>0</v>
      </c>
      <c r="AF419" s="64">
        <f t="shared" si="149"/>
        <v>0</v>
      </c>
      <c r="AG419" s="29">
        <f t="shared" si="150"/>
        <v>-24837.119999999999</v>
      </c>
    </row>
    <row r="420" spans="1:33">
      <c r="A420" s="265">
        <v>12310002</v>
      </c>
      <c r="B420" s="265" t="s">
        <v>362</v>
      </c>
      <c r="C420" s="265" t="s">
        <v>386</v>
      </c>
      <c r="D420" s="265">
        <v>100000001</v>
      </c>
      <c r="E420" s="265" t="s">
        <v>51</v>
      </c>
      <c r="F420" s="265" t="s">
        <v>0</v>
      </c>
      <c r="G420" s="266">
        <v>-189.45</v>
      </c>
      <c r="H420" s="266">
        <v>-189.45</v>
      </c>
      <c r="I420" s="268">
        <v>44621</v>
      </c>
      <c r="J420" s="268">
        <v>45991</v>
      </c>
      <c r="K420" s="267"/>
      <c r="L420" s="224" t="str">
        <f t="shared" si="151"/>
        <v>12310002_AUD_100000001_NONGHYUP BANK SYDNEY BRANCH</v>
      </c>
      <c r="M420" s="221">
        <f t="shared" si="131"/>
        <v>-189.45</v>
      </c>
      <c r="N420" s="24" t="str">
        <f>IF(OR(L420=$L$2,L420=$L$3),$M$10+1,IFERROR(VLOOKUP(A420,'Repricing Maturity Adj.'!$A$3:$C$170,3,0),(IF(K420&lt;$M$10,"Check",K420))))</f>
        <v>Non_sensitive</v>
      </c>
      <c r="O420" s="62" t="b">
        <f t="shared" si="132"/>
        <v>1</v>
      </c>
      <c r="P420" s="63" t="str">
        <f t="shared" si="133"/>
        <v>Asset</v>
      </c>
      <c r="Q420" s="25">
        <f t="shared" si="134"/>
        <v>0</v>
      </c>
      <c r="R420" s="25">
        <f t="shared" si="135"/>
        <v>0</v>
      </c>
      <c r="S420" s="25">
        <f t="shared" si="136"/>
        <v>0</v>
      </c>
      <c r="T420" s="25">
        <f t="shared" si="137"/>
        <v>0</v>
      </c>
      <c r="U420" s="25">
        <f t="shared" si="138"/>
        <v>0</v>
      </c>
      <c r="V420" s="25">
        <f t="shared" si="139"/>
        <v>0</v>
      </c>
      <c r="W420" s="25">
        <f t="shared" si="140"/>
        <v>0</v>
      </c>
      <c r="X420" s="64">
        <f t="shared" si="141"/>
        <v>0</v>
      </c>
      <c r="Y420" s="64">
        <f t="shared" si="142"/>
        <v>0</v>
      </c>
      <c r="Z420" s="64">
        <f t="shared" si="143"/>
        <v>0</v>
      </c>
      <c r="AA420" s="64">
        <f t="shared" si="144"/>
        <v>0</v>
      </c>
      <c r="AB420" s="64">
        <f t="shared" si="145"/>
        <v>0</v>
      </c>
      <c r="AC420" s="64">
        <f t="shared" si="146"/>
        <v>0</v>
      </c>
      <c r="AD420" s="64">
        <f t="shared" si="147"/>
        <v>0</v>
      </c>
      <c r="AE420" s="64">
        <f t="shared" si="148"/>
        <v>0</v>
      </c>
      <c r="AF420" s="64">
        <f t="shared" si="149"/>
        <v>0</v>
      </c>
      <c r="AG420" s="29">
        <f t="shared" si="150"/>
        <v>-189.45</v>
      </c>
    </row>
    <row r="421" spans="1:33">
      <c r="A421" s="265">
        <v>12310002</v>
      </c>
      <c r="B421" s="265" t="s">
        <v>362</v>
      </c>
      <c r="C421" s="265" t="s">
        <v>387</v>
      </c>
      <c r="D421" s="265">
        <v>100000001</v>
      </c>
      <c r="E421" s="265" t="s">
        <v>51</v>
      </c>
      <c r="F421" s="265" t="s">
        <v>0</v>
      </c>
      <c r="G421" s="266">
        <v>-23817.15</v>
      </c>
      <c r="H421" s="266">
        <v>-23817.15</v>
      </c>
      <c r="I421" s="268">
        <v>44621</v>
      </c>
      <c r="J421" s="268">
        <v>45991</v>
      </c>
      <c r="K421" s="267"/>
      <c r="L421" s="224" t="str">
        <f t="shared" si="151"/>
        <v>12310002_AUD_100000001_NONGHYUP BANK SYDNEY BRANCH</v>
      </c>
      <c r="M421" s="221">
        <f t="shared" si="131"/>
        <v>-23817.15</v>
      </c>
      <c r="N421" s="24" t="str">
        <f>IF(OR(L421=$L$2,L421=$L$3),$M$10+1,IFERROR(VLOOKUP(A421,'Repricing Maturity Adj.'!$A$3:$C$170,3,0),(IF(K421&lt;$M$10,"Check",K421))))</f>
        <v>Non_sensitive</v>
      </c>
      <c r="O421" s="62" t="b">
        <f t="shared" si="132"/>
        <v>1</v>
      </c>
      <c r="P421" s="63" t="str">
        <f t="shared" si="133"/>
        <v>Asset</v>
      </c>
      <c r="Q421" s="25">
        <f t="shared" si="134"/>
        <v>0</v>
      </c>
      <c r="R421" s="25">
        <f t="shared" si="135"/>
        <v>0</v>
      </c>
      <c r="S421" s="25">
        <f t="shared" si="136"/>
        <v>0</v>
      </c>
      <c r="T421" s="25">
        <f t="shared" si="137"/>
        <v>0</v>
      </c>
      <c r="U421" s="25">
        <f t="shared" si="138"/>
        <v>0</v>
      </c>
      <c r="V421" s="25">
        <f t="shared" si="139"/>
        <v>0</v>
      </c>
      <c r="W421" s="25">
        <f t="shared" si="140"/>
        <v>0</v>
      </c>
      <c r="X421" s="64">
        <f t="shared" si="141"/>
        <v>0</v>
      </c>
      <c r="Y421" s="64">
        <f t="shared" si="142"/>
        <v>0</v>
      </c>
      <c r="Z421" s="64">
        <f t="shared" si="143"/>
        <v>0</v>
      </c>
      <c r="AA421" s="64">
        <f t="shared" si="144"/>
        <v>0</v>
      </c>
      <c r="AB421" s="64">
        <f t="shared" si="145"/>
        <v>0</v>
      </c>
      <c r="AC421" s="64">
        <f t="shared" si="146"/>
        <v>0</v>
      </c>
      <c r="AD421" s="64">
        <f t="shared" si="147"/>
        <v>0</v>
      </c>
      <c r="AE421" s="64">
        <f t="shared" si="148"/>
        <v>0</v>
      </c>
      <c r="AF421" s="64">
        <f t="shared" si="149"/>
        <v>0</v>
      </c>
      <c r="AG421" s="29">
        <f t="shared" si="150"/>
        <v>-23817.15</v>
      </c>
    </row>
    <row r="422" spans="1:33">
      <c r="A422" s="265">
        <v>12310002</v>
      </c>
      <c r="B422" s="265" t="s">
        <v>362</v>
      </c>
      <c r="C422" s="265" t="s">
        <v>388</v>
      </c>
      <c r="D422" s="265">
        <v>100000001</v>
      </c>
      <c r="E422" s="265" t="s">
        <v>51</v>
      </c>
      <c r="F422" s="265" t="s">
        <v>0</v>
      </c>
      <c r="G422" s="266">
        <v>-1202.76</v>
      </c>
      <c r="H422" s="266">
        <v>-1202.76</v>
      </c>
      <c r="I422" s="268">
        <v>44621</v>
      </c>
      <c r="J422" s="268">
        <v>45991</v>
      </c>
      <c r="K422" s="267"/>
      <c r="L422" s="224" t="str">
        <f t="shared" si="151"/>
        <v>12310002_AUD_100000001_NONGHYUP BANK SYDNEY BRANCH</v>
      </c>
      <c r="M422" s="221">
        <f t="shared" si="131"/>
        <v>-1202.76</v>
      </c>
      <c r="N422" s="24" t="str">
        <f>IF(OR(L422=$L$2,L422=$L$3),$M$10+1,IFERROR(VLOOKUP(A422,'Repricing Maturity Adj.'!$A$3:$C$170,3,0),(IF(K422&lt;$M$10,"Check",K422))))</f>
        <v>Non_sensitive</v>
      </c>
      <c r="O422" s="62" t="b">
        <f t="shared" si="132"/>
        <v>1</v>
      </c>
      <c r="P422" s="63" t="str">
        <f t="shared" si="133"/>
        <v>Asset</v>
      </c>
      <c r="Q422" s="25">
        <f t="shared" si="134"/>
        <v>0</v>
      </c>
      <c r="R422" s="25">
        <f t="shared" si="135"/>
        <v>0</v>
      </c>
      <c r="S422" s="25">
        <f t="shared" si="136"/>
        <v>0</v>
      </c>
      <c r="T422" s="25">
        <f t="shared" si="137"/>
        <v>0</v>
      </c>
      <c r="U422" s="25">
        <f t="shared" si="138"/>
        <v>0</v>
      </c>
      <c r="V422" s="25">
        <f t="shared" si="139"/>
        <v>0</v>
      </c>
      <c r="W422" s="25">
        <f t="shared" si="140"/>
        <v>0</v>
      </c>
      <c r="X422" s="64">
        <f t="shared" si="141"/>
        <v>0</v>
      </c>
      <c r="Y422" s="64">
        <f t="shared" si="142"/>
        <v>0</v>
      </c>
      <c r="Z422" s="64">
        <f t="shared" si="143"/>
        <v>0</v>
      </c>
      <c r="AA422" s="64">
        <f t="shared" si="144"/>
        <v>0</v>
      </c>
      <c r="AB422" s="64">
        <f t="shared" si="145"/>
        <v>0</v>
      </c>
      <c r="AC422" s="64">
        <f t="shared" si="146"/>
        <v>0</v>
      </c>
      <c r="AD422" s="64">
        <f t="shared" si="147"/>
        <v>0</v>
      </c>
      <c r="AE422" s="64">
        <f t="shared" si="148"/>
        <v>0</v>
      </c>
      <c r="AF422" s="64">
        <f t="shared" si="149"/>
        <v>0</v>
      </c>
      <c r="AG422" s="29">
        <f t="shared" si="150"/>
        <v>-1202.76</v>
      </c>
    </row>
    <row r="423" spans="1:33">
      <c r="A423" s="265">
        <v>12310002</v>
      </c>
      <c r="B423" s="265" t="s">
        <v>362</v>
      </c>
      <c r="C423" s="265" t="s">
        <v>389</v>
      </c>
      <c r="D423" s="265">
        <v>100000001</v>
      </c>
      <c r="E423" s="265" t="s">
        <v>51</v>
      </c>
      <c r="F423" s="265" t="s">
        <v>0</v>
      </c>
      <c r="G423" s="266">
        <v>-3640.76</v>
      </c>
      <c r="H423" s="266">
        <v>-3640.76</v>
      </c>
      <c r="I423" s="268">
        <v>44621</v>
      </c>
      <c r="J423" s="268">
        <v>45991</v>
      </c>
      <c r="K423" s="267"/>
      <c r="L423" s="224" t="str">
        <f t="shared" si="151"/>
        <v>12310002_AUD_100000001_NONGHYUP BANK SYDNEY BRANCH</v>
      </c>
      <c r="M423" s="221">
        <f t="shared" si="131"/>
        <v>-3640.76</v>
      </c>
      <c r="N423" s="24" t="str">
        <f>IF(OR(L423=$L$2,L423=$L$3),$M$10+1,IFERROR(VLOOKUP(A423,'Repricing Maturity Adj.'!$A$3:$C$170,3,0),(IF(K423&lt;$M$10,"Check",K423))))</f>
        <v>Non_sensitive</v>
      </c>
      <c r="O423" s="62" t="b">
        <f t="shared" si="132"/>
        <v>1</v>
      </c>
      <c r="P423" s="63" t="str">
        <f t="shared" si="133"/>
        <v>Asset</v>
      </c>
      <c r="Q423" s="25">
        <f t="shared" si="134"/>
        <v>0</v>
      </c>
      <c r="R423" s="25">
        <f t="shared" si="135"/>
        <v>0</v>
      </c>
      <c r="S423" s="25">
        <f t="shared" si="136"/>
        <v>0</v>
      </c>
      <c r="T423" s="25">
        <f t="shared" si="137"/>
        <v>0</v>
      </c>
      <c r="U423" s="25">
        <f t="shared" si="138"/>
        <v>0</v>
      </c>
      <c r="V423" s="25">
        <f t="shared" si="139"/>
        <v>0</v>
      </c>
      <c r="W423" s="25">
        <f t="shared" si="140"/>
        <v>0</v>
      </c>
      <c r="X423" s="64">
        <f t="shared" si="141"/>
        <v>0</v>
      </c>
      <c r="Y423" s="64">
        <f t="shared" si="142"/>
        <v>0</v>
      </c>
      <c r="Z423" s="64">
        <f t="shared" si="143"/>
        <v>0</v>
      </c>
      <c r="AA423" s="64">
        <f t="shared" si="144"/>
        <v>0</v>
      </c>
      <c r="AB423" s="64">
        <f t="shared" si="145"/>
        <v>0</v>
      </c>
      <c r="AC423" s="64">
        <f t="shared" si="146"/>
        <v>0</v>
      </c>
      <c r="AD423" s="64">
        <f t="shared" si="147"/>
        <v>0</v>
      </c>
      <c r="AE423" s="64">
        <f t="shared" si="148"/>
        <v>0</v>
      </c>
      <c r="AF423" s="64">
        <f t="shared" si="149"/>
        <v>0</v>
      </c>
      <c r="AG423" s="29">
        <f t="shared" si="150"/>
        <v>-3640.76</v>
      </c>
    </row>
    <row r="424" spans="1:33">
      <c r="A424" s="265">
        <v>12310002</v>
      </c>
      <c r="B424" s="265" t="s">
        <v>362</v>
      </c>
      <c r="C424" s="265" t="s">
        <v>390</v>
      </c>
      <c r="D424" s="265">
        <v>100000001</v>
      </c>
      <c r="E424" s="265" t="s">
        <v>51</v>
      </c>
      <c r="F424" s="265" t="s">
        <v>0</v>
      </c>
      <c r="G424" s="266">
        <v>-21369.49</v>
      </c>
      <c r="H424" s="266">
        <v>-21369.49</v>
      </c>
      <c r="I424" s="268">
        <v>44621</v>
      </c>
      <c r="J424" s="268">
        <v>46477</v>
      </c>
      <c r="K424" s="267"/>
      <c r="L424" s="224" t="str">
        <f t="shared" si="151"/>
        <v>12310002_AUD_100000001_NONGHYUP BANK SYDNEY BRANCH</v>
      </c>
      <c r="M424" s="221">
        <f t="shared" si="131"/>
        <v>-21369.49</v>
      </c>
      <c r="N424" s="24" t="str">
        <f>IF(OR(L424=$L$2,L424=$L$3),$M$10+1,IFERROR(VLOOKUP(A424,'Repricing Maturity Adj.'!$A$3:$C$170,3,0),(IF(K424&lt;$M$10,"Check",K424))))</f>
        <v>Non_sensitive</v>
      </c>
      <c r="O424" s="62" t="b">
        <f t="shared" si="132"/>
        <v>1</v>
      </c>
      <c r="P424" s="63" t="str">
        <f t="shared" si="133"/>
        <v>Asset</v>
      </c>
      <c r="Q424" s="25">
        <f t="shared" si="134"/>
        <v>0</v>
      </c>
      <c r="R424" s="25">
        <f t="shared" si="135"/>
        <v>0</v>
      </c>
      <c r="S424" s="25">
        <f t="shared" si="136"/>
        <v>0</v>
      </c>
      <c r="T424" s="25">
        <f t="shared" si="137"/>
        <v>0</v>
      </c>
      <c r="U424" s="25">
        <f t="shared" si="138"/>
        <v>0</v>
      </c>
      <c r="V424" s="25">
        <f t="shared" si="139"/>
        <v>0</v>
      </c>
      <c r="W424" s="25">
        <f t="shared" si="140"/>
        <v>0</v>
      </c>
      <c r="X424" s="64">
        <f t="shared" si="141"/>
        <v>0</v>
      </c>
      <c r="Y424" s="64">
        <f t="shared" si="142"/>
        <v>0</v>
      </c>
      <c r="Z424" s="64">
        <f t="shared" si="143"/>
        <v>0</v>
      </c>
      <c r="AA424" s="64">
        <f t="shared" si="144"/>
        <v>0</v>
      </c>
      <c r="AB424" s="64">
        <f t="shared" si="145"/>
        <v>0</v>
      </c>
      <c r="AC424" s="64">
        <f t="shared" si="146"/>
        <v>0</v>
      </c>
      <c r="AD424" s="64">
        <f t="shared" si="147"/>
        <v>0</v>
      </c>
      <c r="AE424" s="64">
        <f t="shared" si="148"/>
        <v>0</v>
      </c>
      <c r="AF424" s="64">
        <f t="shared" si="149"/>
        <v>0</v>
      </c>
      <c r="AG424" s="29">
        <f t="shared" si="150"/>
        <v>-21369.49</v>
      </c>
    </row>
    <row r="425" spans="1:33">
      <c r="A425" s="265">
        <v>12310002</v>
      </c>
      <c r="B425" s="265" t="s">
        <v>362</v>
      </c>
      <c r="C425" s="265" t="s">
        <v>390</v>
      </c>
      <c r="D425" s="265">
        <v>100000001</v>
      </c>
      <c r="E425" s="265" t="s">
        <v>51</v>
      </c>
      <c r="F425" s="265" t="s">
        <v>0</v>
      </c>
      <c r="G425" s="266">
        <v>-104.55</v>
      </c>
      <c r="H425" s="266">
        <v>-104.55</v>
      </c>
      <c r="I425" s="268">
        <v>44621</v>
      </c>
      <c r="J425" s="268">
        <v>46477</v>
      </c>
      <c r="K425" s="267"/>
      <c r="L425" s="224" t="str">
        <f t="shared" si="151"/>
        <v>12310002_AUD_100000001_NONGHYUP BANK SYDNEY BRANCH</v>
      </c>
      <c r="M425" s="221">
        <f t="shared" si="131"/>
        <v>-104.55</v>
      </c>
      <c r="N425" s="24" t="str">
        <f>IF(OR(L425=$L$2,L425=$L$3),$M$10+1,IFERROR(VLOOKUP(A425,'Repricing Maturity Adj.'!$A$3:$C$170,3,0),(IF(K425&lt;$M$10,"Check",K425))))</f>
        <v>Non_sensitive</v>
      </c>
      <c r="O425" s="62" t="b">
        <f t="shared" si="132"/>
        <v>1</v>
      </c>
      <c r="P425" s="63" t="str">
        <f t="shared" si="133"/>
        <v>Asset</v>
      </c>
      <c r="Q425" s="25">
        <f t="shared" si="134"/>
        <v>0</v>
      </c>
      <c r="R425" s="25">
        <f t="shared" si="135"/>
        <v>0</v>
      </c>
      <c r="S425" s="25">
        <f t="shared" si="136"/>
        <v>0</v>
      </c>
      <c r="T425" s="25">
        <f t="shared" si="137"/>
        <v>0</v>
      </c>
      <c r="U425" s="25">
        <f t="shared" si="138"/>
        <v>0</v>
      </c>
      <c r="V425" s="25">
        <f t="shared" si="139"/>
        <v>0</v>
      </c>
      <c r="W425" s="25">
        <f t="shared" si="140"/>
        <v>0</v>
      </c>
      <c r="X425" s="64">
        <f t="shared" si="141"/>
        <v>0</v>
      </c>
      <c r="Y425" s="64">
        <f t="shared" si="142"/>
        <v>0</v>
      </c>
      <c r="Z425" s="64">
        <f t="shared" si="143"/>
        <v>0</v>
      </c>
      <c r="AA425" s="64">
        <f t="shared" si="144"/>
        <v>0</v>
      </c>
      <c r="AB425" s="64">
        <f t="shared" si="145"/>
        <v>0</v>
      </c>
      <c r="AC425" s="64">
        <f t="shared" si="146"/>
        <v>0</v>
      </c>
      <c r="AD425" s="64">
        <f t="shared" si="147"/>
        <v>0</v>
      </c>
      <c r="AE425" s="64">
        <f t="shared" si="148"/>
        <v>0</v>
      </c>
      <c r="AF425" s="64">
        <f t="shared" si="149"/>
        <v>0</v>
      </c>
      <c r="AG425" s="29">
        <f t="shared" si="150"/>
        <v>-104.55</v>
      </c>
    </row>
    <row r="426" spans="1:33">
      <c r="A426" s="265">
        <v>12310002</v>
      </c>
      <c r="B426" s="265" t="s">
        <v>362</v>
      </c>
      <c r="C426" s="265" t="s">
        <v>391</v>
      </c>
      <c r="D426" s="265">
        <v>100000001</v>
      </c>
      <c r="E426" s="265" t="s">
        <v>51</v>
      </c>
      <c r="F426" s="265" t="s">
        <v>0</v>
      </c>
      <c r="G426" s="266">
        <v>-3984.79</v>
      </c>
      <c r="H426" s="266">
        <v>-3984.79</v>
      </c>
      <c r="I426" s="268">
        <v>44805</v>
      </c>
      <c r="J426" s="268">
        <v>46265</v>
      </c>
      <c r="K426" s="267"/>
      <c r="L426" s="224" t="str">
        <f t="shared" si="151"/>
        <v>12310002_AUD_100000001_NONGHYUP BANK SYDNEY BRANCH</v>
      </c>
      <c r="M426" s="221">
        <f t="shared" si="131"/>
        <v>-3984.79</v>
      </c>
      <c r="N426" s="24" t="str">
        <f>IF(OR(L426=$L$2,L426=$L$3),$M$10+1,IFERROR(VLOOKUP(A426,'Repricing Maturity Adj.'!$A$3:$C$170,3,0),(IF(K426&lt;$M$10,"Check",K426))))</f>
        <v>Non_sensitive</v>
      </c>
      <c r="O426" s="62" t="b">
        <f t="shared" si="132"/>
        <v>1</v>
      </c>
      <c r="P426" s="63" t="str">
        <f t="shared" si="133"/>
        <v>Asset</v>
      </c>
      <c r="Q426" s="25">
        <f t="shared" si="134"/>
        <v>0</v>
      </c>
      <c r="R426" s="25">
        <f t="shared" si="135"/>
        <v>0</v>
      </c>
      <c r="S426" s="25">
        <f t="shared" si="136"/>
        <v>0</v>
      </c>
      <c r="T426" s="25">
        <f t="shared" si="137"/>
        <v>0</v>
      </c>
      <c r="U426" s="25">
        <f t="shared" si="138"/>
        <v>0</v>
      </c>
      <c r="V426" s="25">
        <f t="shared" si="139"/>
        <v>0</v>
      </c>
      <c r="W426" s="25">
        <f t="shared" si="140"/>
        <v>0</v>
      </c>
      <c r="X426" s="64">
        <f t="shared" si="141"/>
        <v>0</v>
      </c>
      <c r="Y426" s="64">
        <f t="shared" si="142"/>
        <v>0</v>
      </c>
      <c r="Z426" s="64">
        <f t="shared" si="143"/>
        <v>0</v>
      </c>
      <c r="AA426" s="64">
        <f t="shared" si="144"/>
        <v>0</v>
      </c>
      <c r="AB426" s="64">
        <f t="shared" si="145"/>
        <v>0</v>
      </c>
      <c r="AC426" s="64">
        <f t="shared" si="146"/>
        <v>0</v>
      </c>
      <c r="AD426" s="64">
        <f t="shared" si="147"/>
        <v>0</v>
      </c>
      <c r="AE426" s="64">
        <f t="shared" si="148"/>
        <v>0</v>
      </c>
      <c r="AF426" s="64">
        <f t="shared" si="149"/>
        <v>0</v>
      </c>
      <c r="AG426" s="29">
        <f t="shared" si="150"/>
        <v>-3984.79</v>
      </c>
    </row>
    <row r="427" spans="1:33">
      <c r="A427" s="265">
        <v>12310002</v>
      </c>
      <c r="B427" s="265" t="s">
        <v>362</v>
      </c>
      <c r="C427" s="265" t="s">
        <v>391</v>
      </c>
      <c r="D427" s="265">
        <v>100000001</v>
      </c>
      <c r="E427" s="265" t="s">
        <v>51</v>
      </c>
      <c r="F427" s="265" t="s">
        <v>0</v>
      </c>
      <c r="G427" s="266">
        <v>-22.36</v>
      </c>
      <c r="H427" s="266">
        <v>-22.36</v>
      </c>
      <c r="I427" s="268">
        <v>44805</v>
      </c>
      <c r="J427" s="268">
        <v>46265</v>
      </c>
      <c r="K427" s="267"/>
      <c r="L427" s="224" t="str">
        <f t="shared" si="151"/>
        <v>12310002_AUD_100000001_NONGHYUP BANK SYDNEY BRANCH</v>
      </c>
      <c r="M427" s="221">
        <f t="shared" si="131"/>
        <v>-22.36</v>
      </c>
      <c r="N427" s="24" t="str">
        <f>IF(OR(L427=$L$2,L427=$L$3),$M$10+1,IFERROR(VLOOKUP(A427,'Repricing Maturity Adj.'!$A$3:$C$170,3,0),(IF(K427&lt;$M$10,"Check",K427))))</f>
        <v>Non_sensitive</v>
      </c>
      <c r="O427" s="62" t="b">
        <f t="shared" si="132"/>
        <v>1</v>
      </c>
      <c r="P427" s="63" t="str">
        <f t="shared" si="133"/>
        <v>Asset</v>
      </c>
      <c r="Q427" s="25">
        <f t="shared" si="134"/>
        <v>0</v>
      </c>
      <c r="R427" s="25">
        <f t="shared" si="135"/>
        <v>0</v>
      </c>
      <c r="S427" s="25">
        <f t="shared" si="136"/>
        <v>0</v>
      </c>
      <c r="T427" s="25">
        <f t="shared" si="137"/>
        <v>0</v>
      </c>
      <c r="U427" s="25">
        <f t="shared" si="138"/>
        <v>0</v>
      </c>
      <c r="V427" s="25">
        <f t="shared" si="139"/>
        <v>0</v>
      </c>
      <c r="W427" s="25">
        <f t="shared" si="140"/>
        <v>0</v>
      </c>
      <c r="X427" s="64">
        <f t="shared" si="141"/>
        <v>0</v>
      </c>
      <c r="Y427" s="64">
        <f t="shared" si="142"/>
        <v>0</v>
      </c>
      <c r="Z427" s="64">
        <f t="shared" si="143"/>
        <v>0</v>
      </c>
      <c r="AA427" s="64">
        <f t="shared" si="144"/>
        <v>0</v>
      </c>
      <c r="AB427" s="64">
        <f t="shared" si="145"/>
        <v>0</v>
      </c>
      <c r="AC427" s="64">
        <f t="shared" si="146"/>
        <v>0</v>
      </c>
      <c r="AD427" s="64">
        <f t="shared" si="147"/>
        <v>0</v>
      </c>
      <c r="AE427" s="64">
        <f t="shared" si="148"/>
        <v>0</v>
      </c>
      <c r="AF427" s="64">
        <f t="shared" si="149"/>
        <v>0</v>
      </c>
      <c r="AG427" s="29">
        <f t="shared" si="150"/>
        <v>-22.36</v>
      </c>
    </row>
    <row r="428" spans="1:33">
      <c r="A428" s="265">
        <v>12310002</v>
      </c>
      <c r="B428" s="265" t="s">
        <v>362</v>
      </c>
      <c r="C428" s="265" t="s">
        <v>392</v>
      </c>
      <c r="D428" s="265">
        <v>100000001</v>
      </c>
      <c r="E428" s="265" t="s">
        <v>51</v>
      </c>
      <c r="F428" s="265" t="s">
        <v>0</v>
      </c>
      <c r="G428" s="266">
        <v>-15.69</v>
      </c>
      <c r="H428" s="266">
        <v>-15.69</v>
      </c>
      <c r="I428" s="268">
        <v>45098</v>
      </c>
      <c r="J428" s="268">
        <v>46568</v>
      </c>
      <c r="K428" s="267"/>
      <c r="L428" s="224" t="str">
        <f t="shared" si="151"/>
        <v>12310002_AUD_100000001_NONGHYUP BANK SYDNEY BRANCH</v>
      </c>
      <c r="M428" s="221">
        <f t="shared" si="131"/>
        <v>-15.69</v>
      </c>
      <c r="N428" s="24" t="str">
        <f>IF(OR(L428=$L$2,L428=$L$3),$M$10+1,IFERROR(VLOOKUP(A428,'Repricing Maturity Adj.'!$A$3:$C$170,3,0),(IF(K428&lt;$M$10,"Check",K428))))</f>
        <v>Non_sensitive</v>
      </c>
      <c r="O428" s="62" t="b">
        <f t="shared" si="132"/>
        <v>1</v>
      </c>
      <c r="P428" s="63" t="str">
        <f t="shared" si="133"/>
        <v>Asset</v>
      </c>
      <c r="Q428" s="25">
        <f t="shared" si="134"/>
        <v>0</v>
      </c>
      <c r="R428" s="25">
        <f t="shared" si="135"/>
        <v>0</v>
      </c>
      <c r="S428" s="25">
        <f t="shared" si="136"/>
        <v>0</v>
      </c>
      <c r="T428" s="25">
        <f t="shared" si="137"/>
        <v>0</v>
      </c>
      <c r="U428" s="25">
        <f t="shared" si="138"/>
        <v>0</v>
      </c>
      <c r="V428" s="25">
        <f t="shared" si="139"/>
        <v>0</v>
      </c>
      <c r="W428" s="25">
        <f t="shared" si="140"/>
        <v>0</v>
      </c>
      <c r="X428" s="64">
        <f t="shared" si="141"/>
        <v>0</v>
      </c>
      <c r="Y428" s="64">
        <f t="shared" si="142"/>
        <v>0</v>
      </c>
      <c r="Z428" s="64">
        <f t="shared" si="143"/>
        <v>0</v>
      </c>
      <c r="AA428" s="64">
        <f t="shared" si="144"/>
        <v>0</v>
      </c>
      <c r="AB428" s="64">
        <f t="shared" si="145"/>
        <v>0</v>
      </c>
      <c r="AC428" s="64">
        <f t="shared" si="146"/>
        <v>0</v>
      </c>
      <c r="AD428" s="64">
        <f t="shared" si="147"/>
        <v>0</v>
      </c>
      <c r="AE428" s="64">
        <f t="shared" si="148"/>
        <v>0</v>
      </c>
      <c r="AF428" s="64">
        <f t="shared" si="149"/>
        <v>0</v>
      </c>
      <c r="AG428" s="29">
        <f t="shared" si="150"/>
        <v>-15.69</v>
      </c>
    </row>
    <row r="429" spans="1:33">
      <c r="A429" s="265">
        <v>12310002</v>
      </c>
      <c r="B429" s="265" t="s">
        <v>362</v>
      </c>
      <c r="C429" s="265" t="s">
        <v>392</v>
      </c>
      <c r="D429" s="265">
        <v>100000001</v>
      </c>
      <c r="E429" s="265" t="s">
        <v>51</v>
      </c>
      <c r="F429" s="265" t="s">
        <v>0</v>
      </c>
      <c r="G429" s="266">
        <v>-2198.08</v>
      </c>
      <c r="H429" s="266">
        <v>-2198.08</v>
      </c>
      <c r="I429" s="268">
        <v>45098</v>
      </c>
      <c r="J429" s="268">
        <v>46568</v>
      </c>
      <c r="K429" s="267"/>
      <c r="L429" s="224" t="str">
        <f t="shared" si="151"/>
        <v>12310002_AUD_100000001_NONGHYUP BANK SYDNEY BRANCH</v>
      </c>
      <c r="M429" s="221">
        <f t="shared" si="131"/>
        <v>-2198.08</v>
      </c>
      <c r="N429" s="24" t="str">
        <f>IF(OR(L429=$L$2,L429=$L$3),$M$10+1,IFERROR(VLOOKUP(A429,'Repricing Maturity Adj.'!$A$3:$C$170,3,0),(IF(K429&lt;$M$10,"Check",K429))))</f>
        <v>Non_sensitive</v>
      </c>
      <c r="O429" s="62" t="b">
        <f t="shared" si="132"/>
        <v>1</v>
      </c>
      <c r="P429" s="63" t="str">
        <f t="shared" si="133"/>
        <v>Asset</v>
      </c>
      <c r="Q429" s="25">
        <f t="shared" si="134"/>
        <v>0</v>
      </c>
      <c r="R429" s="25">
        <f t="shared" si="135"/>
        <v>0</v>
      </c>
      <c r="S429" s="25">
        <f t="shared" si="136"/>
        <v>0</v>
      </c>
      <c r="T429" s="25">
        <f t="shared" si="137"/>
        <v>0</v>
      </c>
      <c r="U429" s="25">
        <f t="shared" si="138"/>
        <v>0</v>
      </c>
      <c r="V429" s="25">
        <f t="shared" si="139"/>
        <v>0</v>
      </c>
      <c r="W429" s="25">
        <f t="shared" si="140"/>
        <v>0</v>
      </c>
      <c r="X429" s="64">
        <f t="shared" si="141"/>
        <v>0</v>
      </c>
      <c r="Y429" s="64">
        <f t="shared" si="142"/>
        <v>0</v>
      </c>
      <c r="Z429" s="64">
        <f t="shared" si="143"/>
        <v>0</v>
      </c>
      <c r="AA429" s="64">
        <f t="shared" si="144"/>
        <v>0</v>
      </c>
      <c r="AB429" s="64">
        <f t="shared" si="145"/>
        <v>0</v>
      </c>
      <c r="AC429" s="64">
        <f t="shared" si="146"/>
        <v>0</v>
      </c>
      <c r="AD429" s="64">
        <f t="shared" si="147"/>
        <v>0</v>
      </c>
      <c r="AE429" s="64">
        <f t="shared" si="148"/>
        <v>0</v>
      </c>
      <c r="AF429" s="64">
        <f t="shared" si="149"/>
        <v>0</v>
      </c>
      <c r="AG429" s="29">
        <f t="shared" si="150"/>
        <v>-2198.08</v>
      </c>
    </row>
    <row r="430" spans="1:33">
      <c r="A430" s="265">
        <v>12310002</v>
      </c>
      <c r="B430" s="265" t="s">
        <v>362</v>
      </c>
      <c r="C430" s="265" t="s">
        <v>520</v>
      </c>
      <c r="D430" s="265">
        <v>100000001</v>
      </c>
      <c r="E430" s="265" t="s">
        <v>51</v>
      </c>
      <c r="F430" s="265" t="s">
        <v>0</v>
      </c>
      <c r="G430" s="266">
        <v>-2962.05</v>
      </c>
      <c r="H430" s="266">
        <v>-2962.05</v>
      </c>
      <c r="I430" s="268">
        <v>45226</v>
      </c>
      <c r="J430" s="268">
        <v>45808</v>
      </c>
      <c r="K430" s="267"/>
      <c r="L430" s="224" t="str">
        <f t="shared" si="151"/>
        <v>12310002_AUD_100000001_NONGHYUP BANK SYDNEY BRANCH</v>
      </c>
      <c r="M430" s="221">
        <f t="shared" si="131"/>
        <v>-2962.05</v>
      </c>
      <c r="N430" s="24" t="str">
        <f>IF(OR(L430=$L$2,L430=$L$3),$M$10+1,IFERROR(VLOOKUP(A430,'Repricing Maturity Adj.'!$A$3:$C$170,3,0),(IF(K430&lt;$M$10,"Check",K430))))</f>
        <v>Non_sensitive</v>
      </c>
      <c r="O430" s="62" t="b">
        <f t="shared" si="132"/>
        <v>1</v>
      </c>
      <c r="P430" s="63" t="str">
        <f t="shared" si="133"/>
        <v>Asset</v>
      </c>
      <c r="Q430" s="25">
        <f t="shared" si="134"/>
        <v>0</v>
      </c>
      <c r="R430" s="25">
        <f t="shared" si="135"/>
        <v>0</v>
      </c>
      <c r="S430" s="25">
        <f t="shared" si="136"/>
        <v>0</v>
      </c>
      <c r="T430" s="25">
        <f t="shared" si="137"/>
        <v>0</v>
      </c>
      <c r="U430" s="25">
        <f t="shared" si="138"/>
        <v>0</v>
      </c>
      <c r="V430" s="25">
        <f t="shared" si="139"/>
        <v>0</v>
      </c>
      <c r="W430" s="25">
        <f t="shared" si="140"/>
        <v>0</v>
      </c>
      <c r="X430" s="64">
        <f t="shared" si="141"/>
        <v>0</v>
      </c>
      <c r="Y430" s="64">
        <f t="shared" si="142"/>
        <v>0</v>
      </c>
      <c r="Z430" s="64">
        <f t="shared" si="143"/>
        <v>0</v>
      </c>
      <c r="AA430" s="64">
        <f t="shared" si="144"/>
        <v>0</v>
      </c>
      <c r="AB430" s="64">
        <f t="shared" si="145"/>
        <v>0</v>
      </c>
      <c r="AC430" s="64">
        <f t="shared" si="146"/>
        <v>0</v>
      </c>
      <c r="AD430" s="64">
        <f t="shared" si="147"/>
        <v>0</v>
      </c>
      <c r="AE430" s="64">
        <f t="shared" si="148"/>
        <v>0</v>
      </c>
      <c r="AF430" s="64">
        <f t="shared" si="149"/>
        <v>0</v>
      </c>
      <c r="AG430" s="29">
        <f t="shared" si="150"/>
        <v>-2962.05</v>
      </c>
    </row>
    <row r="431" spans="1:33">
      <c r="A431" s="265">
        <v>12310002</v>
      </c>
      <c r="B431" s="265" t="s">
        <v>362</v>
      </c>
      <c r="C431" s="265" t="s">
        <v>520</v>
      </c>
      <c r="D431" s="265">
        <v>100000001</v>
      </c>
      <c r="E431" s="265" t="s">
        <v>51</v>
      </c>
      <c r="F431" s="265" t="s">
        <v>0</v>
      </c>
      <c r="G431" s="266">
        <v>-162.58000000000001</v>
      </c>
      <c r="H431" s="266">
        <v>-162.58000000000001</v>
      </c>
      <c r="I431" s="268">
        <v>45226</v>
      </c>
      <c r="J431" s="268">
        <v>45808</v>
      </c>
      <c r="K431" s="267"/>
      <c r="L431" s="224" t="str">
        <f t="shared" si="151"/>
        <v>12310002_AUD_100000001_NONGHYUP BANK SYDNEY BRANCH</v>
      </c>
      <c r="M431" s="221">
        <f t="shared" si="131"/>
        <v>-162.58000000000001</v>
      </c>
      <c r="N431" s="24" t="str">
        <f>IF(OR(L431=$L$2,L431=$L$3),$M$10+1,IFERROR(VLOOKUP(A431,'Repricing Maturity Adj.'!$A$3:$C$170,3,0),(IF(K431&lt;$M$10,"Check",K431))))</f>
        <v>Non_sensitive</v>
      </c>
      <c r="O431" s="62" t="b">
        <f t="shared" si="132"/>
        <v>1</v>
      </c>
      <c r="P431" s="63" t="str">
        <f t="shared" si="133"/>
        <v>Asset</v>
      </c>
      <c r="Q431" s="25">
        <f t="shared" si="134"/>
        <v>0</v>
      </c>
      <c r="R431" s="25">
        <f t="shared" si="135"/>
        <v>0</v>
      </c>
      <c r="S431" s="25">
        <f t="shared" si="136"/>
        <v>0</v>
      </c>
      <c r="T431" s="25">
        <f t="shared" si="137"/>
        <v>0</v>
      </c>
      <c r="U431" s="25">
        <f t="shared" si="138"/>
        <v>0</v>
      </c>
      <c r="V431" s="25">
        <f t="shared" si="139"/>
        <v>0</v>
      </c>
      <c r="W431" s="25">
        <f t="shared" si="140"/>
        <v>0</v>
      </c>
      <c r="X431" s="64">
        <f t="shared" si="141"/>
        <v>0</v>
      </c>
      <c r="Y431" s="64">
        <f t="shared" si="142"/>
        <v>0</v>
      </c>
      <c r="Z431" s="64">
        <f t="shared" si="143"/>
        <v>0</v>
      </c>
      <c r="AA431" s="64">
        <f t="shared" si="144"/>
        <v>0</v>
      </c>
      <c r="AB431" s="64">
        <f t="shared" si="145"/>
        <v>0</v>
      </c>
      <c r="AC431" s="64">
        <f t="shared" si="146"/>
        <v>0</v>
      </c>
      <c r="AD431" s="64">
        <f t="shared" si="147"/>
        <v>0</v>
      </c>
      <c r="AE431" s="64">
        <f t="shared" si="148"/>
        <v>0</v>
      </c>
      <c r="AF431" s="64">
        <f t="shared" si="149"/>
        <v>0</v>
      </c>
      <c r="AG431" s="29">
        <f t="shared" si="150"/>
        <v>-162.58000000000001</v>
      </c>
    </row>
    <row r="432" spans="1:33">
      <c r="A432" s="265">
        <v>12310002</v>
      </c>
      <c r="B432" s="265" t="s">
        <v>362</v>
      </c>
      <c r="C432" s="265" t="s">
        <v>521</v>
      </c>
      <c r="D432" s="265">
        <v>100000001</v>
      </c>
      <c r="E432" s="265" t="s">
        <v>51</v>
      </c>
      <c r="F432" s="265" t="s">
        <v>0</v>
      </c>
      <c r="G432" s="266">
        <v>-353.88</v>
      </c>
      <c r="H432" s="266">
        <v>-353.88</v>
      </c>
      <c r="I432" s="268">
        <v>45226</v>
      </c>
      <c r="J432" s="268">
        <v>45808</v>
      </c>
      <c r="K432" s="267"/>
      <c r="L432" s="224" t="str">
        <f t="shared" si="151"/>
        <v>12310002_AUD_100000001_NONGHYUP BANK SYDNEY BRANCH</v>
      </c>
      <c r="M432" s="221">
        <f t="shared" si="131"/>
        <v>-353.88</v>
      </c>
      <c r="N432" s="24" t="str">
        <f>IF(OR(L432=$L$2,L432=$L$3),$M$10+1,IFERROR(VLOOKUP(A432,'Repricing Maturity Adj.'!$A$3:$C$170,3,0),(IF(K432&lt;$M$10,"Check",K432))))</f>
        <v>Non_sensitive</v>
      </c>
      <c r="O432" s="62" t="b">
        <f t="shared" si="132"/>
        <v>1</v>
      </c>
      <c r="P432" s="63" t="str">
        <f t="shared" si="133"/>
        <v>Asset</v>
      </c>
      <c r="Q432" s="25">
        <f t="shared" si="134"/>
        <v>0</v>
      </c>
      <c r="R432" s="25">
        <f t="shared" si="135"/>
        <v>0</v>
      </c>
      <c r="S432" s="25">
        <f t="shared" si="136"/>
        <v>0</v>
      </c>
      <c r="T432" s="25">
        <f t="shared" si="137"/>
        <v>0</v>
      </c>
      <c r="U432" s="25">
        <f t="shared" si="138"/>
        <v>0</v>
      </c>
      <c r="V432" s="25">
        <f t="shared" si="139"/>
        <v>0</v>
      </c>
      <c r="W432" s="25">
        <f t="shared" si="140"/>
        <v>0</v>
      </c>
      <c r="X432" s="64">
        <f t="shared" si="141"/>
        <v>0</v>
      </c>
      <c r="Y432" s="64">
        <f t="shared" si="142"/>
        <v>0</v>
      </c>
      <c r="Z432" s="64">
        <f t="shared" si="143"/>
        <v>0</v>
      </c>
      <c r="AA432" s="64">
        <f t="shared" si="144"/>
        <v>0</v>
      </c>
      <c r="AB432" s="64">
        <f t="shared" si="145"/>
        <v>0</v>
      </c>
      <c r="AC432" s="64">
        <f t="shared" si="146"/>
        <v>0</v>
      </c>
      <c r="AD432" s="64">
        <f t="shared" si="147"/>
        <v>0</v>
      </c>
      <c r="AE432" s="64">
        <f t="shared" si="148"/>
        <v>0</v>
      </c>
      <c r="AF432" s="64">
        <f t="shared" si="149"/>
        <v>0</v>
      </c>
      <c r="AG432" s="29">
        <f t="shared" si="150"/>
        <v>-353.88</v>
      </c>
    </row>
    <row r="433" spans="1:33">
      <c r="A433" s="265">
        <v>12310002</v>
      </c>
      <c r="B433" s="265" t="s">
        <v>362</v>
      </c>
      <c r="C433" s="265" t="s">
        <v>521</v>
      </c>
      <c r="D433" s="265">
        <v>100000001</v>
      </c>
      <c r="E433" s="265" t="s">
        <v>51</v>
      </c>
      <c r="F433" s="265" t="s">
        <v>0</v>
      </c>
      <c r="G433" s="266">
        <v>-19.420000000000002</v>
      </c>
      <c r="H433" s="266">
        <v>-19.420000000000002</v>
      </c>
      <c r="I433" s="268">
        <v>45226</v>
      </c>
      <c r="J433" s="268">
        <v>45808</v>
      </c>
      <c r="K433" s="267"/>
      <c r="L433" s="224" t="str">
        <f t="shared" si="151"/>
        <v>12310002_AUD_100000001_NONGHYUP BANK SYDNEY BRANCH</v>
      </c>
      <c r="M433" s="221">
        <f t="shared" si="131"/>
        <v>-19.420000000000002</v>
      </c>
      <c r="N433" s="24" t="str">
        <f>IF(OR(L433=$L$2,L433=$L$3),$M$10+1,IFERROR(VLOOKUP(A433,'Repricing Maturity Adj.'!$A$3:$C$170,3,0),(IF(K433&lt;$M$10,"Check",K433))))</f>
        <v>Non_sensitive</v>
      </c>
      <c r="O433" s="62" t="b">
        <f t="shared" si="132"/>
        <v>1</v>
      </c>
      <c r="P433" s="63" t="str">
        <f t="shared" si="133"/>
        <v>Asset</v>
      </c>
      <c r="Q433" s="25">
        <f t="shared" si="134"/>
        <v>0</v>
      </c>
      <c r="R433" s="25">
        <f t="shared" si="135"/>
        <v>0</v>
      </c>
      <c r="S433" s="25">
        <f t="shared" si="136"/>
        <v>0</v>
      </c>
      <c r="T433" s="25">
        <f t="shared" si="137"/>
        <v>0</v>
      </c>
      <c r="U433" s="25">
        <f t="shared" si="138"/>
        <v>0</v>
      </c>
      <c r="V433" s="25">
        <f t="shared" si="139"/>
        <v>0</v>
      </c>
      <c r="W433" s="25">
        <f t="shared" si="140"/>
        <v>0</v>
      </c>
      <c r="X433" s="64">
        <f t="shared" si="141"/>
        <v>0</v>
      </c>
      <c r="Y433" s="64">
        <f t="shared" si="142"/>
        <v>0</v>
      </c>
      <c r="Z433" s="64">
        <f t="shared" si="143"/>
        <v>0</v>
      </c>
      <c r="AA433" s="64">
        <f t="shared" si="144"/>
        <v>0</v>
      </c>
      <c r="AB433" s="64">
        <f t="shared" si="145"/>
        <v>0</v>
      </c>
      <c r="AC433" s="64">
        <f t="shared" si="146"/>
        <v>0</v>
      </c>
      <c r="AD433" s="64">
        <f t="shared" si="147"/>
        <v>0</v>
      </c>
      <c r="AE433" s="64">
        <f t="shared" si="148"/>
        <v>0</v>
      </c>
      <c r="AF433" s="64">
        <f t="shared" si="149"/>
        <v>0</v>
      </c>
      <c r="AG433" s="29">
        <f t="shared" si="150"/>
        <v>-19.420000000000002</v>
      </c>
    </row>
    <row r="434" spans="1:33">
      <c r="A434" s="265">
        <v>12310002</v>
      </c>
      <c r="B434" s="265" t="s">
        <v>362</v>
      </c>
      <c r="C434" s="265" t="s">
        <v>522</v>
      </c>
      <c r="D434" s="265">
        <v>100000001</v>
      </c>
      <c r="E434" s="265" t="s">
        <v>51</v>
      </c>
      <c r="F434" s="265" t="s">
        <v>0</v>
      </c>
      <c r="G434" s="266">
        <v>-58.97</v>
      </c>
      <c r="H434" s="266">
        <v>-58.97</v>
      </c>
      <c r="I434" s="268">
        <v>45226</v>
      </c>
      <c r="J434" s="268">
        <v>45808</v>
      </c>
      <c r="K434" s="267"/>
      <c r="L434" s="224" t="str">
        <f t="shared" si="151"/>
        <v>12310002_AUD_100000001_NONGHYUP BANK SYDNEY BRANCH</v>
      </c>
      <c r="M434" s="221">
        <f t="shared" si="131"/>
        <v>-58.97</v>
      </c>
      <c r="N434" s="24" t="str">
        <f>IF(OR(L434=$L$2,L434=$L$3),$M$10+1,IFERROR(VLOOKUP(A434,'Repricing Maturity Adj.'!$A$3:$C$170,3,0),(IF(K434&lt;$M$10,"Check",K434))))</f>
        <v>Non_sensitive</v>
      </c>
      <c r="O434" s="62" t="b">
        <f t="shared" si="132"/>
        <v>1</v>
      </c>
      <c r="P434" s="63" t="str">
        <f t="shared" si="133"/>
        <v>Asset</v>
      </c>
      <c r="Q434" s="25">
        <f t="shared" si="134"/>
        <v>0</v>
      </c>
      <c r="R434" s="25">
        <f t="shared" si="135"/>
        <v>0</v>
      </c>
      <c r="S434" s="25">
        <f t="shared" si="136"/>
        <v>0</v>
      </c>
      <c r="T434" s="25">
        <f t="shared" si="137"/>
        <v>0</v>
      </c>
      <c r="U434" s="25">
        <f t="shared" si="138"/>
        <v>0</v>
      </c>
      <c r="V434" s="25">
        <f t="shared" si="139"/>
        <v>0</v>
      </c>
      <c r="W434" s="25">
        <f t="shared" si="140"/>
        <v>0</v>
      </c>
      <c r="X434" s="64">
        <f t="shared" si="141"/>
        <v>0</v>
      </c>
      <c r="Y434" s="64">
        <f t="shared" si="142"/>
        <v>0</v>
      </c>
      <c r="Z434" s="64">
        <f t="shared" si="143"/>
        <v>0</v>
      </c>
      <c r="AA434" s="64">
        <f t="shared" si="144"/>
        <v>0</v>
      </c>
      <c r="AB434" s="64">
        <f t="shared" si="145"/>
        <v>0</v>
      </c>
      <c r="AC434" s="64">
        <f t="shared" si="146"/>
        <v>0</v>
      </c>
      <c r="AD434" s="64">
        <f t="shared" si="147"/>
        <v>0</v>
      </c>
      <c r="AE434" s="64">
        <f t="shared" si="148"/>
        <v>0</v>
      </c>
      <c r="AF434" s="64">
        <f t="shared" si="149"/>
        <v>0</v>
      </c>
      <c r="AG434" s="29">
        <f t="shared" si="150"/>
        <v>-58.97</v>
      </c>
    </row>
    <row r="435" spans="1:33">
      <c r="A435" s="265">
        <v>12310002</v>
      </c>
      <c r="B435" s="265" t="s">
        <v>362</v>
      </c>
      <c r="C435" s="265" t="s">
        <v>523</v>
      </c>
      <c r="D435" s="265">
        <v>100000001</v>
      </c>
      <c r="E435" s="265" t="s">
        <v>51</v>
      </c>
      <c r="F435" s="265" t="s">
        <v>0</v>
      </c>
      <c r="G435" s="266">
        <v>-227.6</v>
      </c>
      <c r="H435" s="266">
        <v>-227.6</v>
      </c>
      <c r="I435" s="268">
        <v>45226</v>
      </c>
      <c r="J435" s="268">
        <v>45808</v>
      </c>
      <c r="K435" s="267"/>
      <c r="L435" s="224" t="str">
        <f t="shared" si="151"/>
        <v>12310002_AUD_100000001_NONGHYUP BANK SYDNEY BRANCH</v>
      </c>
      <c r="M435" s="221">
        <f t="shared" si="131"/>
        <v>-227.6</v>
      </c>
      <c r="N435" s="24" t="str">
        <f>IF(OR(L435=$L$2,L435=$L$3),$M$10+1,IFERROR(VLOOKUP(A435,'Repricing Maturity Adj.'!$A$3:$C$170,3,0),(IF(K435&lt;$M$10,"Check",K435))))</f>
        <v>Non_sensitive</v>
      </c>
      <c r="O435" s="62" t="b">
        <f t="shared" si="132"/>
        <v>1</v>
      </c>
      <c r="P435" s="63" t="str">
        <f t="shared" si="133"/>
        <v>Asset</v>
      </c>
      <c r="Q435" s="25">
        <f t="shared" si="134"/>
        <v>0</v>
      </c>
      <c r="R435" s="25">
        <f t="shared" si="135"/>
        <v>0</v>
      </c>
      <c r="S435" s="25">
        <f t="shared" si="136"/>
        <v>0</v>
      </c>
      <c r="T435" s="25">
        <f t="shared" si="137"/>
        <v>0</v>
      </c>
      <c r="U435" s="25">
        <f t="shared" si="138"/>
        <v>0</v>
      </c>
      <c r="V435" s="25">
        <f t="shared" si="139"/>
        <v>0</v>
      </c>
      <c r="W435" s="25">
        <f t="shared" si="140"/>
        <v>0</v>
      </c>
      <c r="X435" s="64">
        <f t="shared" si="141"/>
        <v>0</v>
      </c>
      <c r="Y435" s="64">
        <f t="shared" si="142"/>
        <v>0</v>
      </c>
      <c r="Z435" s="64">
        <f t="shared" si="143"/>
        <v>0</v>
      </c>
      <c r="AA435" s="64">
        <f t="shared" si="144"/>
        <v>0</v>
      </c>
      <c r="AB435" s="64">
        <f t="shared" si="145"/>
        <v>0</v>
      </c>
      <c r="AC435" s="64">
        <f t="shared" si="146"/>
        <v>0</v>
      </c>
      <c r="AD435" s="64">
        <f t="shared" si="147"/>
        <v>0</v>
      </c>
      <c r="AE435" s="64">
        <f t="shared" si="148"/>
        <v>0</v>
      </c>
      <c r="AF435" s="64">
        <f t="shared" si="149"/>
        <v>0</v>
      </c>
      <c r="AG435" s="29">
        <f t="shared" si="150"/>
        <v>-227.6</v>
      </c>
    </row>
    <row r="436" spans="1:33">
      <c r="A436" s="265">
        <v>12310002</v>
      </c>
      <c r="B436" s="265" t="s">
        <v>362</v>
      </c>
      <c r="C436" s="265" t="s">
        <v>523</v>
      </c>
      <c r="D436" s="265">
        <v>100000001</v>
      </c>
      <c r="E436" s="265" t="s">
        <v>51</v>
      </c>
      <c r="F436" s="265" t="s">
        <v>0</v>
      </c>
      <c r="G436" s="266">
        <v>-12.49</v>
      </c>
      <c r="H436" s="266">
        <v>-12.49</v>
      </c>
      <c r="I436" s="268">
        <v>45226</v>
      </c>
      <c r="J436" s="268">
        <v>45808</v>
      </c>
      <c r="K436" s="267"/>
      <c r="L436" s="224" t="str">
        <f t="shared" si="151"/>
        <v>12310002_AUD_100000001_NONGHYUP BANK SYDNEY BRANCH</v>
      </c>
      <c r="M436" s="221">
        <f t="shared" si="131"/>
        <v>-12.49</v>
      </c>
      <c r="N436" s="24" t="str">
        <f>IF(OR(L436=$L$2,L436=$L$3),$M$10+1,IFERROR(VLOOKUP(A436,'Repricing Maturity Adj.'!$A$3:$C$170,3,0),(IF(K436&lt;$M$10,"Check",K436))))</f>
        <v>Non_sensitive</v>
      </c>
      <c r="O436" s="62" t="b">
        <f t="shared" si="132"/>
        <v>1</v>
      </c>
      <c r="P436" s="63" t="str">
        <f t="shared" si="133"/>
        <v>Asset</v>
      </c>
      <c r="Q436" s="25">
        <f t="shared" si="134"/>
        <v>0</v>
      </c>
      <c r="R436" s="25">
        <f t="shared" si="135"/>
        <v>0</v>
      </c>
      <c r="S436" s="25">
        <f t="shared" si="136"/>
        <v>0</v>
      </c>
      <c r="T436" s="25">
        <f t="shared" si="137"/>
        <v>0</v>
      </c>
      <c r="U436" s="25">
        <f t="shared" si="138"/>
        <v>0</v>
      </c>
      <c r="V436" s="25">
        <f t="shared" si="139"/>
        <v>0</v>
      </c>
      <c r="W436" s="25">
        <f t="shared" si="140"/>
        <v>0</v>
      </c>
      <c r="X436" s="64">
        <f t="shared" si="141"/>
        <v>0</v>
      </c>
      <c r="Y436" s="64">
        <f t="shared" si="142"/>
        <v>0</v>
      </c>
      <c r="Z436" s="64">
        <f t="shared" si="143"/>
        <v>0</v>
      </c>
      <c r="AA436" s="64">
        <f t="shared" si="144"/>
        <v>0</v>
      </c>
      <c r="AB436" s="64">
        <f t="shared" si="145"/>
        <v>0</v>
      </c>
      <c r="AC436" s="64">
        <f t="shared" si="146"/>
        <v>0</v>
      </c>
      <c r="AD436" s="64">
        <f t="shared" si="147"/>
        <v>0</v>
      </c>
      <c r="AE436" s="64">
        <f t="shared" si="148"/>
        <v>0</v>
      </c>
      <c r="AF436" s="64">
        <f t="shared" si="149"/>
        <v>0</v>
      </c>
      <c r="AG436" s="29">
        <f t="shared" si="150"/>
        <v>-12.49</v>
      </c>
    </row>
    <row r="437" spans="1:33">
      <c r="A437" s="265">
        <v>12310002</v>
      </c>
      <c r="B437" s="265" t="s">
        <v>362</v>
      </c>
      <c r="C437" s="265" t="s">
        <v>524</v>
      </c>
      <c r="D437" s="265">
        <v>100000001</v>
      </c>
      <c r="E437" s="265" t="s">
        <v>51</v>
      </c>
      <c r="F437" s="265" t="s">
        <v>0</v>
      </c>
      <c r="G437" s="266">
        <v>-28.97</v>
      </c>
      <c r="H437" s="266">
        <v>-28.97</v>
      </c>
      <c r="I437" s="268">
        <v>45259</v>
      </c>
      <c r="J437" s="268">
        <v>46721</v>
      </c>
      <c r="K437" s="267"/>
      <c r="L437" s="224" t="str">
        <f t="shared" si="151"/>
        <v>12310002_AUD_100000001_NONGHYUP BANK SYDNEY BRANCH</v>
      </c>
      <c r="M437" s="221">
        <f t="shared" si="131"/>
        <v>-28.97</v>
      </c>
      <c r="N437" s="24" t="str">
        <f>IF(OR(L437=$L$2,L437=$L$3),$M$10+1,IFERROR(VLOOKUP(A437,'Repricing Maturity Adj.'!$A$3:$C$170,3,0),(IF(K437&lt;$M$10,"Check",K437))))</f>
        <v>Non_sensitive</v>
      </c>
      <c r="O437" s="62" t="b">
        <f t="shared" si="132"/>
        <v>1</v>
      </c>
      <c r="P437" s="63" t="str">
        <f t="shared" si="133"/>
        <v>Asset</v>
      </c>
      <c r="Q437" s="25">
        <f t="shared" si="134"/>
        <v>0</v>
      </c>
      <c r="R437" s="25">
        <f t="shared" si="135"/>
        <v>0</v>
      </c>
      <c r="S437" s="25">
        <f t="shared" si="136"/>
        <v>0</v>
      </c>
      <c r="T437" s="25">
        <f t="shared" si="137"/>
        <v>0</v>
      </c>
      <c r="U437" s="25">
        <f t="shared" si="138"/>
        <v>0</v>
      </c>
      <c r="V437" s="25">
        <f t="shared" si="139"/>
        <v>0</v>
      </c>
      <c r="W437" s="25">
        <f t="shared" si="140"/>
        <v>0</v>
      </c>
      <c r="X437" s="64">
        <f t="shared" si="141"/>
        <v>0</v>
      </c>
      <c r="Y437" s="64">
        <f t="shared" si="142"/>
        <v>0</v>
      </c>
      <c r="Z437" s="64">
        <f t="shared" si="143"/>
        <v>0</v>
      </c>
      <c r="AA437" s="64">
        <f t="shared" si="144"/>
        <v>0</v>
      </c>
      <c r="AB437" s="64">
        <f t="shared" si="145"/>
        <v>0</v>
      </c>
      <c r="AC437" s="64">
        <f t="shared" si="146"/>
        <v>0</v>
      </c>
      <c r="AD437" s="64">
        <f t="shared" si="147"/>
        <v>0</v>
      </c>
      <c r="AE437" s="64">
        <f t="shared" si="148"/>
        <v>0</v>
      </c>
      <c r="AF437" s="64">
        <f t="shared" si="149"/>
        <v>0</v>
      </c>
      <c r="AG437" s="29">
        <f t="shared" si="150"/>
        <v>-28.97</v>
      </c>
    </row>
    <row r="438" spans="1:33">
      <c r="A438" s="265">
        <v>12310002</v>
      </c>
      <c r="B438" s="265" t="s">
        <v>362</v>
      </c>
      <c r="C438" s="265" t="s">
        <v>524</v>
      </c>
      <c r="D438" s="265">
        <v>100000001</v>
      </c>
      <c r="E438" s="265" t="s">
        <v>51</v>
      </c>
      <c r="F438" s="265" t="s">
        <v>0</v>
      </c>
      <c r="G438" s="266">
        <v>-3405.78</v>
      </c>
      <c r="H438" s="266">
        <v>-3405.78</v>
      </c>
      <c r="I438" s="268">
        <v>45259</v>
      </c>
      <c r="J438" s="268">
        <v>46721</v>
      </c>
      <c r="K438" s="267"/>
      <c r="L438" s="224" t="str">
        <f t="shared" si="151"/>
        <v>12310002_AUD_100000001_NONGHYUP BANK SYDNEY BRANCH</v>
      </c>
      <c r="M438" s="221">
        <f t="shared" si="131"/>
        <v>-3405.78</v>
      </c>
      <c r="N438" s="24" t="str">
        <f>IF(OR(L438=$L$2,L438=$L$3),$M$10+1,IFERROR(VLOOKUP(A438,'Repricing Maturity Adj.'!$A$3:$C$170,3,0),(IF(K438&lt;$M$10,"Check",K438))))</f>
        <v>Non_sensitive</v>
      </c>
      <c r="O438" s="62" t="b">
        <f t="shared" si="132"/>
        <v>1</v>
      </c>
      <c r="P438" s="63" t="str">
        <f t="shared" si="133"/>
        <v>Asset</v>
      </c>
      <c r="Q438" s="25">
        <f t="shared" si="134"/>
        <v>0</v>
      </c>
      <c r="R438" s="25">
        <f t="shared" si="135"/>
        <v>0</v>
      </c>
      <c r="S438" s="25">
        <f t="shared" si="136"/>
        <v>0</v>
      </c>
      <c r="T438" s="25">
        <f t="shared" si="137"/>
        <v>0</v>
      </c>
      <c r="U438" s="25">
        <f t="shared" si="138"/>
        <v>0</v>
      </c>
      <c r="V438" s="25">
        <f t="shared" si="139"/>
        <v>0</v>
      </c>
      <c r="W438" s="25">
        <f t="shared" si="140"/>
        <v>0</v>
      </c>
      <c r="X438" s="64">
        <f t="shared" si="141"/>
        <v>0</v>
      </c>
      <c r="Y438" s="64">
        <f t="shared" si="142"/>
        <v>0</v>
      </c>
      <c r="Z438" s="64">
        <f t="shared" si="143"/>
        <v>0</v>
      </c>
      <c r="AA438" s="64">
        <f t="shared" si="144"/>
        <v>0</v>
      </c>
      <c r="AB438" s="64">
        <f t="shared" si="145"/>
        <v>0</v>
      </c>
      <c r="AC438" s="64">
        <f t="shared" si="146"/>
        <v>0</v>
      </c>
      <c r="AD438" s="64">
        <f t="shared" si="147"/>
        <v>0</v>
      </c>
      <c r="AE438" s="64">
        <f t="shared" si="148"/>
        <v>0</v>
      </c>
      <c r="AF438" s="64">
        <f t="shared" si="149"/>
        <v>0</v>
      </c>
      <c r="AG438" s="29">
        <f t="shared" si="150"/>
        <v>-3405.78</v>
      </c>
    </row>
    <row r="439" spans="1:33">
      <c r="A439" s="265">
        <v>12310002</v>
      </c>
      <c r="B439" s="265" t="s">
        <v>362</v>
      </c>
      <c r="C439" s="265" t="s">
        <v>567</v>
      </c>
      <c r="D439" s="265">
        <v>100000001</v>
      </c>
      <c r="E439" s="265" t="s">
        <v>51</v>
      </c>
      <c r="F439" s="265" t="s">
        <v>0</v>
      </c>
      <c r="G439" s="266">
        <v>-265</v>
      </c>
      <c r="H439" s="266">
        <v>-265</v>
      </c>
      <c r="I439" s="268">
        <v>45443</v>
      </c>
      <c r="J439" s="268">
        <v>46904</v>
      </c>
      <c r="K439" s="267"/>
      <c r="L439" s="224" t="str">
        <f t="shared" si="151"/>
        <v>12310002_AUD_100000001_NONGHYUP BANK SYDNEY BRANCH</v>
      </c>
      <c r="M439" s="221">
        <f t="shared" si="131"/>
        <v>-265</v>
      </c>
      <c r="N439" s="24" t="str">
        <f>IF(OR(L439=$L$2,L439=$L$3),$M$10+1,IFERROR(VLOOKUP(A439,'Repricing Maturity Adj.'!$A$3:$C$170,3,0),(IF(K439&lt;$M$10,"Check",K439))))</f>
        <v>Non_sensitive</v>
      </c>
      <c r="O439" s="62" t="b">
        <f t="shared" si="132"/>
        <v>1</v>
      </c>
      <c r="P439" s="63" t="str">
        <f t="shared" si="133"/>
        <v>Asset</v>
      </c>
      <c r="Q439" s="25">
        <f t="shared" si="134"/>
        <v>0</v>
      </c>
      <c r="R439" s="25">
        <f t="shared" si="135"/>
        <v>0</v>
      </c>
      <c r="S439" s="25">
        <f t="shared" si="136"/>
        <v>0</v>
      </c>
      <c r="T439" s="25">
        <f t="shared" si="137"/>
        <v>0</v>
      </c>
      <c r="U439" s="25">
        <f t="shared" si="138"/>
        <v>0</v>
      </c>
      <c r="V439" s="25">
        <f t="shared" si="139"/>
        <v>0</v>
      </c>
      <c r="W439" s="25">
        <f t="shared" si="140"/>
        <v>0</v>
      </c>
      <c r="X439" s="64">
        <f t="shared" si="141"/>
        <v>0</v>
      </c>
      <c r="Y439" s="64">
        <f t="shared" si="142"/>
        <v>0</v>
      </c>
      <c r="Z439" s="64">
        <f t="shared" si="143"/>
        <v>0</v>
      </c>
      <c r="AA439" s="64">
        <f t="shared" si="144"/>
        <v>0</v>
      </c>
      <c r="AB439" s="64">
        <f t="shared" si="145"/>
        <v>0</v>
      </c>
      <c r="AC439" s="64">
        <f t="shared" si="146"/>
        <v>0</v>
      </c>
      <c r="AD439" s="64">
        <f t="shared" si="147"/>
        <v>0</v>
      </c>
      <c r="AE439" s="64">
        <f t="shared" si="148"/>
        <v>0</v>
      </c>
      <c r="AF439" s="64">
        <f t="shared" si="149"/>
        <v>0</v>
      </c>
      <c r="AG439" s="29">
        <f t="shared" si="150"/>
        <v>-265</v>
      </c>
    </row>
    <row r="440" spans="1:33">
      <c r="A440" s="265">
        <v>12310002</v>
      </c>
      <c r="B440" s="265" t="s">
        <v>362</v>
      </c>
      <c r="C440" s="265" t="s">
        <v>567</v>
      </c>
      <c r="D440" s="265">
        <v>100000001</v>
      </c>
      <c r="E440" s="265" t="s">
        <v>51</v>
      </c>
      <c r="F440" s="265" t="s">
        <v>0</v>
      </c>
      <c r="G440" s="266">
        <v>-3.04</v>
      </c>
      <c r="H440" s="266">
        <v>-3.04</v>
      </c>
      <c r="I440" s="268">
        <v>45443</v>
      </c>
      <c r="J440" s="268">
        <v>46904</v>
      </c>
      <c r="K440" s="267"/>
      <c r="L440" s="224" t="str">
        <f t="shared" si="151"/>
        <v>12310002_AUD_100000001_NONGHYUP BANK SYDNEY BRANCH</v>
      </c>
      <c r="M440" s="221">
        <f t="shared" si="131"/>
        <v>-3.04</v>
      </c>
      <c r="N440" s="24" t="str">
        <f>IF(OR(L440=$L$2,L440=$L$3),$M$10+1,IFERROR(VLOOKUP(A440,'Repricing Maturity Adj.'!$A$3:$C$170,3,0),(IF(K440&lt;$M$10,"Check",K440))))</f>
        <v>Non_sensitive</v>
      </c>
      <c r="O440" s="62" t="b">
        <f t="shared" si="132"/>
        <v>1</v>
      </c>
      <c r="P440" s="63" t="str">
        <f t="shared" si="133"/>
        <v>Asset</v>
      </c>
      <c r="Q440" s="25">
        <f t="shared" si="134"/>
        <v>0</v>
      </c>
      <c r="R440" s="25">
        <f t="shared" si="135"/>
        <v>0</v>
      </c>
      <c r="S440" s="25">
        <f t="shared" si="136"/>
        <v>0</v>
      </c>
      <c r="T440" s="25">
        <f t="shared" si="137"/>
        <v>0</v>
      </c>
      <c r="U440" s="25">
        <f t="shared" si="138"/>
        <v>0</v>
      </c>
      <c r="V440" s="25">
        <f t="shared" si="139"/>
        <v>0</v>
      </c>
      <c r="W440" s="25">
        <f t="shared" si="140"/>
        <v>0</v>
      </c>
      <c r="X440" s="64">
        <f t="shared" si="141"/>
        <v>0</v>
      </c>
      <c r="Y440" s="64">
        <f t="shared" si="142"/>
        <v>0</v>
      </c>
      <c r="Z440" s="64">
        <f t="shared" si="143"/>
        <v>0</v>
      </c>
      <c r="AA440" s="64">
        <f t="shared" si="144"/>
        <v>0</v>
      </c>
      <c r="AB440" s="64">
        <f t="shared" si="145"/>
        <v>0</v>
      </c>
      <c r="AC440" s="64">
        <f t="shared" si="146"/>
        <v>0</v>
      </c>
      <c r="AD440" s="64">
        <f t="shared" si="147"/>
        <v>0</v>
      </c>
      <c r="AE440" s="64">
        <f t="shared" si="148"/>
        <v>0</v>
      </c>
      <c r="AF440" s="64">
        <f t="shared" si="149"/>
        <v>0</v>
      </c>
      <c r="AG440" s="29">
        <f t="shared" si="150"/>
        <v>-3.04</v>
      </c>
    </row>
    <row r="441" spans="1:33">
      <c r="A441" s="265">
        <v>12310002</v>
      </c>
      <c r="B441" s="265" t="s">
        <v>362</v>
      </c>
      <c r="C441" s="265" t="s">
        <v>623</v>
      </c>
      <c r="D441" s="265">
        <v>100000001</v>
      </c>
      <c r="E441" s="265" t="s">
        <v>51</v>
      </c>
      <c r="F441" s="265" t="s">
        <v>0</v>
      </c>
      <c r="G441" s="266">
        <v>-60.96</v>
      </c>
      <c r="H441" s="266">
        <v>-60.96</v>
      </c>
      <c r="I441" s="268">
        <v>45700</v>
      </c>
      <c r="J441" s="268">
        <v>47514</v>
      </c>
      <c r="K441" s="267"/>
      <c r="L441" s="224" t="str">
        <f t="shared" si="151"/>
        <v>12310002_AUD_100000001_NONGHYUP BANK SYDNEY BRANCH</v>
      </c>
      <c r="M441" s="221">
        <f t="shared" si="131"/>
        <v>-60.96</v>
      </c>
      <c r="N441" s="24" t="str">
        <f>IF(OR(L441=$L$2,L441=$L$3),$M$10+1,IFERROR(VLOOKUP(A441,'Repricing Maturity Adj.'!$A$3:$C$170,3,0),(IF(K441&lt;$M$10,"Check",K441))))</f>
        <v>Non_sensitive</v>
      </c>
      <c r="O441" s="62" t="b">
        <f t="shared" si="132"/>
        <v>1</v>
      </c>
      <c r="P441" s="63" t="str">
        <f t="shared" si="133"/>
        <v>Asset</v>
      </c>
      <c r="Q441" s="25">
        <f t="shared" si="134"/>
        <v>0</v>
      </c>
      <c r="R441" s="25">
        <f t="shared" si="135"/>
        <v>0</v>
      </c>
      <c r="S441" s="25">
        <f t="shared" si="136"/>
        <v>0</v>
      </c>
      <c r="T441" s="25">
        <f t="shared" si="137"/>
        <v>0</v>
      </c>
      <c r="U441" s="25">
        <f t="shared" si="138"/>
        <v>0</v>
      </c>
      <c r="V441" s="25">
        <f t="shared" si="139"/>
        <v>0</v>
      </c>
      <c r="W441" s="25">
        <f t="shared" si="140"/>
        <v>0</v>
      </c>
      <c r="X441" s="64">
        <f t="shared" si="141"/>
        <v>0</v>
      </c>
      <c r="Y441" s="64">
        <f t="shared" si="142"/>
        <v>0</v>
      </c>
      <c r="Z441" s="64">
        <f t="shared" si="143"/>
        <v>0</v>
      </c>
      <c r="AA441" s="64">
        <f t="shared" si="144"/>
        <v>0</v>
      </c>
      <c r="AB441" s="64">
        <f t="shared" si="145"/>
        <v>0</v>
      </c>
      <c r="AC441" s="64">
        <f t="shared" si="146"/>
        <v>0</v>
      </c>
      <c r="AD441" s="64">
        <f t="shared" si="147"/>
        <v>0</v>
      </c>
      <c r="AE441" s="64">
        <f t="shared" si="148"/>
        <v>0</v>
      </c>
      <c r="AF441" s="64">
        <f t="shared" si="149"/>
        <v>0</v>
      </c>
      <c r="AG441" s="29">
        <f t="shared" si="150"/>
        <v>-60.96</v>
      </c>
    </row>
    <row r="442" spans="1:33">
      <c r="A442" s="265">
        <v>12310002</v>
      </c>
      <c r="B442" s="265" t="s">
        <v>362</v>
      </c>
      <c r="C442" s="265" t="s">
        <v>623</v>
      </c>
      <c r="D442" s="265">
        <v>100000001</v>
      </c>
      <c r="E442" s="265" t="s">
        <v>51</v>
      </c>
      <c r="F442" s="265" t="s">
        <v>0</v>
      </c>
      <c r="G442" s="266">
        <v>-1.1599999999999999</v>
      </c>
      <c r="H442" s="266">
        <v>-1.1599999999999999</v>
      </c>
      <c r="I442" s="268">
        <v>45700</v>
      </c>
      <c r="J442" s="268">
        <v>47514</v>
      </c>
      <c r="K442" s="267"/>
      <c r="L442" s="224" t="str">
        <f t="shared" si="151"/>
        <v>12310002_AUD_100000001_NONGHYUP BANK SYDNEY BRANCH</v>
      </c>
      <c r="M442" s="221">
        <f t="shared" si="131"/>
        <v>-1.1599999999999999</v>
      </c>
      <c r="N442" s="24" t="str">
        <f>IF(OR(L442=$L$2,L442=$L$3),$M$10+1,IFERROR(VLOOKUP(A442,'Repricing Maturity Adj.'!$A$3:$C$170,3,0),(IF(K442&lt;$M$10,"Check",K442))))</f>
        <v>Non_sensitive</v>
      </c>
      <c r="O442" s="62" t="b">
        <f t="shared" si="132"/>
        <v>1</v>
      </c>
      <c r="P442" s="63" t="str">
        <f t="shared" si="133"/>
        <v>Asset</v>
      </c>
      <c r="Q442" s="25">
        <f t="shared" si="134"/>
        <v>0</v>
      </c>
      <c r="R442" s="25">
        <f t="shared" si="135"/>
        <v>0</v>
      </c>
      <c r="S442" s="25">
        <f t="shared" si="136"/>
        <v>0</v>
      </c>
      <c r="T442" s="25">
        <f t="shared" si="137"/>
        <v>0</v>
      </c>
      <c r="U442" s="25">
        <f t="shared" si="138"/>
        <v>0</v>
      </c>
      <c r="V442" s="25">
        <f t="shared" si="139"/>
        <v>0</v>
      </c>
      <c r="W442" s="25">
        <f t="shared" si="140"/>
        <v>0</v>
      </c>
      <c r="X442" s="64">
        <f t="shared" si="141"/>
        <v>0</v>
      </c>
      <c r="Y442" s="64">
        <f t="shared" si="142"/>
        <v>0</v>
      </c>
      <c r="Z442" s="64">
        <f t="shared" si="143"/>
        <v>0</v>
      </c>
      <c r="AA442" s="64">
        <f t="shared" si="144"/>
        <v>0</v>
      </c>
      <c r="AB442" s="64">
        <f t="shared" si="145"/>
        <v>0</v>
      </c>
      <c r="AC442" s="64">
        <f t="shared" si="146"/>
        <v>0</v>
      </c>
      <c r="AD442" s="64">
        <f t="shared" si="147"/>
        <v>0</v>
      </c>
      <c r="AE442" s="64">
        <f t="shared" si="148"/>
        <v>0</v>
      </c>
      <c r="AF442" s="64">
        <f t="shared" si="149"/>
        <v>0</v>
      </c>
      <c r="AG442" s="29">
        <f t="shared" si="150"/>
        <v>-1.1599999999999999</v>
      </c>
    </row>
    <row r="443" spans="1:33">
      <c r="A443" s="265">
        <v>12310002</v>
      </c>
      <c r="B443" s="265" t="s">
        <v>362</v>
      </c>
      <c r="C443" s="265" t="s">
        <v>624</v>
      </c>
      <c r="D443" s="265">
        <v>100000001</v>
      </c>
      <c r="E443" s="265" t="s">
        <v>51</v>
      </c>
      <c r="F443" s="265" t="s">
        <v>0</v>
      </c>
      <c r="G443" s="266">
        <v>-200.86</v>
      </c>
      <c r="H443" s="266">
        <v>-200.86</v>
      </c>
      <c r="I443" s="268">
        <v>45727</v>
      </c>
      <c r="J443" s="268">
        <v>47177</v>
      </c>
      <c r="K443" s="267"/>
      <c r="L443" s="224" t="str">
        <f t="shared" si="151"/>
        <v>12310002_AUD_100000001_NONGHYUP BANK SYDNEY BRANCH</v>
      </c>
      <c r="M443" s="221">
        <f t="shared" si="131"/>
        <v>-200.86</v>
      </c>
      <c r="N443" s="24" t="str">
        <f>IF(OR(L443=$L$2,L443=$L$3),$M$10+1,IFERROR(VLOOKUP(A443,'Repricing Maturity Adj.'!$A$3:$C$170,3,0),(IF(K443&lt;$M$10,"Check",K443))))</f>
        <v>Non_sensitive</v>
      </c>
      <c r="O443" s="62" t="b">
        <f t="shared" si="132"/>
        <v>1</v>
      </c>
      <c r="P443" s="63" t="str">
        <f t="shared" si="133"/>
        <v>Asset</v>
      </c>
      <c r="Q443" s="25">
        <f t="shared" si="134"/>
        <v>0</v>
      </c>
      <c r="R443" s="25">
        <f t="shared" si="135"/>
        <v>0</v>
      </c>
      <c r="S443" s="25">
        <f t="shared" si="136"/>
        <v>0</v>
      </c>
      <c r="T443" s="25">
        <f t="shared" si="137"/>
        <v>0</v>
      </c>
      <c r="U443" s="25">
        <f t="shared" si="138"/>
        <v>0</v>
      </c>
      <c r="V443" s="25">
        <f t="shared" si="139"/>
        <v>0</v>
      </c>
      <c r="W443" s="25">
        <f t="shared" si="140"/>
        <v>0</v>
      </c>
      <c r="X443" s="64">
        <f t="shared" si="141"/>
        <v>0</v>
      </c>
      <c r="Y443" s="64">
        <f t="shared" si="142"/>
        <v>0</v>
      </c>
      <c r="Z443" s="64">
        <f t="shared" si="143"/>
        <v>0</v>
      </c>
      <c r="AA443" s="64">
        <f t="shared" si="144"/>
        <v>0</v>
      </c>
      <c r="AB443" s="64">
        <f t="shared" si="145"/>
        <v>0</v>
      </c>
      <c r="AC443" s="64">
        <f t="shared" si="146"/>
        <v>0</v>
      </c>
      <c r="AD443" s="64">
        <f t="shared" si="147"/>
        <v>0</v>
      </c>
      <c r="AE443" s="64">
        <f t="shared" si="148"/>
        <v>0</v>
      </c>
      <c r="AF443" s="64">
        <f t="shared" si="149"/>
        <v>0</v>
      </c>
      <c r="AG443" s="29">
        <f t="shared" si="150"/>
        <v>-200.86</v>
      </c>
    </row>
    <row r="444" spans="1:33">
      <c r="A444" s="265">
        <v>12310002</v>
      </c>
      <c r="B444" s="265" t="s">
        <v>362</v>
      </c>
      <c r="C444" s="265" t="s">
        <v>624</v>
      </c>
      <c r="D444" s="265">
        <v>100000001</v>
      </c>
      <c r="E444" s="265" t="s">
        <v>51</v>
      </c>
      <c r="F444" s="265" t="s">
        <v>0</v>
      </c>
      <c r="G444" s="266">
        <v>-4.1399999999999997</v>
      </c>
      <c r="H444" s="266">
        <v>-4.1399999999999997</v>
      </c>
      <c r="I444" s="268">
        <v>45727</v>
      </c>
      <c r="J444" s="268">
        <v>47177</v>
      </c>
      <c r="K444" s="267"/>
      <c r="L444" s="224" t="str">
        <f t="shared" si="151"/>
        <v>12310002_AUD_100000001_NONGHYUP BANK SYDNEY BRANCH</v>
      </c>
      <c r="M444" s="221">
        <f t="shared" si="131"/>
        <v>-4.1399999999999997</v>
      </c>
      <c r="N444" s="24" t="str">
        <f>IF(OR(L444=$L$2,L444=$L$3),$M$10+1,IFERROR(VLOOKUP(A444,'Repricing Maturity Adj.'!$A$3:$C$170,3,0),(IF(K444&lt;$M$10,"Check",K444))))</f>
        <v>Non_sensitive</v>
      </c>
      <c r="O444" s="62" t="b">
        <f t="shared" si="132"/>
        <v>1</v>
      </c>
      <c r="P444" s="63" t="str">
        <f t="shared" si="133"/>
        <v>Asset</v>
      </c>
      <c r="Q444" s="25">
        <f t="shared" si="134"/>
        <v>0</v>
      </c>
      <c r="R444" s="25">
        <f t="shared" si="135"/>
        <v>0</v>
      </c>
      <c r="S444" s="25">
        <f t="shared" si="136"/>
        <v>0</v>
      </c>
      <c r="T444" s="25">
        <f t="shared" si="137"/>
        <v>0</v>
      </c>
      <c r="U444" s="25">
        <f t="shared" si="138"/>
        <v>0</v>
      </c>
      <c r="V444" s="25">
        <f t="shared" si="139"/>
        <v>0</v>
      </c>
      <c r="W444" s="25">
        <f t="shared" si="140"/>
        <v>0</v>
      </c>
      <c r="X444" s="64">
        <f t="shared" si="141"/>
        <v>0</v>
      </c>
      <c r="Y444" s="64">
        <f t="shared" si="142"/>
        <v>0</v>
      </c>
      <c r="Z444" s="64">
        <f t="shared" si="143"/>
        <v>0</v>
      </c>
      <c r="AA444" s="64">
        <f t="shared" si="144"/>
        <v>0</v>
      </c>
      <c r="AB444" s="64">
        <f t="shared" si="145"/>
        <v>0</v>
      </c>
      <c r="AC444" s="64">
        <f t="shared" si="146"/>
        <v>0</v>
      </c>
      <c r="AD444" s="64">
        <f t="shared" si="147"/>
        <v>0</v>
      </c>
      <c r="AE444" s="64">
        <f t="shared" si="148"/>
        <v>0</v>
      </c>
      <c r="AF444" s="64">
        <f t="shared" si="149"/>
        <v>0</v>
      </c>
      <c r="AG444" s="29">
        <f t="shared" si="150"/>
        <v>-4.1399999999999997</v>
      </c>
    </row>
    <row r="445" spans="1:33">
      <c r="A445" s="265">
        <v>12310002</v>
      </c>
      <c r="B445" s="265" t="s">
        <v>362</v>
      </c>
      <c r="C445" s="265" t="s">
        <v>625</v>
      </c>
      <c r="D445" s="265">
        <v>100000001</v>
      </c>
      <c r="E445" s="265" t="s">
        <v>51</v>
      </c>
      <c r="F445" s="265" t="s">
        <v>0</v>
      </c>
      <c r="G445" s="266">
        <v>-9.24</v>
      </c>
      <c r="H445" s="266">
        <v>-9.24</v>
      </c>
      <c r="I445" s="268">
        <v>45727</v>
      </c>
      <c r="J445" s="268">
        <v>47177</v>
      </c>
      <c r="K445" s="267"/>
      <c r="L445" s="224" t="str">
        <f t="shared" si="151"/>
        <v>12310002_AUD_100000001_NONGHYUP BANK SYDNEY BRANCH</v>
      </c>
      <c r="M445" s="221">
        <f t="shared" si="131"/>
        <v>-9.24</v>
      </c>
      <c r="N445" s="24" t="str">
        <f>IF(OR(L445=$L$2,L445=$L$3),$M$10+1,IFERROR(VLOOKUP(A445,'Repricing Maturity Adj.'!$A$3:$C$170,3,0),(IF(K445&lt;$M$10,"Check",K445))))</f>
        <v>Non_sensitive</v>
      </c>
      <c r="O445" s="62" t="b">
        <f t="shared" si="132"/>
        <v>1</v>
      </c>
      <c r="P445" s="63" t="str">
        <f t="shared" si="133"/>
        <v>Asset</v>
      </c>
      <c r="Q445" s="25">
        <f t="shared" si="134"/>
        <v>0</v>
      </c>
      <c r="R445" s="25">
        <f t="shared" si="135"/>
        <v>0</v>
      </c>
      <c r="S445" s="25">
        <f t="shared" si="136"/>
        <v>0</v>
      </c>
      <c r="T445" s="25">
        <f t="shared" si="137"/>
        <v>0</v>
      </c>
      <c r="U445" s="25">
        <f t="shared" si="138"/>
        <v>0</v>
      </c>
      <c r="V445" s="25">
        <f t="shared" si="139"/>
        <v>0</v>
      </c>
      <c r="W445" s="25">
        <f t="shared" si="140"/>
        <v>0</v>
      </c>
      <c r="X445" s="64">
        <f t="shared" si="141"/>
        <v>0</v>
      </c>
      <c r="Y445" s="64">
        <f t="shared" si="142"/>
        <v>0</v>
      </c>
      <c r="Z445" s="64">
        <f t="shared" si="143"/>
        <v>0</v>
      </c>
      <c r="AA445" s="64">
        <f t="shared" si="144"/>
        <v>0</v>
      </c>
      <c r="AB445" s="64">
        <f t="shared" si="145"/>
        <v>0</v>
      </c>
      <c r="AC445" s="64">
        <f t="shared" si="146"/>
        <v>0</v>
      </c>
      <c r="AD445" s="64">
        <f t="shared" si="147"/>
        <v>0</v>
      </c>
      <c r="AE445" s="64">
        <f t="shared" si="148"/>
        <v>0</v>
      </c>
      <c r="AF445" s="64">
        <f t="shared" si="149"/>
        <v>0</v>
      </c>
      <c r="AG445" s="29">
        <f t="shared" si="150"/>
        <v>-9.24</v>
      </c>
    </row>
    <row r="446" spans="1:33">
      <c r="A446" s="265">
        <v>12310002</v>
      </c>
      <c r="B446" s="265" t="s">
        <v>362</v>
      </c>
      <c r="C446" s="265" t="s">
        <v>625</v>
      </c>
      <c r="D446" s="265">
        <v>100000001</v>
      </c>
      <c r="E446" s="265" t="s">
        <v>51</v>
      </c>
      <c r="F446" s="265" t="s">
        <v>0</v>
      </c>
      <c r="G446" s="266">
        <v>-448.69</v>
      </c>
      <c r="H446" s="266">
        <v>-448.69</v>
      </c>
      <c r="I446" s="268">
        <v>45727</v>
      </c>
      <c r="J446" s="268">
        <v>47177</v>
      </c>
      <c r="K446" s="267"/>
      <c r="L446" s="224" t="str">
        <f t="shared" si="151"/>
        <v>12310002_AUD_100000001_NONGHYUP BANK SYDNEY BRANCH</v>
      </c>
      <c r="M446" s="221">
        <f t="shared" si="131"/>
        <v>-448.69</v>
      </c>
      <c r="N446" s="24" t="str">
        <f>IF(OR(L446=$L$2,L446=$L$3),$M$10+1,IFERROR(VLOOKUP(A446,'Repricing Maturity Adj.'!$A$3:$C$170,3,0),(IF(K446&lt;$M$10,"Check",K446))))</f>
        <v>Non_sensitive</v>
      </c>
      <c r="O446" s="62" t="b">
        <f t="shared" si="132"/>
        <v>1</v>
      </c>
      <c r="P446" s="63" t="str">
        <f t="shared" si="133"/>
        <v>Asset</v>
      </c>
      <c r="Q446" s="25">
        <f t="shared" si="134"/>
        <v>0</v>
      </c>
      <c r="R446" s="25">
        <f t="shared" si="135"/>
        <v>0</v>
      </c>
      <c r="S446" s="25">
        <f t="shared" si="136"/>
        <v>0</v>
      </c>
      <c r="T446" s="25">
        <f t="shared" si="137"/>
        <v>0</v>
      </c>
      <c r="U446" s="25">
        <f t="shared" si="138"/>
        <v>0</v>
      </c>
      <c r="V446" s="25">
        <f t="shared" si="139"/>
        <v>0</v>
      </c>
      <c r="W446" s="25">
        <f t="shared" si="140"/>
        <v>0</v>
      </c>
      <c r="X446" s="64">
        <f t="shared" si="141"/>
        <v>0</v>
      </c>
      <c r="Y446" s="64">
        <f t="shared" si="142"/>
        <v>0</v>
      </c>
      <c r="Z446" s="64">
        <f t="shared" si="143"/>
        <v>0</v>
      </c>
      <c r="AA446" s="64">
        <f t="shared" si="144"/>
        <v>0</v>
      </c>
      <c r="AB446" s="64">
        <f t="shared" si="145"/>
        <v>0</v>
      </c>
      <c r="AC446" s="64">
        <f t="shared" si="146"/>
        <v>0</v>
      </c>
      <c r="AD446" s="64">
        <f t="shared" si="147"/>
        <v>0</v>
      </c>
      <c r="AE446" s="64">
        <f t="shared" si="148"/>
        <v>0</v>
      </c>
      <c r="AF446" s="64">
        <f t="shared" si="149"/>
        <v>0</v>
      </c>
      <c r="AG446" s="29">
        <f t="shared" si="150"/>
        <v>-448.69</v>
      </c>
    </row>
    <row r="447" spans="1:33">
      <c r="A447" s="265">
        <v>12310002</v>
      </c>
      <c r="B447" s="265" t="s">
        <v>362</v>
      </c>
      <c r="C447" s="265" t="s">
        <v>626</v>
      </c>
      <c r="D447" s="265">
        <v>100000001</v>
      </c>
      <c r="E447" s="265" t="s">
        <v>51</v>
      </c>
      <c r="F447" s="265" t="s">
        <v>0</v>
      </c>
      <c r="G447" s="266">
        <v>-397.65</v>
      </c>
      <c r="H447" s="266">
        <v>-397.65</v>
      </c>
      <c r="I447" s="268">
        <v>45727</v>
      </c>
      <c r="J447" s="268">
        <v>47177</v>
      </c>
      <c r="K447" s="267"/>
      <c r="L447" s="224" t="str">
        <f t="shared" si="151"/>
        <v>12310002_AUD_100000001_NONGHYUP BANK SYDNEY BRANCH</v>
      </c>
      <c r="M447" s="221">
        <f t="shared" ref="M447:M510" si="152">IF(COUNTIF($A$2:$A$8,A447)&gt;0,-H447,H447)</f>
        <v>-397.65</v>
      </c>
      <c r="N447" s="24" t="str">
        <f>IF(OR(L447=$L$2,L447=$L$3),$M$10+1,IFERROR(VLOOKUP(A447,'Repricing Maturity Adj.'!$A$3:$C$170,3,0),(IF(K447&lt;$M$10,"Check",K447))))</f>
        <v>Non_sensitive</v>
      </c>
      <c r="O447" s="62" t="b">
        <f t="shared" ref="O447:O510" si="153">M447=SUM(Q447:AG447)</f>
        <v>1</v>
      </c>
      <c r="P447" s="63" t="str">
        <f t="shared" ref="P447:P510" si="154">IF(A447="","N/A",IF(COUNTIF($A$2:$A$7,A447)&gt;0,"Liability",IF(COUNTIF($A$8,A447)&gt;0,"Asset",IF(A447&lt;20000000,"Asset",IF(AND(A447&gt;20000000,A447&lt;28800000),"Liability",IF(A447&gt;28800000,"Equity",""))))))</f>
        <v>Asset</v>
      </c>
      <c r="Q447" s="25">
        <f t="shared" ref="Q447:Q510" si="155">IF(AND(N447&gt;$Q$9,N447&lt;$Q$10),M447,IF(N447=$Q$10,M447,0))</f>
        <v>0</v>
      </c>
      <c r="R447" s="25">
        <f t="shared" ref="R447:R510" si="156">IF(AND(N447&gt;$R$9,N447&lt;$R$10),M447,IF(N447=$R$10,M447,0))</f>
        <v>0</v>
      </c>
      <c r="S447" s="25">
        <f t="shared" ref="S447:S510" si="157">IF(AND(N447&gt;$S$9,N447&lt;$S$10),M447,IF(N447=$S$10,M447,0))</f>
        <v>0</v>
      </c>
      <c r="T447" s="25">
        <f t="shared" ref="T447:T510" si="158">IF(AND(N447&gt;$T$9,N447&lt;$T$10),M447,IF(N447=$T$10,M447,0))</f>
        <v>0</v>
      </c>
      <c r="U447" s="25">
        <f t="shared" ref="U447:U510" si="159">IF(AND(N447&gt;$U$9,N447&lt;$U$10),M447,IF(N447=$U$10,M447,0))</f>
        <v>0</v>
      </c>
      <c r="V447" s="25">
        <f t="shared" ref="V447:V510" si="160">IF(AND(N447&gt;$V$9,N447&lt;$V$10),M447,IF(N447=$V$10,M447,0))</f>
        <v>0</v>
      </c>
      <c r="W447" s="25">
        <f t="shared" ref="W447:W510" si="161">IF(AND(N447&gt;$W$9,N447&lt;$W$10),M447,IF(N447=$W$10,M447,0))</f>
        <v>0</v>
      </c>
      <c r="X447" s="64">
        <f t="shared" ref="X447:X510" si="162">IF(AND(N447&gt;$X$9,N447&lt;$X$10),M447,IF(N447=$X$10,M447,0))</f>
        <v>0</v>
      </c>
      <c r="Y447" s="64">
        <f t="shared" ref="Y447:Y510" si="163">IF(AND(N447&gt;$Y$9,N447&lt;$Y$10),M447,IF(N447=$Y$10,M447,0))</f>
        <v>0</v>
      </c>
      <c r="Z447" s="64">
        <f t="shared" ref="Z447:Z510" si="164">IF(AND(N447&gt;$Z$9,N447&lt;$Z$10),M447,IF(N447=$Z$10,M447,0))</f>
        <v>0</v>
      </c>
      <c r="AA447" s="64">
        <f t="shared" ref="AA447:AA510" si="165">IF(AND(N447&gt;$AA$9,N447&lt;$AA$10),M447,IF(N447=$AA$10,M447,0))</f>
        <v>0</v>
      </c>
      <c r="AB447" s="64">
        <f t="shared" ref="AB447:AB510" si="166">IF(AND(N447&gt;$AB$9,N447&lt;$AB$10),M447,IF(N447=$AB$10,M447,0))</f>
        <v>0</v>
      </c>
      <c r="AC447" s="64">
        <f t="shared" ref="AC447:AC510" si="167">IF(AND(N447&gt;$AC$9,N447&lt;$AC$10),M447,IF(N447=$AC$10,M447,0))</f>
        <v>0</v>
      </c>
      <c r="AD447" s="64">
        <f t="shared" ref="AD447:AD510" si="168">IF(AND(N447&gt;$AD$9,N447&lt;$AD$10),M447,IF(N447=$AD$10,M447,0))</f>
        <v>0</v>
      </c>
      <c r="AE447" s="64">
        <f t="shared" ref="AE447:AE510" si="169">IF(AND(N447&gt;$AE$9,N447&lt;$AE$10),M447,IF(N447=$AE$10,M447,0))</f>
        <v>0</v>
      </c>
      <c r="AF447" s="64">
        <f t="shared" ref="AF447:AF510" si="170">IF(AND(N447&gt;$AF$9,N447&lt;$AF$10),M447,IF(N447=$AF$10,M447,0))</f>
        <v>0</v>
      </c>
      <c r="AG447" s="29">
        <f t="shared" ref="AG447:AG510" si="171">IF(N447=$AG$9,M447,0)</f>
        <v>-397.65</v>
      </c>
    </row>
    <row r="448" spans="1:33">
      <c r="A448" s="265">
        <v>12310002</v>
      </c>
      <c r="B448" s="265" t="s">
        <v>362</v>
      </c>
      <c r="C448" s="265" t="s">
        <v>626</v>
      </c>
      <c r="D448" s="265">
        <v>100000001</v>
      </c>
      <c r="E448" s="265" t="s">
        <v>51</v>
      </c>
      <c r="F448" s="265" t="s">
        <v>0</v>
      </c>
      <c r="G448" s="266">
        <v>-8.19</v>
      </c>
      <c r="H448" s="266">
        <v>-8.19</v>
      </c>
      <c r="I448" s="268">
        <v>45727</v>
      </c>
      <c r="J448" s="268">
        <v>47177</v>
      </c>
      <c r="K448" s="267"/>
      <c r="L448" s="224" t="str">
        <f t="shared" ref="L448:L511" si="172">A448&amp;"_"&amp;F448&amp;"_"&amp;D448&amp;"_"&amp;E448</f>
        <v>12310002_AUD_100000001_NONGHYUP BANK SYDNEY BRANCH</v>
      </c>
      <c r="M448" s="221">
        <f t="shared" si="152"/>
        <v>-8.19</v>
      </c>
      <c r="N448" s="24" t="str">
        <f>IF(OR(L448=$L$2,L448=$L$3),$M$10+1,IFERROR(VLOOKUP(A448,'Repricing Maturity Adj.'!$A$3:$C$170,3,0),(IF(K448&lt;$M$10,"Check",K448))))</f>
        <v>Non_sensitive</v>
      </c>
      <c r="O448" s="62" t="b">
        <f t="shared" si="153"/>
        <v>1</v>
      </c>
      <c r="P448" s="63" t="str">
        <f t="shared" si="154"/>
        <v>Asset</v>
      </c>
      <c r="Q448" s="25">
        <f t="shared" si="155"/>
        <v>0</v>
      </c>
      <c r="R448" s="25">
        <f t="shared" si="156"/>
        <v>0</v>
      </c>
      <c r="S448" s="25">
        <f t="shared" si="157"/>
        <v>0</v>
      </c>
      <c r="T448" s="25">
        <f t="shared" si="158"/>
        <v>0</v>
      </c>
      <c r="U448" s="25">
        <f t="shared" si="159"/>
        <v>0</v>
      </c>
      <c r="V448" s="25">
        <f t="shared" si="160"/>
        <v>0</v>
      </c>
      <c r="W448" s="25">
        <f t="shared" si="161"/>
        <v>0</v>
      </c>
      <c r="X448" s="64">
        <f t="shared" si="162"/>
        <v>0</v>
      </c>
      <c r="Y448" s="64">
        <f t="shared" si="163"/>
        <v>0</v>
      </c>
      <c r="Z448" s="64">
        <f t="shared" si="164"/>
        <v>0</v>
      </c>
      <c r="AA448" s="64">
        <f t="shared" si="165"/>
        <v>0</v>
      </c>
      <c r="AB448" s="64">
        <f t="shared" si="166"/>
        <v>0</v>
      </c>
      <c r="AC448" s="64">
        <f t="shared" si="167"/>
        <v>0</v>
      </c>
      <c r="AD448" s="64">
        <f t="shared" si="168"/>
        <v>0</v>
      </c>
      <c r="AE448" s="64">
        <f t="shared" si="169"/>
        <v>0</v>
      </c>
      <c r="AF448" s="64">
        <f t="shared" si="170"/>
        <v>0</v>
      </c>
      <c r="AG448" s="29">
        <f t="shared" si="171"/>
        <v>-8.19</v>
      </c>
    </row>
    <row r="449" spans="1:33">
      <c r="A449" s="265">
        <v>12310002</v>
      </c>
      <c r="B449" s="265" t="s">
        <v>362</v>
      </c>
      <c r="C449" s="265" t="s">
        <v>627</v>
      </c>
      <c r="D449" s="265">
        <v>100000001</v>
      </c>
      <c r="E449" s="265" t="s">
        <v>51</v>
      </c>
      <c r="F449" s="265" t="s">
        <v>0</v>
      </c>
      <c r="G449" s="266">
        <v>-397.65</v>
      </c>
      <c r="H449" s="266">
        <v>-397.65</v>
      </c>
      <c r="I449" s="268">
        <v>45727</v>
      </c>
      <c r="J449" s="268">
        <v>47177</v>
      </c>
      <c r="K449" s="267"/>
      <c r="L449" s="224" t="str">
        <f t="shared" si="172"/>
        <v>12310002_AUD_100000001_NONGHYUP BANK SYDNEY BRANCH</v>
      </c>
      <c r="M449" s="221">
        <f t="shared" si="152"/>
        <v>-397.65</v>
      </c>
      <c r="N449" s="24" t="str">
        <f>IF(OR(L449=$L$2,L449=$L$3),$M$10+1,IFERROR(VLOOKUP(A449,'Repricing Maturity Adj.'!$A$3:$C$170,3,0),(IF(K449&lt;$M$10,"Check",K449))))</f>
        <v>Non_sensitive</v>
      </c>
      <c r="O449" s="62" t="b">
        <f t="shared" si="153"/>
        <v>1</v>
      </c>
      <c r="P449" s="63" t="str">
        <f t="shared" si="154"/>
        <v>Asset</v>
      </c>
      <c r="Q449" s="25">
        <f t="shared" si="155"/>
        <v>0</v>
      </c>
      <c r="R449" s="25">
        <f t="shared" si="156"/>
        <v>0</v>
      </c>
      <c r="S449" s="25">
        <f t="shared" si="157"/>
        <v>0</v>
      </c>
      <c r="T449" s="25">
        <f t="shared" si="158"/>
        <v>0</v>
      </c>
      <c r="U449" s="25">
        <f t="shared" si="159"/>
        <v>0</v>
      </c>
      <c r="V449" s="25">
        <f t="shared" si="160"/>
        <v>0</v>
      </c>
      <c r="W449" s="25">
        <f t="shared" si="161"/>
        <v>0</v>
      </c>
      <c r="X449" s="64">
        <f t="shared" si="162"/>
        <v>0</v>
      </c>
      <c r="Y449" s="64">
        <f t="shared" si="163"/>
        <v>0</v>
      </c>
      <c r="Z449" s="64">
        <f t="shared" si="164"/>
        <v>0</v>
      </c>
      <c r="AA449" s="64">
        <f t="shared" si="165"/>
        <v>0</v>
      </c>
      <c r="AB449" s="64">
        <f t="shared" si="166"/>
        <v>0</v>
      </c>
      <c r="AC449" s="64">
        <f t="shared" si="167"/>
        <v>0</v>
      </c>
      <c r="AD449" s="64">
        <f t="shared" si="168"/>
        <v>0</v>
      </c>
      <c r="AE449" s="64">
        <f t="shared" si="169"/>
        <v>0</v>
      </c>
      <c r="AF449" s="64">
        <f t="shared" si="170"/>
        <v>0</v>
      </c>
      <c r="AG449" s="29">
        <f t="shared" si="171"/>
        <v>-397.65</v>
      </c>
    </row>
    <row r="450" spans="1:33">
      <c r="A450" s="265">
        <v>12310002</v>
      </c>
      <c r="B450" s="265" t="s">
        <v>362</v>
      </c>
      <c r="C450" s="265" t="s">
        <v>627</v>
      </c>
      <c r="D450" s="265">
        <v>100000001</v>
      </c>
      <c r="E450" s="265" t="s">
        <v>51</v>
      </c>
      <c r="F450" s="265" t="s">
        <v>0</v>
      </c>
      <c r="G450" s="266">
        <v>-8.19</v>
      </c>
      <c r="H450" s="266">
        <v>-8.19</v>
      </c>
      <c r="I450" s="268">
        <v>45727</v>
      </c>
      <c r="J450" s="268">
        <v>47177</v>
      </c>
      <c r="K450" s="267"/>
      <c r="L450" s="224" t="str">
        <f t="shared" si="172"/>
        <v>12310002_AUD_100000001_NONGHYUP BANK SYDNEY BRANCH</v>
      </c>
      <c r="M450" s="221">
        <f t="shared" si="152"/>
        <v>-8.19</v>
      </c>
      <c r="N450" s="24" t="str">
        <f>IF(OR(L450=$L$2,L450=$L$3),$M$10+1,IFERROR(VLOOKUP(A450,'Repricing Maturity Adj.'!$A$3:$C$170,3,0),(IF(K450&lt;$M$10,"Check",K450))))</f>
        <v>Non_sensitive</v>
      </c>
      <c r="O450" s="62" t="b">
        <f t="shared" si="153"/>
        <v>1</v>
      </c>
      <c r="P450" s="63" t="str">
        <f t="shared" si="154"/>
        <v>Asset</v>
      </c>
      <c r="Q450" s="25">
        <f t="shared" si="155"/>
        <v>0</v>
      </c>
      <c r="R450" s="25">
        <f t="shared" si="156"/>
        <v>0</v>
      </c>
      <c r="S450" s="25">
        <f t="shared" si="157"/>
        <v>0</v>
      </c>
      <c r="T450" s="25">
        <f t="shared" si="158"/>
        <v>0</v>
      </c>
      <c r="U450" s="25">
        <f t="shared" si="159"/>
        <v>0</v>
      </c>
      <c r="V450" s="25">
        <f t="shared" si="160"/>
        <v>0</v>
      </c>
      <c r="W450" s="25">
        <f t="shared" si="161"/>
        <v>0</v>
      </c>
      <c r="X450" s="64">
        <f t="shared" si="162"/>
        <v>0</v>
      </c>
      <c r="Y450" s="64">
        <f t="shared" si="163"/>
        <v>0</v>
      </c>
      <c r="Z450" s="64">
        <f t="shared" si="164"/>
        <v>0</v>
      </c>
      <c r="AA450" s="64">
        <f t="shared" si="165"/>
        <v>0</v>
      </c>
      <c r="AB450" s="64">
        <f t="shared" si="166"/>
        <v>0</v>
      </c>
      <c r="AC450" s="64">
        <f t="shared" si="167"/>
        <v>0</v>
      </c>
      <c r="AD450" s="64">
        <f t="shared" si="168"/>
        <v>0</v>
      </c>
      <c r="AE450" s="64">
        <f t="shared" si="169"/>
        <v>0</v>
      </c>
      <c r="AF450" s="64">
        <f t="shared" si="170"/>
        <v>0</v>
      </c>
      <c r="AG450" s="29">
        <f t="shared" si="171"/>
        <v>-8.19</v>
      </c>
    </row>
    <row r="451" spans="1:33">
      <c r="A451" s="265">
        <v>12310004</v>
      </c>
      <c r="B451" s="265" t="s">
        <v>393</v>
      </c>
      <c r="C451" s="265" t="s">
        <v>394</v>
      </c>
      <c r="D451" s="265">
        <v>100000001</v>
      </c>
      <c r="E451" s="265" t="s">
        <v>51</v>
      </c>
      <c r="F451" s="265" t="s">
        <v>0</v>
      </c>
      <c r="G451" s="266">
        <v>-2669.6</v>
      </c>
      <c r="H451" s="266">
        <v>-2669.6</v>
      </c>
      <c r="I451" s="268">
        <v>44621</v>
      </c>
      <c r="J451" s="268">
        <v>46446</v>
      </c>
      <c r="K451" s="267"/>
      <c r="L451" s="224" t="str">
        <f t="shared" si="172"/>
        <v>12310004_AUD_100000001_NONGHYUP BANK SYDNEY BRANCH</v>
      </c>
      <c r="M451" s="221">
        <f t="shared" si="152"/>
        <v>-2669.6</v>
      </c>
      <c r="N451" s="24" t="str">
        <f>IF(OR(L451=$L$2,L451=$L$3),$M$10+1,IFERROR(VLOOKUP(A451,'Repricing Maturity Adj.'!$A$3:$C$170,3,0),(IF(K451&lt;$M$10,"Check",K451))))</f>
        <v>Non_sensitive</v>
      </c>
      <c r="O451" s="62" t="b">
        <f t="shared" si="153"/>
        <v>1</v>
      </c>
      <c r="P451" s="63" t="str">
        <f t="shared" si="154"/>
        <v>Asset</v>
      </c>
      <c r="Q451" s="25">
        <f t="shared" si="155"/>
        <v>0</v>
      </c>
      <c r="R451" s="25">
        <f t="shared" si="156"/>
        <v>0</v>
      </c>
      <c r="S451" s="25">
        <f t="shared" si="157"/>
        <v>0</v>
      </c>
      <c r="T451" s="25">
        <f t="shared" si="158"/>
        <v>0</v>
      </c>
      <c r="U451" s="25">
        <f t="shared" si="159"/>
        <v>0</v>
      </c>
      <c r="V451" s="25">
        <f t="shared" si="160"/>
        <v>0</v>
      </c>
      <c r="W451" s="25">
        <f t="shared" si="161"/>
        <v>0</v>
      </c>
      <c r="X451" s="64">
        <f t="shared" si="162"/>
        <v>0</v>
      </c>
      <c r="Y451" s="64">
        <f t="shared" si="163"/>
        <v>0</v>
      </c>
      <c r="Z451" s="64">
        <f t="shared" si="164"/>
        <v>0</v>
      </c>
      <c r="AA451" s="64">
        <f t="shared" si="165"/>
        <v>0</v>
      </c>
      <c r="AB451" s="64">
        <f t="shared" si="166"/>
        <v>0</v>
      </c>
      <c r="AC451" s="64">
        <f t="shared" si="167"/>
        <v>0</v>
      </c>
      <c r="AD451" s="64">
        <f t="shared" si="168"/>
        <v>0</v>
      </c>
      <c r="AE451" s="64">
        <f t="shared" si="169"/>
        <v>0</v>
      </c>
      <c r="AF451" s="64">
        <f t="shared" si="170"/>
        <v>0</v>
      </c>
      <c r="AG451" s="29">
        <f t="shared" si="171"/>
        <v>-2669.6</v>
      </c>
    </row>
    <row r="452" spans="1:33">
      <c r="A452" s="265">
        <v>12310004</v>
      </c>
      <c r="B452" s="265" t="s">
        <v>393</v>
      </c>
      <c r="C452" s="265" t="s">
        <v>394</v>
      </c>
      <c r="D452" s="265">
        <v>100000001</v>
      </c>
      <c r="E452" s="265" t="s">
        <v>51</v>
      </c>
      <c r="F452" s="265" t="s">
        <v>0</v>
      </c>
      <c r="G452" s="266">
        <v>-13.07</v>
      </c>
      <c r="H452" s="266">
        <v>-13.07</v>
      </c>
      <c r="I452" s="268">
        <v>44621</v>
      </c>
      <c r="J452" s="268">
        <v>46446</v>
      </c>
      <c r="K452" s="267"/>
      <c r="L452" s="224" t="str">
        <f t="shared" si="172"/>
        <v>12310004_AUD_100000001_NONGHYUP BANK SYDNEY BRANCH</v>
      </c>
      <c r="M452" s="221">
        <f t="shared" si="152"/>
        <v>-13.07</v>
      </c>
      <c r="N452" s="24" t="str">
        <f>IF(OR(L452=$L$2,L452=$L$3),$M$10+1,IFERROR(VLOOKUP(A452,'Repricing Maturity Adj.'!$A$3:$C$170,3,0),(IF(K452&lt;$M$10,"Check",K452))))</f>
        <v>Non_sensitive</v>
      </c>
      <c r="O452" s="62" t="b">
        <f t="shared" si="153"/>
        <v>1</v>
      </c>
      <c r="P452" s="63" t="str">
        <f t="shared" si="154"/>
        <v>Asset</v>
      </c>
      <c r="Q452" s="25">
        <f t="shared" si="155"/>
        <v>0</v>
      </c>
      <c r="R452" s="25">
        <f t="shared" si="156"/>
        <v>0</v>
      </c>
      <c r="S452" s="25">
        <f t="shared" si="157"/>
        <v>0</v>
      </c>
      <c r="T452" s="25">
        <f t="shared" si="158"/>
        <v>0</v>
      </c>
      <c r="U452" s="25">
        <f t="shared" si="159"/>
        <v>0</v>
      </c>
      <c r="V452" s="25">
        <f t="shared" si="160"/>
        <v>0</v>
      </c>
      <c r="W452" s="25">
        <f t="shared" si="161"/>
        <v>0</v>
      </c>
      <c r="X452" s="64">
        <f t="shared" si="162"/>
        <v>0</v>
      </c>
      <c r="Y452" s="64">
        <f t="shared" si="163"/>
        <v>0</v>
      </c>
      <c r="Z452" s="64">
        <f t="shared" si="164"/>
        <v>0</v>
      </c>
      <c r="AA452" s="64">
        <f t="shared" si="165"/>
        <v>0</v>
      </c>
      <c r="AB452" s="64">
        <f t="shared" si="166"/>
        <v>0</v>
      </c>
      <c r="AC452" s="64">
        <f t="shared" si="167"/>
        <v>0</v>
      </c>
      <c r="AD452" s="64">
        <f t="shared" si="168"/>
        <v>0</v>
      </c>
      <c r="AE452" s="64">
        <f t="shared" si="169"/>
        <v>0</v>
      </c>
      <c r="AF452" s="64">
        <f t="shared" si="170"/>
        <v>0</v>
      </c>
      <c r="AG452" s="29">
        <f t="shared" si="171"/>
        <v>-13.07</v>
      </c>
    </row>
    <row r="453" spans="1:33">
      <c r="A453" s="265">
        <v>12310004</v>
      </c>
      <c r="B453" s="265" t="s">
        <v>393</v>
      </c>
      <c r="C453" s="265" t="s">
        <v>395</v>
      </c>
      <c r="D453" s="265">
        <v>100000001</v>
      </c>
      <c r="E453" s="265" t="s">
        <v>51</v>
      </c>
      <c r="F453" s="265" t="s">
        <v>0</v>
      </c>
      <c r="G453" s="266">
        <v>-798.53</v>
      </c>
      <c r="H453" s="266">
        <v>-798.53</v>
      </c>
      <c r="I453" s="268">
        <v>44621</v>
      </c>
      <c r="J453" s="268">
        <v>46387</v>
      </c>
      <c r="K453" s="267"/>
      <c r="L453" s="224" t="str">
        <f t="shared" si="172"/>
        <v>12310004_AUD_100000001_NONGHYUP BANK SYDNEY BRANCH</v>
      </c>
      <c r="M453" s="221">
        <f t="shared" si="152"/>
        <v>-798.53</v>
      </c>
      <c r="N453" s="24" t="str">
        <f>IF(OR(L453=$L$2,L453=$L$3),$M$10+1,IFERROR(VLOOKUP(A453,'Repricing Maturity Adj.'!$A$3:$C$170,3,0),(IF(K453&lt;$M$10,"Check",K453))))</f>
        <v>Non_sensitive</v>
      </c>
      <c r="O453" s="62" t="b">
        <f t="shared" si="153"/>
        <v>1</v>
      </c>
      <c r="P453" s="63" t="str">
        <f t="shared" si="154"/>
        <v>Asset</v>
      </c>
      <c r="Q453" s="25">
        <f t="shared" si="155"/>
        <v>0</v>
      </c>
      <c r="R453" s="25">
        <f t="shared" si="156"/>
        <v>0</v>
      </c>
      <c r="S453" s="25">
        <f t="shared" si="157"/>
        <v>0</v>
      </c>
      <c r="T453" s="25">
        <f t="shared" si="158"/>
        <v>0</v>
      </c>
      <c r="U453" s="25">
        <f t="shared" si="159"/>
        <v>0</v>
      </c>
      <c r="V453" s="25">
        <f t="shared" si="160"/>
        <v>0</v>
      </c>
      <c r="W453" s="25">
        <f t="shared" si="161"/>
        <v>0</v>
      </c>
      <c r="X453" s="64">
        <f t="shared" si="162"/>
        <v>0</v>
      </c>
      <c r="Y453" s="64">
        <f t="shared" si="163"/>
        <v>0</v>
      </c>
      <c r="Z453" s="64">
        <f t="shared" si="164"/>
        <v>0</v>
      </c>
      <c r="AA453" s="64">
        <f t="shared" si="165"/>
        <v>0</v>
      </c>
      <c r="AB453" s="64">
        <f t="shared" si="166"/>
        <v>0</v>
      </c>
      <c r="AC453" s="64">
        <f t="shared" si="167"/>
        <v>0</v>
      </c>
      <c r="AD453" s="64">
        <f t="shared" si="168"/>
        <v>0</v>
      </c>
      <c r="AE453" s="64">
        <f t="shared" si="169"/>
        <v>0</v>
      </c>
      <c r="AF453" s="64">
        <f t="shared" si="170"/>
        <v>0</v>
      </c>
      <c r="AG453" s="29">
        <f t="shared" si="171"/>
        <v>-798.53</v>
      </c>
    </row>
    <row r="454" spans="1:33">
      <c r="A454" s="265">
        <v>12310004</v>
      </c>
      <c r="B454" s="265" t="s">
        <v>393</v>
      </c>
      <c r="C454" s="265" t="s">
        <v>395</v>
      </c>
      <c r="D454" s="265">
        <v>100000001</v>
      </c>
      <c r="E454" s="265" t="s">
        <v>51</v>
      </c>
      <c r="F454" s="265" t="s">
        <v>0</v>
      </c>
      <c r="G454" s="266">
        <v>-3.9</v>
      </c>
      <c r="H454" s="266">
        <v>-3.9</v>
      </c>
      <c r="I454" s="268">
        <v>44621</v>
      </c>
      <c r="J454" s="268">
        <v>46387</v>
      </c>
      <c r="K454" s="267"/>
      <c r="L454" s="224" t="str">
        <f t="shared" si="172"/>
        <v>12310004_AUD_100000001_NONGHYUP BANK SYDNEY BRANCH</v>
      </c>
      <c r="M454" s="221">
        <f t="shared" si="152"/>
        <v>-3.9</v>
      </c>
      <c r="N454" s="24" t="str">
        <f>IF(OR(L454=$L$2,L454=$L$3),$M$10+1,IFERROR(VLOOKUP(A454,'Repricing Maturity Adj.'!$A$3:$C$170,3,0),(IF(K454&lt;$M$10,"Check",K454))))</f>
        <v>Non_sensitive</v>
      </c>
      <c r="O454" s="62" t="b">
        <f t="shared" si="153"/>
        <v>1</v>
      </c>
      <c r="P454" s="63" t="str">
        <f t="shared" si="154"/>
        <v>Asset</v>
      </c>
      <c r="Q454" s="25">
        <f t="shared" si="155"/>
        <v>0</v>
      </c>
      <c r="R454" s="25">
        <f t="shared" si="156"/>
        <v>0</v>
      </c>
      <c r="S454" s="25">
        <f t="shared" si="157"/>
        <v>0</v>
      </c>
      <c r="T454" s="25">
        <f t="shared" si="158"/>
        <v>0</v>
      </c>
      <c r="U454" s="25">
        <f t="shared" si="159"/>
        <v>0</v>
      </c>
      <c r="V454" s="25">
        <f t="shared" si="160"/>
        <v>0</v>
      </c>
      <c r="W454" s="25">
        <f t="shared" si="161"/>
        <v>0</v>
      </c>
      <c r="X454" s="64">
        <f t="shared" si="162"/>
        <v>0</v>
      </c>
      <c r="Y454" s="64">
        <f t="shared" si="163"/>
        <v>0</v>
      </c>
      <c r="Z454" s="64">
        <f t="shared" si="164"/>
        <v>0</v>
      </c>
      <c r="AA454" s="64">
        <f t="shared" si="165"/>
        <v>0</v>
      </c>
      <c r="AB454" s="64">
        <f t="shared" si="166"/>
        <v>0</v>
      </c>
      <c r="AC454" s="64">
        <f t="shared" si="167"/>
        <v>0</v>
      </c>
      <c r="AD454" s="64">
        <f t="shared" si="168"/>
        <v>0</v>
      </c>
      <c r="AE454" s="64">
        <f t="shared" si="169"/>
        <v>0</v>
      </c>
      <c r="AF454" s="64">
        <f t="shared" si="170"/>
        <v>0</v>
      </c>
      <c r="AG454" s="29">
        <f t="shared" si="171"/>
        <v>-3.9</v>
      </c>
    </row>
    <row r="455" spans="1:33">
      <c r="A455" s="265">
        <v>12310004</v>
      </c>
      <c r="B455" s="265" t="s">
        <v>393</v>
      </c>
      <c r="C455" s="265" t="s">
        <v>396</v>
      </c>
      <c r="D455" s="265">
        <v>100000001</v>
      </c>
      <c r="E455" s="265" t="s">
        <v>51</v>
      </c>
      <c r="F455" s="265" t="s">
        <v>0</v>
      </c>
      <c r="G455" s="266">
        <v>-11.56</v>
      </c>
      <c r="H455" s="266">
        <v>-11.56</v>
      </c>
      <c r="I455" s="268">
        <v>44621</v>
      </c>
      <c r="J455" s="268">
        <v>46387</v>
      </c>
      <c r="K455" s="267"/>
      <c r="L455" s="224" t="str">
        <f t="shared" si="172"/>
        <v>12310004_AUD_100000001_NONGHYUP BANK SYDNEY BRANCH</v>
      </c>
      <c r="M455" s="221">
        <f t="shared" si="152"/>
        <v>-11.56</v>
      </c>
      <c r="N455" s="24" t="str">
        <f>IF(OR(L455=$L$2,L455=$L$3),$M$10+1,IFERROR(VLOOKUP(A455,'Repricing Maturity Adj.'!$A$3:$C$170,3,0),(IF(K455&lt;$M$10,"Check",K455))))</f>
        <v>Non_sensitive</v>
      </c>
      <c r="O455" s="62" t="b">
        <f t="shared" si="153"/>
        <v>1</v>
      </c>
      <c r="P455" s="63" t="str">
        <f t="shared" si="154"/>
        <v>Asset</v>
      </c>
      <c r="Q455" s="25">
        <f t="shared" si="155"/>
        <v>0</v>
      </c>
      <c r="R455" s="25">
        <f t="shared" si="156"/>
        <v>0</v>
      </c>
      <c r="S455" s="25">
        <f t="shared" si="157"/>
        <v>0</v>
      </c>
      <c r="T455" s="25">
        <f t="shared" si="158"/>
        <v>0</v>
      </c>
      <c r="U455" s="25">
        <f t="shared" si="159"/>
        <v>0</v>
      </c>
      <c r="V455" s="25">
        <f t="shared" si="160"/>
        <v>0</v>
      </c>
      <c r="W455" s="25">
        <f t="shared" si="161"/>
        <v>0</v>
      </c>
      <c r="X455" s="64">
        <f t="shared" si="162"/>
        <v>0</v>
      </c>
      <c r="Y455" s="64">
        <f t="shared" si="163"/>
        <v>0</v>
      </c>
      <c r="Z455" s="64">
        <f t="shared" si="164"/>
        <v>0</v>
      </c>
      <c r="AA455" s="64">
        <f t="shared" si="165"/>
        <v>0</v>
      </c>
      <c r="AB455" s="64">
        <f t="shared" si="166"/>
        <v>0</v>
      </c>
      <c r="AC455" s="64">
        <f t="shared" si="167"/>
        <v>0</v>
      </c>
      <c r="AD455" s="64">
        <f t="shared" si="168"/>
        <v>0</v>
      </c>
      <c r="AE455" s="64">
        <f t="shared" si="169"/>
        <v>0</v>
      </c>
      <c r="AF455" s="64">
        <f t="shared" si="170"/>
        <v>0</v>
      </c>
      <c r="AG455" s="29">
        <f t="shared" si="171"/>
        <v>-11.56</v>
      </c>
    </row>
    <row r="456" spans="1:33">
      <c r="A456" s="265">
        <v>12310004</v>
      </c>
      <c r="B456" s="265" t="s">
        <v>393</v>
      </c>
      <c r="C456" s="265" t="s">
        <v>396</v>
      </c>
      <c r="D456" s="265">
        <v>100000001</v>
      </c>
      <c r="E456" s="265" t="s">
        <v>51</v>
      </c>
      <c r="F456" s="265" t="s">
        <v>0</v>
      </c>
      <c r="G456" s="266">
        <v>-2365.98</v>
      </c>
      <c r="H456" s="266">
        <v>-2365.98</v>
      </c>
      <c r="I456" s="268">
        <v>44621</v>
      </c>
      <c r="J456" s="268">
        <v>46387</v>
      </c>
      <c r="K456" s="267"/>
      <c r="L456" s="224" t="str">
        <f t="shared" si="172"/>
        <v>12310004_AUD_100000001_NONGHYUP BANK SYDNEY BRANCH</v>
      </c>
      <c r="M456" s="221">
        <f t="shared" si="152"/>
        <v>-2365.98</v>
      </c>
      <c r="N456" s="24" t="str">
        <f>IF(OR(L456=$L$2,L456=$L$3),$M$10+1,IFERROR(VLOOKUP(A456,'Repricing Maturity Adj.'!$A$3:$C$170,3,0),(IF(K456&lt;$M$10,"Check",K456))))</f>
        <v>Non_sensitive</v>
      </c>
      <c r="O456" s="62" t="b">
        <f t="shared" si="153"/>
        <v>1</v>
      </c>
      <c r="P456" s="63" t="str">
        <f t="shared" si="154"/>
        <v>Asset</v>
      </c>
      <c r="Q456" s="25">
        <f t="shared" si="155"/>
        <v>0</v>
      </c>
      <c r="R456" s="25">
        <f t="shared" si="156"/>
        <v>0</v>
      </c>
      <c r="S456" s="25">
        <f t="shared" si="157"/>
        <v>0</v>
      </c>
      <c r="T456" s="25">
        <f t="shared" si="158"/>
        <v>0</v>
      </c>
      <c r="U456" s="25">
        <f t="shared" si="159"/>
        <v>0</v>
      </c>
      <c r="V456" s="25">
        <f t="shared" si="160"/>
        <v>0</v>
      </c>
      <c r="W456" s="25">
        <f t="shared" si="161"/>
        <v>0</v>
      </c>
      <c r="X456" s="64">
        <f t="shared" si="162"/>
        <v>0</v>
      </c>
      <c r="Y456" s="64">
        <f t="shared" si="163"/>
        <v>0</v>
      </c>
      <c r="Z456" s="64">
        <f t="shared" si="164"/>
        <v>0</v>
      </c>
      <c r="AA456" s="64">
        <f t="shared" si="165"/>
        <v>0</v>
      </c>
      <c r="AB456" s="64">
        <f t="shared" si="166"/>
        <v>0</v>
      </c>
      <c r="AC456" s="64">
        <f t="shared" si="167"/>
        <v>0</v>
      </c>
      <c r="AD456" s="64">
        <f t="shared" si="168"/>
        <v>0</v>
      </c>
      <c r="AE456" s="64">
        <f t="shared" si="169"/>
        <v>0</v>
      </c>
      <c r="AF456" s="64">
        <f t="shared" si="170"/>
        <v>0</v>
      </c>
      <c r="AG456" s="29">
        <f t="shared" si="171"/>
        <v>-2365.98</v>
      </c>
    </row>
    <row r="457" spans="1:33">
      <c r="A457" s="265">
        <v>12310004</v>
      </c>
      <c r="B457" s="265" t="s">
        <v>393</v>
      </c>
      <c r="C457" s="265" t="s">
        <v>397</v>
      </c>
      <c r="D457" s="265">
        <v>100000001</v>
      </c>
      <c r="E457" s="265" t="s">
        <v>51</v>
      </c>
      <c r="F457" s="265" t="s">
        <v>0</v>
      </c>
      <c r="G457" s="266">
        <v>-12219.06</v>
      </c>
      <c r="H457" s="266">
        <v>-12219.06</v>
      </c>
      <c r="I457" s="268">
        <v>44621</v>
      </c>
      <c r="J457" s="268">
        <v>46387</v>
      </c>
      <c r="K457" s="267"/>
      <c r="L457" s="224" t="str">
        <f t="shared" si="172"/>
        <v>12310004_AUD_100000001_NONGHYUP BANK SYDNEY BRANCH</v>
      </c>
      <c r="M457" s="221">
        <f t="shared" si="152"/>
        <v>-12219.06</v>
      </c>
      <c r="N457" s="24" t="str">
        <f>IF(OR(L457=$L$2,L457=$L$3),$M$10+1,IFERROR(VLOOKUP(A457,'Repricing Maturity Adj.'!$A$3:$C$170,3,0),(IF(K457&lt;$M$10,"Check",K457))))</f>
        <v>Non_sensitive</v>
      </c>
      <c r="O457" s="62" t="b">
        <f t="shared" si="153"/>
        <v>1</v>
      </c>
      <c r="P457" s="63" t="str">
        <f t="shared" si="154"/>
        <v>Asset</v>
      </c>
      <c r="Q457" s="25">
        <f t="shared" si="155"/>
        <v>0</v>
      </c>
      <c r="R457" s="25">
        <f t="shared" si="156"/>
        <v>0</v>
      </c>
      <c r="S457" s="25">
        <f t="shared" si="157"/>
        <v>0</v>
      </c>
      <c r="T457" s="25">
        <f t="shared" si="158"/>
        <v>0</v>
      </c>
      <c r="U457" s="25">
        <f t="shared" si="159"/>
        <v>0</v>
      </c>
      <c r="V457" s="25">
        <f t="shared" si="160"/>
        <v>0</v>
      </c>
      <c r="W457" s="25">
        <f t="shared" si="161"/>
        <v>0</v>
      </c>
      <c r="X457" s="64">
        <f t="shared" si="162"/>
        <v>0</v>
      </c>
      <c r="Y457" s="64">
        <f t="shared" si="163"/>
        <v>0</v>
      </c>
      <c r="Z457" s="64">
        <f t="shared" si="164"/>
        <v>0</v>
      </c>
      <c r="AA457" s="64">
        <f t="shared" si="165"/>
        <v>0</v>
      </c>
      <c r="AB457" s="64">
        <f t="shared" si="166"/>
        <v>0</v>
      </c>
      <c r="AC457" s="64">
        <f t="shared" si="167"/>
        <v>0</v>
      </c>
      <c r="AD457" s="64">
        <f t="shared" si="168"/>
        <v>0</v>
      </c>
      <c r="AE457" s="64">
        <f t="shared" si="169"/>
        <v>0</v>
      </c>
      <c r="AF457" s="64">
        <f t="shared" si="170"/>
        <v>0</v>
      </c>
      <c r="AG457" s="29">
        <f t="shared" si="171"/>
        <v>-12219.06</v>
      </c>
    </row>
    <row r="458" spans="1:33">
      <c r="A458" s="265">
        <v>12310004</v>
      </c>
      <c r="B458" s="265" t="s">
        <v>393</v>
      </c>
      <c r="C458" s="265" t="s">
        <v>397</v>
      </c>
      <c r="D458" s="265">
        <v>100000001</v>
      </c>
      <c r="E458" s="265" t="s">
        <v>51</v>
      </c>
      <c r="F458" s="265" t="s">
        <v>0</v>
      </c>
      <c r="G458" s="266">
        <v>-59.73</v>
      </c>
      <c r="H458" s="266">
        <v>-59.73</v>
      </c>
      <c r="I458" s="268">
        <v>44621</v>
      </c>
      <c r="J458" s="268">
        <v>46387</v>
      </c>
      <c r="K458" s="267"/>
      <c r="L458" s="224" t="str">
        <f t="shared" si="172"/>
        <v>12310004_AUD_100000001_NONGHYUP BANK SYDNEY BRANCH</v>
      </c>
      <c r="M458" s="221">
        <f t="shared" si="152"/>
        <v>-59.73</v>
      </c>
      <c r="N458" s="24" t="str">
        <f>IF(OR(L458=$L$2,L458=$L$3),$M$10+1,IFERROR(VLOOKUP(A458,'Repricing Maturity Adj.'!$A$3:$C$170,3,0),(IF(K458&lt;$M$10,"Check",K458))))</f>
        <v>Non_sensitive</v>
      </c>
      <c r="O458" s="62" t="b">
        <f t="shared" si="153"/>
        <v>1</v>
      </c>
      <c r="P458" s="63" t="str">
        <f t="shared" si="154"/>
        <v>Asset</v>
      </c>
      <c r="Q458" s="25">
        <f t="shared" si="155"/>
        <v>0</v>
      </c>
      <c r="R458" s="25">
        <f t="shared" si="156"/>
        <v>0</v>
      </c>
      <c r="S458" s="25">
        <f t="shared" si="157"/>
        <v>0</v>
      </c>
      <c r="T458" s="25">
        <f t="shared" si="158"/>
        <v>0</v>
      </c>
      <c r="U458" s="25">
        <f t="shared" si="159"/>
        <v>0</v>
      </c>
      <c r="V458" s="25">
        <f t="shared" si="160"/>
        <v>0</v>
      </c>
      <c r="W458" s="25">
        <f t="shared" si="161"/>
        <v>0</v>
      </c>
      <c r="X458" s="64">
        <f t="shared" si="162"/>
        <v>0</v>
      </c>
      <c r="Y458" s="64">
        <f t="shared" si="163"/>
        <v>0</v>
      </c>
      <c r="Z458" s="64">
        <f t="shared" si="164"/>
        <v>0</v>
      </c>
      <c r="AA458" s="64">
        <f t="shared" si="165"/>
        <v>0</v>
      </c>
      <c r="AB458" s="64">
        <f t="shared" si="166"/>
        <v>0</v>
      </c>
      <c r="AC458" s="64">
        <f t="shared" si="167"/>
        <v>0</v>
      </c>
      <c r="AD458" s="64">
        <f t="shared" si="168"/>
        <v>0</v>
      </c>
      <c r="AE458" s="64">
        <f t="shared" si="169"/>
        <v>0</v>
      </c>
      <c r="AF458" s="64">
        <f t="shared" si="170"/>
        <v>0</v>
      </c>
      <c r="AG458" s="29">
        <f t="shared" si="171"/>
        <v>-59.73</v>
      </c>
    </row>
    <row r="459" spans="1:33">
      <c r="A459" s="265">
        <v>12310004</v>
      </c>
      <c r="B459" s="265" t="s">
        <v>393</v>
      </c>
      <c r="C459" s="265" t="s">
        <v>525</v>
      </c>
      <c r="D459" s="265">
        <v>100000001</v>
      </c>
      <c r="E459" s="265" t="s">
        <v>51</v>
      </c>
      <c r="F459" s="265" t="s">
        <v>0</v>
      </c>
      <c r="G459" s="266">
        <v>-8750.7000000000007</v>
      </c>
      <c r="H459" s="266">
        <v>-8750.7000000000007</v>
      </c>
      <c r="I459" s="268">
        <v>45252</v>
      </c>
      <c r="J459" s="268">
        <v>47087</v>
      </c>
      <c r="K459" s="267"/>
      <c r="L459" s="224" t="str">
        <f t="shared" si="172"/>
        <v>12310004_AUD_100000001_NONGHYUP BANK SYDNEY BRANCH</v>
      </c>
      <c r="M459" s="221">
        <f t="shared" si="152"/>
        <v>-8750.7000000000007</v>
      </c>
      <c r="N459" s="24" t="str">
        <f>IF(OR(L459=$L$2,L459=$L$3),$M$10+1,IFERROR(VLOOKUP(A459,'Repricing Maturity Adj.'!$A$3:$C$170,3,0),(IF(K459&lt;$M$10,"Check",K459))))</f>
        <v>Non_sensitive</v>
      </c>
      <c r="O459" s="62" t="b">
        <f t="shared" si="153"/>
        <v>1</v>
      </c>
      <c r="P459" s="63" t="str">
        <f t="shared" si="154"/>
        <v>Asset</v>
      </c>
      <c r="Q459" s="25">
        <f t="shared" si="155"/>
        <v>0</v>
      </c>
      <c r="R459" s="25">
        <f t="shared" si="156"/>
        <v>0</v>
      </c>
      <c r="S459" s="25">
        <f t="shared" si="157"/>
        <v>0</v>
      </c>
      <c r="T459" s="25">
        <f t="shared" si="158"/>
        <v>0</v>
      </c>
      <c r="U459" s="25">
        <f t="shared" si="159"/>
        <v>0</v>
      </c>
      <c r="V459" s="25">
        <f t="shared" si="160"/>
        <v>0</v>
      </c>
      <c r="W459" s="25">
        <f t="shared" si="161"/>
        <v>0</v>
      </c>
      <c r="X459" s="64">
        <f t="shared" si="162"/>
        <v>0</v>
      </c>
      <c r="Y459" s="64">
        <f t="shared" si="163"/>
        <v>0</v>
      </c>
      <c r="Z459" s="64">
        <f t="shared" si="164"/>
        <v>0</v>
      </c>
      <c r="AA459" s="64">
        <f t="shared" si="165"/>
        <v>0</v>
      </c>
      <c r="AB459" s="64">
        <f t="shared" si="166"/>
        <v>0</v>
      </c>
      <c r="AC459" s="64">
        <f t="shared" si="167"/>
        <v>0</v>
      </c>
      <c r="AD459" s="64">
        <f t="shared" si="168"/>
        <v>0</v>
      </c>
      <c r="AE459" s="64">
        <f t="shared" si="169"/>
        <v>0</v>
      </c>
      <c r="AF459" s="64">
        <f t="shared" si="170"/>
        <v>0</v>
      </c>
      <c r="AG459" s="29">
        <f t="shared" si="171"/>
        <v>-8750.7000000000007</v>
      </c>
    </row>
    <row r="460" spans="1:33">
      <c r="A460" s="265">
        <v>12310004</v>
      </c>
      <c r="B460" s="265" t="s">
        <v>393</v>
      </c>
      <c r="C460" s="265" t="s">
        <v>525</v>
      </c>
      <c r="D460" s="265">
        <v>100000001</v>
      </c>
      <c r="E460" s="265" t="s">
        <v>51</v>
      </c>
      <c r="F460" s="265" t="s">
        <v>0</v>
      </c>
      <c r="G460" s="266">
        <v>-74.14</v>
      </c>
      <c r="H460" s="266">
        <v>-74.14</v>
      </c>
      <c r="I460" s="268">
        <v>45252</v>
      </c>
      <c r="J460" s="268">
        <v>47087</v>
      </c>
      <c r="K460" s="267"/>
      <c r="L460" s="224" t="str">
        <f t="shared" si="172"/>
        <v>12310004_AUD_100000001_NONGHYUP BANK SYDNEY BRANCH</v>
      </c>
      <c r="M460" s="221">
        <f t="shared" si="152"/>
        <v>-74.14</v>
      </c>
      <c r="N460" s="24" t="str">
        <f>IF(OR(L460=$L$2,L460=$L$3),$M$10+1,IFERROR(VLOOKUP(A460,'Repricing Maturity Adj.'!$A$3:$C$170,3,0),(IF(K460&lt;$M$10,"Check",K460))))</f>
        <v>Non_sensitive</v>
      </c>
      <c r="O460" s="62" t="b">
        <f t="shared" si="153"/>
        <v>1</v>
      </c>
      <c r="P460" s="63" t="str">
        <f t="shared" si="154"/>
        <v>Asset</v>
      </c>
      <c r="Q460" s="25">
        <f t="shared" si="155"/>
        <v>0</v>
      </c>
      <c r="R460" s="25">
        <f t="shared" si="156"/>
        <v>0</v>
      </c>
      <c r="S460" s="25">
        <f t="shared" si="157"/>
        <v>0</v>
      </c>
      <c r="T460" s="25">
        <f t="shared" si="158"/>
        <v>0</v>
      </c>
      <c r="U460" s="25">
        <f t="shared" si="159"/>
        <v>0</v>
      </c>
      <c r="V460" s="25">
        <f t="shared" si="160"/>
        <v>0</v>
      </c>
      <c r="W460" s="25">
        <f t="shared" si="161"/>
        <v>0</v>
      </c>
      <c r="X460" s="64">
        <f t="shared" si="162"/>
        <v>0</v>
      </c>
      <c r="Y460" s="64">
        <f t="shared" si="163"/>
        <v>0</v>
      </c>
      <c r="Z460" s="64">
        <f t="shared" si="164"/>
        <v>0</v>
      </c>
      <c r="AA460" s="64">
        <f t="shared" si="165"/>
        <v>0</v>
      </c>
      <c r="AB460" s="64">
        <f t="shared" si="166"/>
        <v>0</v>
      </c>
      <c r="AC460" s="64">
        <f t="shared" si="167"/>
        <v>0</v>
      </c>
      <c r="AD460" s="64">
        <f t="shared" si="168"/>
        <v>0</v>
      </c>
      <c r="AE460" s="64">
        <f t="shared" si="169"/>
        <v>0</v>
      </c>
      <c r="AF460" s="64">
        <f t="shared" si="170"/>
        <v>0</v>
      </c>
      <c r="AG460" s="29">
        <f t="shared" si="171"/>
        <v>-74.14</v>
      </c>
    </row>
    <row r="461" spans="1:33">
      <c r="A461" s="265">
        <v>12310004</v>
      </c>
      <c r="B461" s="265" t="s">
        <v>393</v>
      </c>
      <c r="C461" s="265" t="s">
        <v>653</v>
      </c>
      <c r="D461" s="265">
        <v>100000001</v>
      </c>
      <c r="E461" s="265" t="s">
        <v>51</v>
      </c>
      <c r="F461" s="265" t="s">
        <v>0</v>
      </c>
      <c r="G461" s="266">
        <v>-281.7</v>
      </c>
      <c r="H461" s="266">
        <v>-281.7</v>
      </c>
      <c r="I461" s="268">
        <v>45750</v>
      </c>
      <c r="J461" s="268">
        <v>47573</v>
      </c>
      <c r="K461" s="267"/>
      <c r="L461" s="224" t="str">
        <f t="shared" si="172"/>
        <v>12310004_AUD_100000001_NONGHYUP BANK SYDNEY BRANCH</v>
      </c>
      <c r="M461" s="221">
        <f t="shared" si="152"/>
        <v>-281.7</v>
      </c>
      <c r="N461" s="24" t="str">
        <f>IF(OR(L461=$L$2,L461=$L$3),$M$10+1,IFERROR(VLOOKUP(A461,'Repricing Maturity Adj.'!$A$3:$C$170,3,0),(IF(K461&lt;$M$10,"Check",K461))))</f>
        <v>Non_sensitive</v>
      </c>
      <c r="O461" s="62" t="b">
        <f t="shared" si="153"/>
        <v>1</v>
      </c>
      <c r="P461" s="63" t="str">
        <f t="shared" si="154"/>
        <v>Asset</v>
      </c>
      <c r="Q461" s="25">
        <f t="shared" si="155"/>
        <v>0</v>
      </c>
      <c r="R461" s="25">
        <f t="shared" si="156"/>
        <v>0</v>
      </c>
      <c r="S461" s="25">
        <f t="shared" si="157"/>
        <v>0</v>
      </c>
      <c r="T461" s="25">
        <f t="shared" si="158"/>
        <v>0</v>
      </c>
      <c r="U461" s="25">
        <f t="shared" si="159"/>
        <v>0</v>
      </c>
      <c r="V461" s="25">
        <f t="shared" si="160"/>
        <v>0</v>
      </c>
      <c r="W461" s="25">
        <f t="shared" si="161"/>
        <v>0</v>
      </c>
      <c r="X461" s="64">
        <f t="shared" si="162"/>
        <v>0</v>
      </c>
      <c r="Y461" s="64">
        <f t="shared" si="163"/>
        <v>0</v>
      </c>
      <c r="Z461" s="64">
        <f t="shared" si="164"/>
        <v>0</v>
      </c>
      <c r="AA461" s="64">
        <f t="shared" si="165"/>
        <v>0</v>
      </c>
      <c r="AB461" s="64">
        <f t="shared" si="166"/>
        <v>0</v>
      </c>
      <c r="AC461" s="64">
        <f t="shared" si="167"/>
        <v>0</v>
      </c>
      <c r="AD461" s="64">
        <f t="shared" si="168"/>
        <v>0</v>
      </c>
      <c r="AE461" s="64">
        <f t="shared" si="169"/>
        <v>0</v>
      </c>
      <c r="AF461" s="64">
        <f t="shared" si="170"/>
        <v>0</v>
      </c>
      <c r="AG461" s="29">
        <f t="shared" si="171"/>
        <v>-281.7</v>
      </c>
    </row>
    <row r="462" spans="1:33">
      <c r="A462" s="265">
        <v>12310004</v>
      </c>
      <c r="B462" s="265" t="s">
        <v>393</v>
      </c>
      <c r="C462" s="265" t="s">
        <v>653</v>
      </c>
      <c r="D462" s="265">
        <v>100000001</v>
      </c>
      <c r="E462" s="265" t="s">
        <v>51</v>
      </c>
      <c r="F462" s="265" t="s">
        <v>0</v>
      </c>
      <c r="G462" s="266">
        <v>-6.38</v>
      </c>
      <c r="H462" s="266">
        <v>-6.38</v>
      </c>
      <c r="I462" s="268">
        <v>45750</v>
      </c>
      <c r="J462" s="268">
        <v>47573</v>
      </c>
      <c r="K462" s="267"/>
      <c r="L462" s="224" t="str">
        <f t="shared" si="172"/>
        <v>12310004_AUD_100000001_NONGHYUP BANK SYDNEY BRANCH</v>
      </c>
      <c r="M462" s="221">
        <f t="shared" si="152"/>
        <v>-6.38</v>
      </c>
      <c r="N462" s="24" t="str">
        <f>IF(OR(L462=$L$2,L462=$L$3),$M$10+1,IFERROR(VLOOKUP(A462,'Repricing Maturity Adj.'!$A$3:$C$170,3,0),(IF(K462&lt;$M$10,"Check",K462))))</f>
        <v>Non_sensitive</v>
      </c>
      <c r="O462" s="62" t="b">
        <f t="shared" si="153"/>
        <v>1</v>
      </c>
      <c r="P462" s="63" t="str">
        <f t="shared" si="154"/>
        <v>Asset</v>
      </c>
      <c r="Q462" s="25">
        <f t="shared" si="155"/>
        <v>0</v>
      </c>
      <c r="R462" s="25">
        <f t="shared" si="156"/>
        <v>0</v>
      </c>
      <c r="S462" s="25">
        <f t="shared" si="157"/>
        <v>0</v>
      </c>
      <c r="T462" s="25">
        <f t="shared" si="158"/>
        <v>0</v>
      </c>
      <c r="U462" s="25">
        <f t="shared" si="159"/>
        <v>0</v>
      </c>
      <c r="V462" s="25">
        <f t="shared" si="160"/>
        <v>0</v>
      </c>
      <c r="W462" s="25">
        <f t="shared" si="161"/>
        <v>0</v>
      </c>
      <c r="X462" s="64">
        <f t="shared" si="162"/>
        <v>0</v>
      </c>
      <c r="Y462" s="64">
        <f t="shared" si="163"/>
        <v>0</v>
      </c>
      <c r="Z462" s="64">
        <f t="shared" si="164"/>
        <v>0</v>
      </c>
      <c r="AA462" s="64">
        <f t="shared" si="165"/>
        <v>0</v>
      </c>
      <c r="AB462" s="64">
        <f t="shared" si="166"/>
        <v>0</v>
      </c>
      <c r="AC462" s="64">
        <f t="shared" si="167"/>
        <v>0</v>
      </c>
      <c r="AD462" s="64">
        <f t="shared" si="168"/>
        <v>0</v>
      </c>
      <c r="AE462" s="64">
        <f t="shared" si="169"/>
        <v>0</v>
      </c>
      <c r="AF462" s="64">
        <f t="shared" si="170"/>
        <v>0</v>
      </c>
      <c r="AG462" s="29">
        <f t="shared" si="171"/>
        <v>-6.38</v>
      </c>
    </row>
    <row r="463" spans="1:33">
      <c r="A463" s="265">
        <v>12310005</v>
      </c>
      <c r="B463" s="265" t="s">
        <v>398</v>
      </c>
      <c r="C463" s="265" t="s">
        <v>399</v>
      </c>
      <c r="D463" s="265">
        <v>100000001</v>
      </c>
      <c r="E463" s="265" t="s">
        <v>51</v>
      </c>
      <c r="F463" s="265" t="s">
        <v>0</v>
      </c>
      <c r="G463" s="266">
        <v>-4180</v>
      </c>
      <c r="H463" s="266">
        <v>-4180</v>
      </c>
      <c r="I463" s="268">
        <v>44621</v>
      </c>
      <c r="J463" s="268">
        <v>45961</v>
      </c>
      <c r="K463" s="267"/>
      <c r="L463" s="224" t="str">
        <f t="shared" si="172"/>
        <v>12310005_AUD_100000001_NONGHYUP BANK SYDNEY BRANCH</v>
      </c>
      <c r="M463" s="221">
        <f t="shared" si="152"/>
        <v>-4180</v>
      </c>
      <c r="N463" s="24" t="str">
        <f>IF(OR(L463=$L$2,L463=$L$3),$M$10+1,IFERROR(VLOOKUP(A463,'Repricing Maturity Adj.'!$A$3:$C$170,3,0),(IF(K463&lt;$M$10,"Check",K463))))</f>
        <v>Non_sensitive</v>
      </c>
      <c r="O463" s="62" t="b">
        <f t="shared" si="153"/>
        <v>1</v>
      </c>
      <c r="P463" s="63" t="str">
        <f t="shared" si="154"/>
        <v>Asset</v>
      </c>
      <c r="Q463" s="25">
        <f t="shared" si="155"/>
        <v>0</v>
      </c>
      <c r="R463" s="25">
        <f t="shared" si="156"/>
        <v>0</v>
      </c>
      <c r="S463" s="25">
        <f t="shared" si="157"/>
        <v>0</v>
      </c>
      <c r="T463" s="25">
        <f t="shared" si="158"/>
        <v>0</v>
      </c>
      <c r="U463" s="25">
        <f t="shared" si="159"/>
        <v>0</v>
      </c>
      <c r="V463" s="25">
        <f t="shared" si="160"/>
        <v>0</v>
      </c>
      <c r="W463" s="25">
        <f t="shared" si="161"/>
        <v>0</v>
      </c>
      <c r="X463" s="64">
        <f t="shared" si="162"/>
        <v>0</v>
      </c>
      <c r="Y463" s="64">
        <f t="shared" si="163"/>
        <v>0</v>
      </c>
      <c r="Z463" s="64">
        <f t="shared" si="164"/>
        <v>0</v>
      </c>
      <c r="AA463" s="64">
        <f t="shared" si="165"/>
        <v>0</v>
      </c>
      <c r="AB463" s="64">
        <f t="shared" si="166"/>
        <v>0</v>
      </c>
      <c r="AC463" s="64">
        <f t="shared" si="167"/>
        <v>0</v>
      </c>
      <c r="AD463" s="64">
        <f t="shared" si="168"/>
        <v>0</v>
      </c>
      <c r="AE463" s="64">
        <f t="shared" si="169"/>
        <v>0</v>
      </c>
      <c r="AF463" s="64">
        <f t="shared" si="170"/>
        <v>0</v>
      </c>
      <c r="AG463" s="29">
        <f t="shared" si="171"/>
        <v>-4180</v>
      </c>
    </row>
    <row r="464" spans="1:33">
      <c r="A464" s="265">
        <v>12310005</v>
      </c>
      <c r="B464" s="265" t="s">
        <v>398</v>
      </c>
      <c r="C464" s="265" t="s">
        <v>400</v>
      </c>
      <c r="D464" s="265">
        <v>100000001</v>
      </c>
      <c r="E464" s="265" t="s">
        <v>51</v>
      </c>
      <c r="F464" s="265" t="s">
        <v>0</v>
      </c>
      <c r="G464" s="266">
        <v>-1156.32</v>
      </c>
      <c r="H464" s="266">
        <v>-1156.32</v>
      </c>
      <c r="I464" s="268">
        <v>44621</v>
      </c>
      <c r="J464" s="268">
        <v>45961</v>
      </c>
      <c r="K464" s="267"/>
      <c r="L464" s="224" t="str">
        <f t="shared" si="172"/>
        <v>12310005_AUD_100000001_NONGHYUP BANK SYDNEY BRANCH</v>
      </c>
      <c r="M464" s="221">
        <f t="shared" si="152"/>
        <v>-1156.32</v>
      </c>
      <c r="N464" s="24" t="str">
        <f>IF(OR(L464=$L$2,L464=$L$3),$M$10+1,IFERROR(VLOOKUP(A464,'Repricing Maturity Adj.'!$A$3:$C$170,3,0),(IF(K464&lt;$M$10,"Check",K464))))</f>
        <v>Non_sensitive</v>
      </c>
      <c r="O464" s="62" t="b">
        <f t="shared" si="153"/>
        <v>1</v>
      </c>
      <c r="P464" s="63" t="str">
        <f t="shared" si="154"/>
        <v>Asset</v>
      </c>
      <c r="Q464" s="25">
        <f t="shared" si="155"/>
        <v>0</v>
      </c>
      <c r="R464" s="25">
        <f t="shared" si="156"/>
        <v>0</v>
      </c>
      <c r="S464" s="25">
        <f t="shared" si="157"/>
        <v>0</v>
      </c>
      <c r="T464" s="25">
        <f t="shared" si="158"/>
        <v>0</v>
      </c>
      <c r="U464" s="25">
        <f t="shared" si="159"/>
        <v>0</v>
      </c>
      <c r="V464" s="25">
        <f t="shared" si="160"/>
        <v>0</v>
      </c>
      <c r="W464" s="25">
        <f t="shared" si="161"/>
        <v>0</v>
      </c>
      <c r="X464" s="64">
        <f t="shared" si="162"/>
        <v>0</v>
      </c>
      <c r="Y464" s="64">
        <f t="shared" si="163"/>
        <v>0</v>
      </c>
      <c r="Z464" s="64">
        <f t="shared" si="164"/>
        <v>0</v>
      </c>
      <c r="AA464" s="64">
        <f t="shared" si="165"/>
        <v>0</v>
      </c>
      <c r="AB464" s="64">
        <f t="shared" si="166"/>
        <v>0</v>
      </c>
      <c r="AC464" s="64">
        <f t="shared" si="167"/>
        <v>0</v>
      </c>
      <c r="AD464" s="64">
        <f t="shared" si="168"/>
        <v>0</v>
      </c>
      <c r="AE464" s="64">
        <f t="shared" si="169"/>
        <v>0</v>
      </c>
      <c r="AF464" s="64">
        <f t="shared" si="170"/>
        <v>0</v>
      </c>
      <c r="AG464" s="29">
        <f t="shared" si="171"/>
        <v>-1156.32</v>
      </c>
    </row>
    <row r="465" spans="1:33">
      <c r="A465" s="265">
        <v>12310005</v>
      </c>
      <c r="B465" s="265" t="s">
        <v>398</v>
      </c>
      <c r="C465" s="265" t="s">
        <v>401</v>
      </c>
      <c r="D465" s="265">
        <v>100000001</v>
      </c>
      <c r="E465" s="265" t="s">
        <v>51</v>
      </c>
      <c r="F465" s="265" t="s">
        <v>0</v>
      </c>
      <c r="G465" s="266">
        <v>-227.04</v>
      </c>
      <c r="H465" s="266">
        <v>-227.04</v>
      </c>
      <c r="I465" s="268">
        <v>44621</v>
      </c>
      <c r="J465" s="268">
        <v>45961</v>
      </c>
      <c r="K465" s="267"/>
      <c r="L465" s="224" t="str">
        <f t="shared" si="172"/>
        <v>12310005_AUD_100000001_NONGHYUP BANK SYDNEY BRANCH</v>
      </c>
      <c r="M465" s="221">
        <f t="shared" si="152"/>
        <v>-227.04</v>
      </c>
      <c r="N465" s="24" t="str">
        <f>IF(OR(L465=$L$2,L465=$L$3),$M$10+1,IFERROR(VLOOKUP(A465,'Repricing Maturity Adj.'!$A$3:$C$170,3,0),(IF(K465&lt;$M$10,"Check",K465))))</f>
        <v>Non_sensitive</v>
      </c>
      <c r="O465" s="62" t="b">
        <f t="shared" si="153"/>
        <v>1</v>
      </c>
      <c r="P465" s="63" t="str">
        <f t="shared" si="154"/>
        <v>Asset</v>
      </c>
      <c r="Q465" s="25">
        <f t="shared" si="155"/>
        <v>0</v>
      </c>
      <c r="R465" s="25">
        <f t="shared" si="156"/>
        <v>0</v>
      </c>
      <c r="S465" s="25">
        <f t="shared" si="157"/>
        <v>0</v>
      </c>
      <c r="T465" s="25">
        <f t="shared" si="158"/>
        <v>0</v>
      </c>
      <c r="U465" s="25">
        <f t="shared" si="159"/>
        <v>0</v>
      </c>
      <c r="V465" s="25">
        <f t="shared" si="160"/>
        <v>0</v>
      </c>
      <c r="W465" s="25">
        <f t="shared" si="161"/>
        <v>0</v>
      </c>
      <c r="X465" s="64">
        <f t="shared" si="162"/>
        <v>0</v>
      </c>
      <c r="Y465" s="64">
        <f t="shared" si="163"/>
        <v>0</v>
      </c>
      <c r="Z465" s="64">
        <f t="shared" si="164"/>
        <v>0</v>
      </c>
      <c r="AA465" s="64">
        <f t="shared" si="165"/>
        <v>0</v>
      </c>
      <c r="AB465" s="64">
        <f t="shared" si="166"/>
        <v>0</v>
      </c>
      <c r="AC465" s="64">
        <f t="shared" si="167"/>
        <v>0</v>
      </c>
      <c r="AD465" s="64">
        <f t="shared" si="168"/>
        <v>0</v>
      </c>
      <c r="AE465" s="64">
        <f t="shared" si="169"/>
        <v>0</v>
      </c>
      <c r="AF465" s="64">
        <f t="shared" si="170"/>
        <v>0</v>
      </c>
      <c r="AG465" s="29">
        <f t="shared" si="171"/>
        <v>-227.04</v>
      </c>
    </row>
    <row r="466" spans="1:33">
      <c r="A466" s="265">
        <v>12310005</v>
      </c>
      <c r="B466" s="265" t="s">
        <v>398</v>
      </c>
      <c r="C466" s="265" t="s">
        <v>402</v>
      </c>
      <c r="D466" s="265">
        <v>100000001</v>
      </c>
      <c r="E466" s="265" t="s">
        <v>51</v>
      </c>
      <c r="F466" s="265" t="s">
        <v>0</v>
      </c>
      <c r="G466" s="266">
        <v>-1156.32</v>
      </c>
      <c r="H466" s="266">
        <v>-1156.32</v>
      </c>
      <c r="I466" s="268">
        <v>44621</v>
      </c>
      <c r="J466" s="268">
        <v>45961</v>
      </c>
      <c r="K466" s="267"/>
      <c r="L466" s="224" t="str">
        <f t="shared" si="172"/>
        <v>12310005_AUD_100000001_NONGHYUP BANK SYDNEY BRANCH</v>
      </c>
      <c r="M466" s="221">
        <f t="shared" si="152"/>
        <v>-1156.32</v>
      </c>
      <c r="N466" s="24" t="str">
        <f>IF(OR(L466=$L$2,L466=$L$3),$M$10+1,IFERROR(VLOOKUP(A466,'Repricing Maturity Adj.'!$A$3:$C$170,3,0),(IF(K466&lt;$M$10,"Check",K466))))</f>
        <v>Non_sensitive</v>
      </c>
      <c r="O466" s="62" t="b">
        <f t="shared" si="153"/>
        <v>1</v>
      </c>
      <c r="P466" s="63" t="str">
        <f t="shared" si="154"/>
        <v>Asset</v>
      </c>
      <c r="Q466" s="25">
        <f t="shared" si="155"/>
        <v>0</v>
      </c>
      <c r="R466" s="25">
        <f t="shared" si="156"/>
        <v>0</v>
      </c>
      <c r="S466" s="25">
        <f t="shared" si="157"/>
        <v>0</v>
      </c>
      <c r="T466" s="25">
        <f t="shared" si="158"/>
        <v>0</v>
      </c>
      <c r="U466" s="25">
        <f t="shared" si="159"/>
        <v>0</v>
      </c>
      <c r="V466" s="25">
        <f t="shared" si="160"/>
        <v>0</v>
      </c>
      <c r="W466" s="25">
        <f t="shared" si="161"/>
        <v>0</v>
      </c>
      <c r="X466" s="64">
        <f t="shared" si="162"/>
        <v>0</v>
      </c>
      <c r="Y466" s="64">
        <f t="shared" si="163"/>
        <v>0</v>
      </c>
      <c r="Z466" s="64">
        <f t="shared" si="164"/>
        <v>0</v>
      </c>
      <c r="AA466" s="64">
        <f t="shared" si="165"/>
        <v>0</v>
      </c>
      <c r="AB466" s="64">
        <f t="shared" si="166"/>
        <v>0</v>
      </c>
      <c r="AC466" s="64">
        <f t="shared" si="167"/>
        <v>0</v>
      </c>
      <c r="AD466" s="64">
        <f t="shared" si="168"/>
        <v>0</v>
      </c>
      <c r="AE466" s="64">
        <f t="shared" si="169"/>
        <v>0</v>
      </c>
      <c r="AF466" s="64">
        <f t="shared" si="170"/>
        <v>0</v>
      </c>
      <c r="AG466" s="29">
        <f t="shared" si="171"/>
        <v>-1156.32</v>
      </c>
    </row>
    <row r="467" spans="1:33">
      <c r="A467" s="265">
        <v>12310005</v>
      </c>
      <c r="B467" s="265" t="s">
        <v>398</v>
      </c>
      <c r="C467" s="265" t="s">
        <v>403</v>
      </c>
      <c r="D467" s="265">
        <v>100000001</v>
      </c>
      <c r="E467" s="265" t="s">
        <v>51</v>
      </c>
      <c r="F467" s="265" t="s">
        <v>0</v>
      </c>
      <c r="G467" s="266">
        <v>-1251.3599999999999</v>
      </c>
      <c r="H467" s="266">
        <v>-1251.3599999999999</v>
      </c>
      <c r="I467" s="268">
        <v>44621</v>
      </c>
      <c r="J467" s="268">
        <v>45961</v>
      </c>
      <c r="K467" s="267"/>
      <c r="L467" s="224" t="str">
        <f t="shared" si="172"/>
        <v>12310005_AUD_100000001_NONGHYUP BANK SYDNEY BRANCH</v>
      </c>
      <c r="M467" s="221">
        <f t="shared" si="152"/>
        <v>-1251.3599999999999</v>
      </c>
      <c r="N467" s="24" t="str">
        <f>IF(OR(L467=$L$2,L467=$L$3),$M$10+1,IFERROR(VLOOKUP(A467,'Repricing Maturity Adj.'!$A$3:$C$170,3,0),(IF(K467&lt;$M$10,"Check",K467))))</f>
        <v>Non_sensitive</v>
      </c>
      <c r="O467" s="62" t="b">
        <f t="shared" si="153"/>
        <v>1</v>
      </c>
      <c r="P467" s="63" t="str">
        <f t="shared" si="154"/>
        <v>Asset</v>
      </c>
      <c r="Q467" s="25">
        <f t="shared" si="155"/>
        <v>0</v>
      </c>
      <c r="R467" s="25">
        <f t="shared" si="156"/>
        <v>0</v>
      </c>
      <c r="S467" s="25">
        <f t="shared" si="157"/>
        <v>0</v>
      </c>
      <c r="T467" s="25">
        <f t="shared" si="158"/>
        <v>0</v>
      </c>
      <c r="U467" s="25">
        <f t="shared" si="159"/>
        <v>0</v>
      </c>
      <c r="V467" s="25">
        <f t="shared" si="160"/>
        <v>0</v>
      </c>
      <c r="W467" s="25">
        <f t="shared" si="161"/>
        <v>0</v>
      </c>
      <c r="X467" s="64">
        <f t="shared" si="162"/>
        <v>0</v>
      </c>
      <c r="Y467" s="64">
        <f t="shared" si="163"/>
        <v>0</v>
      </c>
      <c r="Z467" s="64">
        <f t="shared" si="164"/>
        <v>0</v>
      </c>
      <c r="AA467" s="64">
        <f t="shared" si="165"/>
        <v>0</v>
      </c>
      <c r="AB467" s="64">
        <f t="shared" si="166"/>
        <v>0</v>
      </c>
      <c r="AC467" s="64">
        <f t="shared" si="167"/>
        <v>0</v>
      </c>
      <c r="AD467" s="64">
        <f t="shared" si="168"/>
        <v>0</v>
      </c>
      <c r="AE467" s="64">
        <f t="shared" si="169"/>
        <v>0</v>
      </c>
      <c r="AF467" s="64">
        <f t="shared" si="170"/>
        <v>0</v>
      </c>
      <c r="AG467" s="29">
        <f t="shared" si="171"/>
        <v>-1251.3599999999999</v>
      </c>
    </row>
    <row r="468" spans="1:33">
      <c r="A468" s="265">
        <v>12310005</v>
      </c>
      <c r="B468" s="265" t="s">
        <v>398</v>
      </c>
      <c r="C468" s="265" t="s">
        <v>404</v>
      </c>
      <c r="D468" s="265">
        <v>100000001</v>
      </c>
      <c r="E468" s="265" t="s">
        <v>51</v>
      </c>
      <c r="F468" s="265" t="s">
        <v>0</v>
      </c>
      <c r="G468" s="266">
        <v>-3634.84</v>
      </c>
      <c r="H468" s="266">
        <v>-3634.84</v>
      </c>
      <c r="I468" s="268">
        <v>44621</v>
      </c>
      <c r="J468" s="268">
        <v>45961</v>
      </c>
      <c r="K468" s="267"/>
      <c r="L468" s="224" t="str">
        <f t="shared" si="172"/>
        <v>12310005_AUD_100000001_NONGHYUP BANK SYDNEY BRANCH</v>
      </c>
      <c r="M468" s="221">
        <f t="shared" si="152"/>
        <v>-3634.84</v>
      </c>
      <c r="N468" s="24" t="str">
        <f>IF(OR(L468=$L$2,L468=$L$3),$M$10+1,IFERROR(VLOOKUP(A468,'Repricing Maturity Adj.'!$A$3:$C$170,3,0),(IF(K468&lt;$M$10,"Check",K468))))</f>
        <v>Non_sensitive</v>
      </c>
      <c r="O468" s="62" t="b">
        <f t="shared" si="153"/>
        <v>1</v>
      </c>
      <c r="P468" s="63" t="str">
        <f t="shared" si="154"/>
        <v>Asset</v>
      </c>
      <c r="Q468" s="25">
        <f t="shared" si="155"/>
        <v>0</v>
      </c>
      <c r="R468" s="25">
        <f t="shared" si="156"/>
        <v>0</v>
      </c>
      <c r="S468" s="25">
        <f t="shared" si="157"/>
        <v>0</v>
      </c>
      <c r="T468" s="25">
        <f t="shared" si="158"/>
        <v>0</v>
      </c>
      <c r="U468" s="25">
        <f t="shared" si="159"/>
        <v>0</v>
      </c>
      <c r="V468" s="25">
        <f t="shared" si="160"/>
        <v>0</v>
      </c>
      <c r="W468" s="25">
        <f t="shared" si="161"/>
        <v>0</v>
      </c>
      <c r="X468" s="64">
        <f t="shared" si="162"/>
        <v>0</v>
      </c>
      <c r="Y468" s="64">
        <f t="shared" si="163"/>
        <v>0</v>
      </c>
      <c r="Z468" s="64">
        <f t="shared" si="164"/>
        <v>0</v>
      </c>
      <c r="AA468" s="64">
        <f t="shared" si="165"/>
        <v>0</v>
      </c>
      <c r="AB468" s="64">
        <f t="shared" si="166"/>
        <v>0</v>
      </c>
      <c r="AC468" s="64">
        <f t="shared" si="167"/>
        <v>0</v>
      </c>
      <c r="AD468" s="64">
        <f t="shared" si="168"/>
        <v>0</v>
      </c>
      <c r="AE468" s="64">
        <f t="shared" si="169"/>
        <v>0</v>
      </c>
      <c r="AF468" s="64">
        <f t="shared" si="170"/>
        <v>0</v>
      </c>
      <c r="AG468" s="29">
        <f t="shared" si="171"/>
        <v>-3634.84</v>
      </c>
    </row>
    <row r="469" spans="1:33">
      <c r="A469" s="265">
        <v>12310005</v>
      </c>
      <c r="B469" s="265" t="s">
        <v>398</v>
      </c>
      <c r="C469" s="265" t="s">
        <v>405</v>
      </c>
      <c r="D469" s="265">
        <v>100000001</v>
      </c>
      <c r="E469" s="265" t="s">
        <v>51</v>
      </c>
      <c r="F469" s="265" t="s">
        <v>0</v>
      </c>
      <c r="G469" s="266">
        <v>-1608.64</v>
      </c>
      <c r="H469" s="266">
        <v>-1608.64</v>
      </c>
      <c r="I469" s="268">
        <v>44621</v>
      </c>
      <c r="J469" s="268">
        <v>45961</v>
      </c>
      <c r="K469" s="267"/>
      <c r="L469" s="224" t="str">
        <f t="shared" si="172"/>
        <v>12310005_AUD_100000001_NONGHYUP BANK SYDNEY BRANCH</v>
      </c>
      <c r="M469" s="221">
        <f t="shared" si="152"/>
        <v>-1608.64</v>
      </c>
      <c r="N469" s="24" t="str">
        <f>IF(OR(L469=$L$2,L469=$L$3),$M$10+1,IFERROR(VLOOKUP(A469,'Repricing Maturity Adj.'!$A$3:$C$170,3,0),(IF(K469&lt;$M$10,"Check",K469))))</f>
        <v>Non_sensitive</v>
      </c>
      <c r="O469" s="62" t="b">
        <f t="shared" si="153"/>
        <v>1</v>
      </c>
      <c r="P469" s="63" t="str">
        <f t="shared" si="154"/>
        <v>Asset</v>
      </c>
      <c r="Q469" s="25">
        <f t="shared" si="155"/>
        <v>0</v>
      </c>
      <c r="R469" s="25">
        <f t="shared" si="156"/>
        <v>0</v>
      </c>
      <c r="S469" s="25">
        <f t="shared" si="157"/>
        <v>0</v>
      </c>
      <c r="T469" s="25">
        <f t="shared" si="158"/>
        <v>0</v>
      </c>
      <c r="U469" s="25">
        <f t="shared" si="159"/>
        <v>0</v>
      </c>
      <c r="V469" s="25">
        <f t="shared" si="160"/>
        <v>0</v>
      </c>
      <c r="W469" s="25">
        <f t="shared" si="161"/>
        <v>0</v>
      </c>
      <c r="X469" s="64">
        <f t="shared" si="162"/>
        <v>0</v>
      </c>
      <c r="Y469" s="64">
        <f t="shared" si="163"/>
        <v>0</v>
      </c>
      <c r="Z469" s="64">
        <f t="shared" si="164"/>
        <v>0</v>
      </c>
      <c r="AA469" s="64">
        <f t="shared" si="165"/>
        <v>0</v>
      </c>
      <c r="AB469" s="64">
        <f t="shared" si="166"/>
        <v>0</v>
      </c>
      <c r="AC469" s="64">
        <f t="shared" si="167"/>
        <v>0</v>
      </c>
      <c r="AD469" s="64">
        <f t="shared" si="168"/>
        <v>0</v>
      </c>
      <c r="AE469" s="64">
        <f t="shared" si="169"/>
        <v>0</v>
      </c>
      <c r="AF469" s="64">
        <f t="shared" si="170"/>
        <v>0</v>
      </c>
      <c r="AG469" s="29">
        <f t="shared" si="171"/>
        <v>-1608.64</v>
      </c>
    </row>
    <row r="470" spans="1:33">
      <c r="A470" s="265">
        <v>12310005</v>
      </c>
      <c r="B470" s="265" t="s">
        <v>398</v>
      </c>
      <c r="C470" s="265" t="s">
        <v>406</v>
      </c>
      <c r="D470" s="265">
        <v>100000001</v>
      </c>
      <c r="E470" s="265" t="s">
        <v>51</v>
      </c>
      <c r="F470" s="265" t="s">
        <v>0</v>
      </c>
      <c r="G470" s="266">
        <v>-331.75</v>
      </c>
      <c r="H470" s="266">
        <v>-331.75</v>
      </c>
      <c r="I470" s="268">
        <v>44621</v>
      </c>
      <c r="J470" s="268">
        <v>45961</v>
      </c>
      <c r="K470" s="267"/>
      <c r="L470" s="224" t="str">
        <f t="shared" si="172"/>
        <v>12310005_AUD_100000001_NONGHYUP BANK SYDNEY BRANCH</v>
      </c>
      <c r="M470" s="221">
        <f t="shared" si="152"/>
        <v>-331.75</v>
      </c>
      <c r="N470" s="24" t="str">
        <f>IF(OR(L470=$L$2,L470=$L$3),$M$10+1,IFERROR(VLOOKUP(A470,'Repricing Maturity Adj.'!$A$3:$C$170,3,0),(IF(K470&lt;$M$10,"Check",K470))))</f>
        <v>Non_sensitive</v>
      </c>
      <c r="O470" s="62" t="b">
        <f t="shared" si="153"/>
        <v>1</v>
      </c>
      <c r="P470" s="63" t="str">
        <f t="shared" si="154"/>
        <v>Asset</v>
      </c>
      <c r="Q470" s="25">
        <f t="shared" si="155"/>
        <v>0</v>
      </c>
      <c r="R470" s="25">
        <f t="shared" si="156"/>
        <v>0</v>
      </c>
      <c r="S470" s="25">
        <f t="shared" si="157"/>
        <v>0</v>
      </c>
      <c r="T470" s="25">
        <f t="shared" si="158"/>
        <v>0</v>
      </c>
      <c r="U470" s="25">
        <f t="shared" si="159"/>
        <v>0</v>
      </c>
      <c r="V470" s="25">
        <f t="shared" si="160"/>
        <v>0</v>
      </c>
      <c r="W470" s="25">
        <f t="shared" si="161"/>
        <v>0</v>
      </c>
      <c r="X470" s="64">
        <f t="shared" si="162"/>
        <v>0</v>
      </c>
      <c r="Y470" s="64">
        <f t="shared" si="163"/>
        <v>0</v>
      </c>
      <c r="Z470" s="64">
        <f t="shared" si="164"/>
        <v>0</v>
      </c>
      <c r="AA470" s="64">
        <f t="shared" si="165"/>
        <v>0</v>
      </c>
      <c r="AB470" s="64">
        <f t="shared" si="166"/>
        <v>0</v>
      </c>
      <c r="AC470" s="64">
        <f t="shared" si="167"/>
        <v>0</v>
      </c>
      <c r="AD470" s="64">
        <f t="shared" si="168"/>
        <v>0</v>
      </c>
      <c r="AE470" s="64">
        <f t="shared" si="169"/>
        <v>0</v>
      </c>
      <c r="AF470" s="64">
        <f t="shared" si="170"/>
        <v>0</v>
      </c>
      <c r="AG470" s="29">
        <f t="shared" si="171"/>
        <v>-331.75</v>
      </c>
    </row>
    <row r="471" spans="1:33">
      <c r="A471" s="265">
        <v>12310005</v>
      </c>
      <c r="B471" s="265" t="s">
        <v>398</v>
      </c>
      <c r="C471" s="265" t="s">
        <v>407</v>
      </c>
      <c r="D471" s="265">
        <v>100000001</v>
      </c>
      <c r="E471" s="265" t="s">
        <v>51</v>
      </c>
      <c r="F471" s="265" t="s">
        <v>0</v>
      </c>
      <c r="G471" s="266">
        <v>-636.23</v>
      </c>
      <c r="H471" s="266">
        <v>-636.23</v>
      </c>
      <c r="I471" s="268">
        <v>44621</v>
      </c>
      <c r="J471" s="268">
        <v>45961</v>
      </c>
      <c r="K471" s="267"/>
      <c r="L471" s="224" t="str">
        <f t="shared" si="172"/>
        <v>12310005_AUD_100000001_NONGHYUP BANK SYDNEY BRANCH</v>
      </c>
      <c r="M471" s="221">
        <f t="shared" si="152"/>
        <v>-636.23</v>
      </c>
      <c r="N471" s="24" t="str">
        <f>IF(OR(L471=$L$2,L471=$L$3),$M$10+1,IFERROR(VLOOKUP(A471,'Repricing Maturity Adj.'!$A$3:$C$170,3,0),(IF(K471&lt;$M$10,"Check",K471))))</f>
        <v>Non_sensitive</v>
      </c>
      <c r="O471" s="62" t="b">
        <f t="shared" si="153"/>
        <v>1</v>
      </c>
      <c r="P471" s="63" t="str">
        <f t="shared" si="154"/>
        <v>Asset</v>
      </c>
      <c r="Q471" s="25">
        <f t="shared" si="155"/>
        <v>0</v>
      </c>
      <c r="R471" s="25">
        <f t="shared" si="156"/>
        <v>0</v>
      </c>
      <c r="S471" s="25">
        <f t="shared" si="157"/>
        <v>0</v>
      </c>
      <c r="T471" s="25">
        <f t="shared" si="158"/>
        <v>0</v>
      </c>
      <c r="U471" s="25">
        <f t="shared" si="159"/>
        <v>0</v>
      </c>
      <c r="V471" s="25">
        <f t="shared" si="160"/>
        <v>0</v>
      </c>
      <c r="W471" s="25">
        <f t="shared" si="161"/>
        <v>0</v>
      </c>
      <c r="X471" s="64">
        <f t="shared" si="162"/>
        <v>0</v>
      </c>
      <c r="Y471" s="64">
        <f t="shared" si="163"/>
        <v>0</v>
      </c>
      <c r="Z471" s="64">
        <f t="shared" si="164"/>
        <v>0</v>
      </c>
      <c r="AA471" s="64">
        <f t="shared" si="165"/>
        <v>0</v>
      </c>
      <c r="AB471" s="64">
        <f t="shared" si="166"/>
        <v>0</v>
      </c>
      <c r="AC471" s="64">
        <f t="shared" si="167"/>
        <v>0</v>
      </c>
      <c r="AD471" s="64">
        <f t="shared" si="168"/>
        <v>0</v>
      </c>
      <c r="AE471" s="64">
        <f t="shared" si="169"/>
        <v>0</v>
      </c>
      <c r="AF471" s="64">
        <f t="shared" si="170"/>
        <v>0</v>
      </c>
      <c r="AG471" s="29">
        <f t="shared" si="171"/>
        <v>-636.23</v>
      </c>
    </row>
    <row r="472" spans="1:33">
      <c r="A472" s="265">
        <v>12310005</v>
      </c>
      <c r="B472" s="265" t="s">
        <v>398</v>
      </c>
      <c r="C472" s="265" t="s">
        <v>408</v>
      </c>
      <c r="D472" s="265">
        <v>100000001</v>
      </c>
      <c r="E472" s="265" t="s">
        <v>51</v>
      </c>
      <c r="F472" s="265" t="s">
        <v>0</v>
      </c>
      <c r="G472" s="266">
        <v>-2513.12</v>
      </c>
      <c r="H472" s="266">
        <v>-2513.12</v>
      </c>
      <c r="I472" s="268">
        <v>44621</v>
      </c>
      <c r="J472" s="268">
        <v>45961</v>
      </c>
      <c r="K472" s="267"/>
      <c r="L472" s="224" t="str">
        <f t="shared" si="172"/>
        <v>12310005_AUD_100000001_NONGHYUP BANK SYDNEY BRANCH</v>
      </c>
      <c r="M472" s="221">
        <f t="shared" si="152"/>
        <v>-2513.12</v>
      </c>
      <c r="N472" s="24" t="str">
        <f>IF(OR(L472=$L$2,L472=$L$3),$M$10+1,IFERROR(VLOOKUP(A472,'Repricing Maturity Adj.'!$A$3:$C$170,3,0),(IF(K472&lt;$M$10,"Check",K472))))</f>
        <v>Non_sensitive</v>
      </c>
      <c r="O472" s="62" t="b">
        <f t="shared" si="153"/>
        <v>1</v>
      </c>
      <c r="P472" s="63" t="str">
        <f t="shared" si="154"/>
        <v>Asset</v>
      </c>
      <c r="Q472" s="25">
        <f t="shared" si="155"/>
        <v>0</v>
      </c>
      <c r="R472" s="25">
        <f t="shared" si="156"/>
        <v>0</v>
      </c>
      <c r="S472" s="25">
        <f t="shared" si="157"/>
        <v>0</v>
      </c>
      <c r="T472" s="25">
        <f t="shared" si="158"/>
        <v>0</v>
      </c>
      <c r="U472" s="25">
        <f t="shared" si="159"/>
        <v>0</v>
      </c>
      <c r="V472" s="25">
        <f t="shared" si="160"/>
        <v>0</v>
      </c>
      <c r="W472" s="25">
        <f t="shared" si="161"/>
        <v>0</v>
      </c>
      <c r="X472" s="64">
        <f t="shared" si="162"/>
        <v>0</v>
      </c>
      <c r="Y472" s="64">
        <f t="shared" si="163"/>
        <v>0</v>
      </c>
      <c r="Z472" s="64">
        <f t="shared" si="164"/>
        <v>0</v>
      </c>
      <c r="AA472" s="64">
        <f t="shared" si="165"/>
        <v>0</v>
      </c>
      <c r="AB472" s="64">
        <f t="shared" si="166"/>
        <v>0</v>
      </c>
      <c r="AC472" s="64">
        <f t="shared" si="167"/>
        <v>0</v>
      </c>
      <c r="AD472" s="64">
        <f t="shared" si="168"/>
        <v>0</v>
      </c>
      <c r="AE472" s="64">
        <f t="shared" si="169"/>
        <v>0</v>
      </c>
      <c r="AF472" s="64">
        <f t="shared" si="170"/>
        <v>0</v>
      </c>
      <c r="AG472" s="29">
        <f t="shared" si="171"/>
        <v>-2513.12</v>
      </c>
    </row>
    <row r="473" spans="1:33">
      <c r="A473" s="265">
        <v>12310005</v>
      </c>
      <c r="B473" s="265" t="s">
        <v>398</v>
      </c>
      <c r="C473" s="265" t="s">
        <v>409</v>
      </c>
      <c r="D473" s="265">
        <v>100000001</v>
      </c>
      <c r="E473" s="265" t="s">
        <v>51</v>
      </c>
      <c r="F473" s="265" t="s">
        <v>0</v>
      </c>
      <c r="G473" s="266">
        <v>-272.67</v>
      </c>
      <c r="H473" s="266">
        <v>-272.67</v>
      </c>
      <c r="I473" s="268">
        <v>44621</v>
      </c>
      <c r="J473" s="268">
        <v>45961</v>
      </c>
      <c r="K473" s="267"/>
      <c r="L473" s="224" t="str">
        <f t="shared" si="172"/>
        <v>12310005_AUD_100000001_NONGHYUP BANK SYDNEY BRANCH</v>
      </c>
      <c r="M473" s="221">
        <f t="shared" si="152"/>
        <v>-272.67</v>
      </c>
      <c r="N473" s="24" t="str">
        <f>IF(OR(L473=$L$2,L473=$L$3),$M$10+1,IFERROR(VLOOKUP(A473,'Repricing Maturity Adj.'!$A$3:$C$170,3,0),(IF(K473&lt;$M$10,"Check",K473))))</f>
        <v>Non_sensitive</v>
      </c>
      <c r="O473" s="62" t="b">
        <f t="shared" si="153"/>
        <v>1</v>
      </c>
      <c r="P473" s="63" t="str">
        <f t="shared" si="154"/>
        <v>Asset</v>
      </c>
      <c r="Q473" s="25">
        <f t="shared" si="155"/>
        <v>0</v>
      </c>
      <c r="R473" s="25">
        <f t="shared" si="156"/>
        <v>0</v>
      </c>
      <c r="S473" s="25">
        <f t="shared" si="157"/>
        <v>0</v>
      </c>
      <c r="T473" s="25">
        <f t="shared" si="158"/>
        <v>0</v>
      </c>
      <c r="U473" s="25">
        <f t="shared" si="159"/>
        <v>0</v>
      </c>
      <c r="V473" s="25">
        <f t="shared" si="160"/>
        <v>0</v>
      </c>
      <c r="W473" s="25">
        <f t="shared" si="161"/>
        <v>0</v>
      </c>
      <c r="X473" s="64">
        <f t="shared" si="162"/>
        <v>0</v>
      </c>
      <c r="Y473" s="64">
        <f t="shared" si="163"/>
        <v>0</v>
      </c>
      <c r="Z473" s="64">
        <f t="shared" si="164"/>
        <v>0</v>
      </c>
      <c r="AA473" s="64">
        <f t="shared" si="165"/>
        <v>0</v>
      </c>
      <c r="AB473" s="64">
        <f t="shared" si="166"/>
        <v>0</v>
      </c>
      <c r="AC473" s="64">
        <f t="shared" si="167"/>
        <v>0</v>
      </c>
      <c r="AD473" s="64">
        <f t="shared" si="168"/>
        <v>0</v>
      </c>
      <c r="AE473" s="64">
        <f t="shared" si="169"/>
        <v>0</v>
      </c>
      <c r="AF473" s="64">
        <f t="shared" si="170"/>
        <v>0</v>
      </c>
      <c r="AG473" s="29">
        <f t="shared" si="171"/>
        <v>-272.67</v>
      </c>
    </row>
    <row r="474" spans="1:33">
      <c r="A474" s="265">
        <v>12310005</v>
      </c>
      <c r="B474" s="265" t="s">
        <v>398</v>
      </c>
      <c r="C474" s="265" t="s">
        <v>410</v>
      </c>
      <c r="D474" s="265">
        <v>100000001</v>
      </c>
      <c r="E474" s="265" t="s">
        <v>51</v>
      </c>
      <c r="F474" s="265" t="s">
        <v>0</v>
      </c>
      <c r="G474" s="266">
        <v>-409.01</v>
      </c>
      <c r="H474" s="266">
        <v>-409.01</v>
      </c>
      <c r="I474" s="268">
        <v>44621</v>
      </c>
      <c r="J474" s="268">
        <v>45961</v>
      </c>
      <c r="K474" s="267"/>
      <c r="L474" s="224" t="str">
        <f t="shared" si="172"/>
        <v>12310005_AUD_100000001_NONGHYUP BANK SYDNEY BRANCH</v>
      </c>
      <c r="M474" s="221">
        <f t="shared" si="152"/>
        <v>-409.01</v>
      </c>
      <c r="N474" s="24" t="str">
        <f>IF(OR(L474=$L$2,L474=$L$3),$M$10+1,IFERROR(VLOOKUP(A474,'Repricing Maturity Adj.'!$A$3:$C$170,3,0),(IF(K474&lt;$M$10,"Check",K474))))</f>
        <v>Non_sensitive</v>
      </c>
      <c r="O474" s="62" t="b">
        <f t="shared" si="153"/>
        <v>1</v>
      </c>
      <c r="P474" s="63" t="str">
        <f t="shared" si="154"/>
        <v>Asset</v>
      </c>
      <c r="Q474" s="25">
        <f t="shared" si="155"/>
        <v>0</v>
      </c>
      <c r="R474" s="25">
        <f t="shared" si="156"/>
        <v>0</v>
      </c>
      <c r="S474" s="25">
        <f t="shared" si="157"/>
        <v>0</v>
      </c>
      <c r="T474" s="25">
        <f t="shared" si="158"/>
        <v>0</v>
      </c>
      <c r="U474" s="25">
        <f t="shared" si="159"/>
        <v>0</v>
      </c>
      <c r="V474" s="25">
        <f t="shared" si="160"/>
        <v>0</v>
      </c>
      <c r="W474" s="25">
        <f t="shared" si="161"/>
        <v>0</v>
      </c>
      <c r="X474" s="64">
        <f t="shared" si="162"/>
        <v>0</v>
      </c>
      <c r="Y474" s="64">
        <f t="shared" si="163"/>
        <v>0</v>
      </c>
      <c r="Z474" s="64">
        <f t="shared" si="164"/>
        <v>0</v>
      </c>
      <c r="AA474" s="64">
        <f t="shared" si="165"/>
        <v>0</v>
      </c>
      <c r="AB474" s="64">
        <f t="shared" si="166"/>
        <v>0</v>
      </c>
      <c r="AC474" s="64">
        <f t="shared" si="167"/>
        <v>0</v>
      </c>
      <c r="AD474" s="64">
        <f t="shared" si="168"/>
        <v>0</v>
      </c>
      <c r="AE474" s="64">
        <f t="shared" si="169"/>
        <v>0</v>
      </c>
      <c r="AF474" s="64">
        <f t="shared" si="170"/>
        <v>0</v>
      </c>
      <c r="AG474" s="29">
        <f t="shared" si="171"/>
        <v>-409.01</v>
      </c>
    </row>
    <row r="475" spans="1:33">
      <c r="A475" s="265">
        <v>12310005</v>
      </c>
      <c r="B475" s="265" t="s">
        <v>398</v>
      </c>
      <c r="C475" s="265" t="s">
        <v>411</v>
      </c>
      <c r="D475" s="265">
        <v>100000001</v>
      </c>
      <c r="E475" s="265" t="s">
        <v>51</v>
      </c>
      <c r="F475" s="265" t="s">
        <v>0</v>
      </c>
      <c r="G475" s="266">
        <v>-518.4</v>
      </c>
      <c r="H475" s="266">
        <v>-518.4</v>
      </c>
      <c r="I475" s="268">
        <v>44621</v>
      </c>
      <c r="J475" s="268">
        <v>45991</v>
      </c>
      <c r="K475" s="267"/>
      <c r="L475" s="224" t="str">
        <f t="shared" si="172"/>
        <v>12310005_AUD_100000001_NONGHYUP BANK SYDNEY BRANCH</v>
      </c>
      <c r="M475" s="221">
        <f t="shared" si="152"/>
        <v>-518.4</v>
      </c>
      <c r="N475" s="24" t="str">
        <f>IF(OR(L475=$L$2,L475=$L$3),$M$10+1,IFERROR(VLOOKUP(A475,'Repricing Maturity Adj.'!$A$3:$C$170,3,0),(IF(K475&lt;$M$10,"Check",K475))))</f>
        <v>Non_sensitive</v>
      </c>
      <c r="O475" s="62" t="b">
        <f t="shared" si="153"/>
        <v>1</v>
      </c>
      <c r="P475" s="63" t="str">
        <f t="shared" si="154"/>
        <v>Asset</v>
      </c>
      <c r="Q475" s="25">
        <f t="shared" si="155"/>
        <v>0</v>
      </c>
      <c r="R475" s="25">
        <f t="shared" si="156"/>
        <v>0</v>
      </c>
      <c r="S475" s="25">
        <f t="shared" si="157"/>
        <v>0</v>
      </c>
      <c r="T475" s="25">
        <f t="shared" si="158"/>
        <v>0</v>
      </c>
      <c r="U475" s="25">
        <f t="shared" si="159"/>
        <v>0</v>
      </c>
      <c r="V475" s="25">
        <f t="shared" si="160"/>
        <v>0</v>
      </c>
      <c r="W475" s="25">
        <f t="shared" si="161"/>
        <v>0</v>
      </c>
      <c r="X475" s="64">
        <f t="shared" si="162"/>
        <v>0</v>
      </c>
      <c r="Y475" s="64">
        <f t="shared" si="163"/>
        <v>0</v>
      </c>
      <c r="Z475" s="64">
        <f t="shared" si="164"/>
        <v>0</v>
      </c>
      <c r="AA475" s="64">
        <f t="shared" si="165"/>
        <v>0</v>
      </c>
      <c r="AB475" s="64">
        <f t="shared" si="166"/>
        <v>0</v>
      </c>
      <c r="AC475" s="64">
        <f t="shared" si="167"/>
        <v>0</v>
      </c>
      <c r="AD475" s="64">
        <f t="shared" si="168"/>
        <v>0</v>
      </c>
      <c r="AE475" s="64">
        <f t="shared" si="169"/>
        <v>0</v>
      </c>
      <c r="AF475" s="64">
        <f t="shared" si="170"/>
        <v>0</v>
      </c>
      <c r="AG475" s="29">
        <f t="shared" si="171"/>
        <v>-518.4</v>
      </c>
    </row>
    <row r="476" spans="1:33">
      <c r="A476" s="265">
        <v>12310005</v>
      </c>
      <c r="B476" s="265" t="s">
        <v>398</v>
      </c>
      <c r="C476" s="265" t="s">
        <v>412</v>
      </c>
      <c r="D476" s="265">
        <v>100000001</v>
      </c>
      <c r="E476" s="265" t="s">
        <v>51</v>
      </c>
      <c r="F476" s="265" t="s">
        <v>0</v>
      </c>
      <c r="G476" s="266">
        <v>-431.37</v>
      </c>
      <c r="H476" s="266">
        <v>-431.37</v>
      </c>
      <c r="I476" s="268">
        <v>44621</v>
      </c>
      <c r="J476" s="268">
        <v>45991</v>
      </c>
      <c r="K476" s="267"/>
      <c r="L476" s="224" t="str">
        <f t="shared" si="172"/>
        <v>12310005_AUD_100000001_NONGHYUP BANK SYDNEY BRANCH</v>
      </c>
      <c r="M476" s="221">
        <f t="shared" si="152"/>
        <v>-431.37</v>
      </c>
      <c r="N476" s="24" t="str">
        <f>IF(OR(L476=$L$2,L476=$L$3),$M$10+1,IFERROR(VLOOKUP(A476,'Repricing Maturity Adj.'!$A$3:$C$170,3,0),(IF(K476&lt;$M$10,"Check",K476))))</f>
        <v>Non_sensitive</v>
      </c>
      <c r="O476" s="62" t="b">
        <f t="shared" si="153"/>
        <v>1</v>
      </c>
      <c r="P476" s="63" t="str">
        <f t="shared" si="154"/>
        <v>Asset</v>
      </c>
      <c r="Q476" s="25">
        <f t="shared" si="155"/>
        <v>0</v>
      </c>
      <c r="R476" s="25">
        <f t="shared" si="156"/>
        <v>0</v>
      </c>
      <c r="S476" s="25">
        <f t="shared" si="157"/>
        <v>0</v>
      </c>
      <c r="T476" s="25">
        <f t="shared" si="158"/>
        <v>0</v>
      </c>
      <c r="U476" s="25">
        <f t="shared" si="159"/>
        <v>0</v>
      </c>
      <c r="V476" s="25">
        <f t="shared" si="160"/>
        <v>0</v>
      </c>
      <c r="W476" s="25">
        <f t="shared" si="161"/>
        <v>0</v>
      </c>
      <c r="X476" s="64">
        <f t="shared" si="162"/>
        <v>0</v>
      </c>
      <c r="Y476" s="64">
        <f t="shared" si="163"/>
        <v>0</v>
      </c>
      <c r="Z476" s="64">
        <f t="shared" si="164"/>
        <v>0</v>
      </c>
      <c r="AA476" s="64">
        <f t="shared" si="165"/>
        <v>0</v>
      </c>
      <c r="AB476" s="64">
        <f t="shared" si="166"/>
        <v>0</v>
      </c>
      <c r="AC476" s="64">
        <f t="shared" si="167"/>
        <v>0</v>
      </c>
      <c r="AD476" s="64">
        <f t="shared" si="168"/>
        <v>0</v>
      </c>
      <c r="AE476" s="64">
        <f t="shared" si="169"/>
        <v>0</v>
      </c>
      <c r="AF476" s="64">
        <f t="shared" si="170"/>
        <v>0</v>
      </c>
      <c r="AG476" s="29">
        <f t="shared" si="171"/>
        <v>-431.37</v>
      </c>
    </row>
    <row r="477" spans="1:33">
      <c r="A477" s="265">
        <v>12310005</v>
      </c>
      <c r="B477" s="265" t="s">
        <v>398</v>
      </c>
      <c r="C477" s="265" t="s">
        <v>413</v>
      </c>
      <c r="D477" s="265">
        <v>100000001</v>
      </c>
      <c r="E477" s="265" t="s">
        <v>51</v>
      </c>
      <c r="F477" s="265" t="s">
        <v>0</v>
      </c>
      <c r="G477" s="266">
        <v>-1330.65</v>
      </c>
      <c r="H477" s="266">
        <v>-1330.65</v>
      </c>
      <c r="I477" s="268">
        <v>44621</v>
      </c>
      <c r="J477" s="268">
        <v>45991</v>
      </c>
      <c r="K477" s="267"/>
      <c r="L477" s="224" t="str">
        <f t="shared" si="172"/>
        <v>12310005_AUD_100000001_NONGHYUP BANK SYDNEY BRANCH</v>
      </c>
      <c r="M477" s="221">
        <f t="shared" si="152"/>
        <v>-1330.65</v>
      </c>
      <c r="N477" s="24" t="str">
        <f>IF(OR(L477=$L$2,L477=$L$3),$M$10+1,IFERROR(VLOOKUP(A477,'Repricing Maturity Adj.'!$A$3:$C$170,3,0),(IF(K477&lt;$M$10,"Check",K477))))</f>
        <v>Non_sensitive</v>
      </c>
      <c r="O477" s="62" t="b">
        <f t="shared" si="153"/>
        <v>1</v>
      </c>
      <c r="P477" s="63" t="str">
        <f t="shared" si="154"/>
        <v>Asset</v>
      </c>
      <c r="Q477" s="25">
        <f t="shared" si="155"/>
        <v>0</v>
      </c>
      <c r="R477" s="25">
        <f t="shared" si="156"/>
        <v>0</v>
      </c>
      <c r="S477" s="25">
        <f t="shared" si="157"/>
        <v>0</v>
      </c>
      <c r="T477" s="25">
        <f t="shared" si="158"/>
        <v>0</v>
      </c>
      <c r="U477" s="25">
        <f t="shared" si="159"/>
        <v>0</v>
      </c>
      <c r="V477" s="25">
        <f t="shared" si="160"/>
        <v>0</v>
      </c>
      <c r="W477" s="25">
        <f t="shared" si="161"/>
        <v>0</v>
      </c>
      <c r="X477" s="64">
        <f t="shared" si="162"/>
        <v>0</v>
      </c>
      <c r="Y477" s="64">
        <f t="shared" si="163"/>
        <v>0</v>
      </c>
      <c r="Z477" s="64">
        <f t="shared" si="164"/>
        <v>0</v>
      </c>
      <c r="AA477" s="64">
        <f t="shared" si="165"/>
        <v>0</v>
      </c>
      <c r="AB477" s="64">
        <f t="shared" si="166"/>
        <v>0</v>
      </c>
      <c r="AC477" s="64">
        <f t="shared" si="167"/>
        <v>0</v>
      </c>
      <c r="AD477" s="64">
        <f t="shared" si="168"/>
        <v>0</v>
      </c>
      <c r="AE477" s="64">
        <f t="shared" si="169"/>
        <v>0</v>
      </c>
      <c r="AF477" s="64">
        <f t="shared" si="170"/>
        <v>0</v>
      </c>
      <c r="AG477" s="29">
        <f t="shared" si="171"/>
        <v>-1330.65</v>
      </c>
    </row>
    <row r="478" spans="1:33">
      <c r="A478" s="265">
        <v>12310005</v>
      </c>
      <c r="B478" s="265" t="s">
        <v>398</v>
      </c>
      <c r="C478" s="265" t="s">
        <v>414</v>
      </c>
      <c r="D478" s="265">
        <v>100000001</v>
      </c>
      <c r="E478" s="265" t="s">
        <v>51</v>
      </c>
      <c r="F478" s="265" t="s">
        <v>0</v>
      </c>
      <c r="G478" s="266">
        <v>-1725.3</v>
      </c>
      <c r="H478" s="266">
        <v>-1725.3</v>
      </c>
      <c r="I478" s="268">
        <v>44621</v>
      </c>
      <c r="J478" s="268">
        <v>45991</v>
      </c>
      <c r="K478" s="267"/>
      <c r="L478" s="224" t="str">
        <f t="shared" si="172"/>
        <v>12310005_AUD_100000001_NONGHYUP BANK SYDNEY BRANCH</v>
      </c>
      <c r="M478" s="221">
        <f t="shared" si="152"/>
        <v>-1725.3</v>
      </c>
      <c r="N478" s="24" t="str">
        <f>IF(OR(L478=$L$2,L478=$L$3),$M$10+1,IFERROR(VLOOKUP(A478,'Repricing Maturity Adj.'!$A$3:$C$170,3,0),(IF(K478&lt;$M$10,"Check",K478))))</f>
        <v>Non_sensitive</v>
      </c>
      <c r="O478" s="62" t="b">
        <f t="shared" si="153"/>
        <v>1</v>
      </c>
      <c r="P478" s="63" t="str">
        <f t="shared" si="154"/>
        <v>Asset</v>
      </c>
      <c r="Q478" s="25">
        <f t="shared" si="155"/>
        <v>0</v>
      </c>
      <c r="R478" s="25">
        <f t="shared" si="156"/>
        <v>0</v>
      </c>
      <c r="S478" s="25">
        <f t="shared" si="157"/>
        <v>0</v>
      </c>
      <c r="T478" s="25">
        <f t="shared" si="158"/>
        <v>0</v>
      </c>
      <c r="U478" s="25">
        <f t="shared" si="159"/>
        <v>0</v>
      </c>
      <c r="V478" s="25">
        <f t="shared" si="160"/>
        <v>0</v>
      </c>
      <c r="W478" s="25">
        <f t="shared" si="161"/>
        <v>0</v>
      </c>
      <c r="X478" s="64">
        <f t="shared" si="162"/>
        <v>0</v>
      </c>
      <c r="Y478" s="64">
        <f t="shared" si="163"/>
        <v>0</v>
      </c>
      <c r="Z478" s="64">
        <f t="shared" si="164"/>
        <v>0</v>
      </c>
      <c r="AA478" s="64">
        <f t="shared" si="165"/>
        <v>0</v>
      </c>
      <c r="AB478" s="64">
        <f t="shared" si="166"/>
        <v>0</v>
      </c>
      <c r="AC478" s="64">
        <f t="shared" si="167"/>
        <v>0</v>
      </c>
      <c r="AD478" s="64">
        <f t="shared" si="168"/>
        <v>0</v>
      </c>
      <c r="AE478" s="64">
        <f t="shared" si="169"/>
        <v>0</v>
      </c>
      <c r="AF478" s="64">
        <f t="shared" si="170"/>
        <v>0</v>
      </c>
      <c r="AG478" s="29">
        <f t="shared" si="171"/>
        <v>-1725.3</v>
      </c>
    </row>
    <row r="479" spans="1:33">
      <c r="A479" s="265">
        <v>12310005</v>
      </c>
      <c r="B479" s="265" t="s">
        <v>398</v>
      </c>
      <c r="C479" s="265" t="s">
        <v>415</v>
      </c>
      <c r="D479" s="265">
        <v>100000001</v>
      </c>
      <c r="E479" s="265" t="s">
        <v>51</v>
      </c>
      <c r="F479" s="265" t="s">
        <v>0</v>
      </c>
      <c r="G479" s="266">
        <v>-1206.04</v>
      </c>
      <c r="H479" s="266">
        <v>-1206.04</v>
      </c>
      <c r="I479" s="268">
        <v>44621</v>
      </c>
      <c r="J479" s="268">
        <v>45961</v>
      </c>
      <c r="K479" s="267"/>
      <c r="L479" s="224" t="str">
        <f t="shared" si="172"/>
        <v>12310005_AUD_100000001_NONGHYUP BANK SYDNEY BRANCH</v>
      </c>
      <c r="M479" s="221">
        <f t="shared" si="152"/>
        <v>-1206.04</v>
      </c>
      <c r="N479" s="24" t="str">
        <f>IF(OR(L479=$L$2,L479=$L$3),$M$10+1,IFERROR(VLOOKUP(A479,'Repricing Maturity Adj.'!$A$3:$C$170,3,0),(IF(K479&lt;$M$10,"Check",K479))))</f>
        <v>Non_sensitive</v>
      </c>
      <c r="O479" s="62" t="b">
        <f t="shared" si="153"/>
        <v>1</v>
      </c>
      <c r="P479" s="63" t="str">
        <f t="shared" si="154"/>
        <v>Asset</v>
      </c>
      <c r="Q479" s="25">
        <f t="shared" si="155"/>
        <v>0</v>
      </c>
      <c r="R479" s="25">
        <f t="shared" si="156"/>
        <v>0</v>
      </c>
      <c r="S479" s="25">
        <f t="shared" si="157"/>
        <v>0</v>
      </c>
      <c r="T479" s="25">
        <f t="shared" si="158"/>
        <v>0</v>
      </c>
      <c r="U479" s="25">
        <f t="shared" si="159"/>
        <v>0</v>
      </c>
      <c r="V479" s="25">
        <f t="shared" si="160"/>
        <v>0</v>
      </c>
      <c r="W479" s="25">
        <f t="shared" si="161"/>
        <v>0</v>
      </c>
      <c r="X479" s="64">
        <f t="shared" si="162"/>
        <v>0</v>
      </c>
      <c r="Y479" s="64">
        <f t="shared" si="163"/>
        <v>0</v>
      </c>
      <c r="Z479" s="64">
        <f t="shared" si="164"/>
        <v>0</v>
      </c>
      <c r="AA479" s="64">
        <f t="shared" si="165"/>
        <v>0</v>
      </c>
      <c r="AB479" s="64">
        <f t="shared" si="166"/>
        <v>0</v>
      </c>
      <c r="AC479" s="64">
        <f t="shared" si="167"/>
        <v>0</v>
      </c>
      <c r="AD479" s="64">
        <f t="shared" si="168"/>
        <v>0</v>
      </c>
      <c r="AE479" s="64">
        <f t="shared" si="169"/>
        <v>0</v>
      </c>
      <c r="AF479" s="64">
        <f t="shared" si="170"/>
        <v>0</v>
      </c>
      <c r="AG479" s="29">
        <f t="shared" si="171"/>
        <v>-1206.04</v>
      </c>
    </row>
    <row r="480" spans="1:33">
      <c r="A480" s="265">
        <v>12310005</v>
      </c>
      <c r="B480" s="265" t="s">
        <v>398</v>
      </c>
      <c r="C480" s="265" t="s">
        <v>416</v>
      </c>
      <c r="D480" s="265">
        <v>100000001</v>
      </c>
      <c r="E480" s="265" t="s">
        <v>51</v>
      </c>
      <c r="F480" s="265" t="s">
        <v>0</v>
      </c>
      <c r="G480" s="266">
        <v>-868.38</v>
      </c>
      <c r="H480" s="266">
        <v>-868.38</v>
      </c>
      <c r="I480" s="268">
        <v>44806</v>
      </c>
      <c r="J480" s="268">
        <v>46265</v>
      </c>
      <c r="K480" s="267"/>
      <c r="L480" s="224" t="str">
        <f t="shared" si="172"/>
        <v>12310005_AUD_100000001_NONGHYUP BANK SYDNEY BRANCH</v>
      </c>
      <c r="M480" s="221">
        <f t="shared" si="152"/>
        <v>-868.38</v>
      </c>
      <c r="N480" s="24" t="str">
        <f>IF(OR(L480=$L$2,L480=$L$3),$M$10+1,IFERROR(VLOOKUP(A480,'Repricing Maturity Adj.'!$A$3:$C$170,3,0),(IF(K480&lt;$M$10,"Check",K480))))</f>
        <v>Non_sensitive</v>
      </c>
      <c r="O480" s="62" t="b">
        <f t="shared" si="153"/>
        <v>1</v>
      </c>
      <c r="P480" s="63" t="str">
        <f t="shared" si="154"/>
        <v>Asset</v>
      </c>
      <c r="Q480" s="25">
        <f t="shared" si="155"/>
        <v>0</v>
      </c>
      <c r="R480" s="25">
        <f t="shared" si="156"/>
        <v>0</v>
      </c>
      <c r="S480" s="25">
        <f t="shared" si="157"/>
        <v>0</v>
      </c>
      <c r="T480" s="25">
        <f t="shared" si="158"/>
        <v>0</v>
      </c>
      <c r="U480" s="25">
        <f t="shared" si="159"/>
        <v>0</v>
      </c>
      <c r="V480" s="25">
        <f t="shared" si="160"/>
        <v>0</v>
      </c>
      <c r="W480" s="25">
        <f t="shared" si="161"/>
        <v>0</v>
      </c>
      <c r="X480" s="64">
        <f t="shared" si="162"/>
        <v>0</v>
      </c>
      <c r="Y480" s="64">
        <f t="shared" si="163"/>
        <v>0</v>
      </c>
      <c r="Z480" s="64">
        <f t="shared" si="164"/>
        <v>0</v>
      </c>
      <c r="AA480" s="64">
        <f t="shared" si="165"/>
        <v>0</v>
      </c>
      <c r="AB480" s="64">
        <f t="shared" si="166"/>
        <v>0</v>
      </c>
      <c r="AC480" s="64">
        <f t="shared" si="167"/>
        <v>0</v>
      </c>
      <c r="AD480" s="64">
        <f t="shared" si="168"/>
        <v>0</v>
      </c>
      <c r="AE480" s="64">
        <f t="shared" si="169"/>
        <v>0</v>
      </c>
      <c r="AF480" s="64">
        <f t="shared" si="170"/>
        <v>0</v>
      </c>
      <c r="AG480" s="29">
        <f t="shared" si="171"/>
        <v>-868.38</v>
      </c>
    </row>
    <row r="481" spans="1:33">
      <c r="A481" s="265">
        <v>12310005</v>
      </c>
      <c r="B481" s="265" t="s">
        <v>398</v>
      </c>
      <c r="C481" s="265" t="s">
        <v>416</v>
      </c>
      <c r="D481" s="265">
        <v>100000001</v>
      </c>
      <c r="E481" s="265" t="s">
        <v>51</v>
      </c>
      <c r="F481" s="265" t="s">
        <v>0</v>
      </c>
      <c r="G481" s="266">
        <v>-4.78</v>
      </c>
      <c r="H481" s="266">
        <v>-4.78</v>
      </c>
      <c r="I481" s="268">
        <v>44806</v>
      </c>
      <c r="J481" s="268">
        <v>46265</v>
      </c>
      <c r="K481" s="267"/>
      <c r="L481" s="224" t="str">
        <f t="shared" si="172"/>
        <v>12310005_AUD_100000001_NONGHYUP BANK SYDNEY BRANCH</v>
      </c>
      <c r="M481" s="221">
        <f t="shared" si="152"/>
        <v>-4.78</v>
      </c>
      <c r="N481" s="24" t="str">
        <f>IF(OR(L481=$L$2,L481=$L$3),$M$10+1,IFERROR(VLOOKUP(A481,'Repricing Maturity Adj.'!$A$3:$C$170,3,0),(IF(K481&lt;$M$10,"Check",K481))))</f>
        <v>Non_sensitive</v>
      </c>
      <c r="O481" s="62" t="b">
        <f t="shared" si="153"/>
        <v>1</v>
      </c>
      <c r="P481" s="63" t="str">
        <f t="shared" si="154"/>
        <v>Asset</v>
      </c>
      <c r="Q481" s="25">
        <f t="shared" si="155"/>
        <v>0</v>
      </c>
      <c r="R481" s="25">
        <f t="shared" si="156"/>
        <v>0</v>
      </c>
      <c r="S481" s="25">
        <f t="shared" si="157"/>
        <v>0</v>
      </c>
      <c r="T481" s="25">
        <f t="shared" si="158"/>
        <v>0</v>
      </c>
      <c r="U481" s="25">
        <f t="shared" si="159"/>
        <v>0</v>
      </c>
      <c r="V481" s="25">
        <f t="shared" si="160"/>
        <v>0</v>
      </c>
      <c r="W481" s="25">
        <f t="shared" si="161"/>
        <v>0</v>
      </c>
      <c r="X481" s="64">
        <f t="shared" si="162"/>
        <v>0</v>
      </c>
      <c r="Y481" s="64">
        <f t="shared" si="163"/>
        <v>0</v>
      </c>
      <c r="Z481" s="64">
        <f t="shared" si="164"/>
        <v>0</v>
      </c>
      <c r="AA481" s="64">
        <f t="shared" si="165"/>
        <v>0</v>
      </c>
      <c r="AB481" s="64">
        <f t="shared" si="166"/>
        <v>0</v>
      </c>
      <c r="AC481" s="64">
        <f t="shared" si="167"/>
        <v>0</v>
      </c>
      <c r="AD481" s="64">
        <f t="shared" si="168"/>
        <v>0</v>
      </c>
      <c r="AE481" s="64">
        <f t="shared" si="169"/>
        <v>0</v>
      </c>
      <c r="AF481" s="64">
        <f t="shared" si="170"/>
        <v>0</v>
      </c>
      <c r="AG481" s="29">
        <f t="shared" si="171"/>
        <v>-4.78</v>
      </c>
    </row>
    <row r="482" spans="1:33">
      <c r="A482" s="265">
        <v>12330001</v>
      </c>
      <c r="B482" s="265" t="s">
        <v>417</v>
      </c>
      <c r="C482" s="265" t="s">
        <v>432</v>
      </c>
      <c r="D482" s="265">
        <v>100000001</v>
      </c>
      <c r="E482" s="265" t="s">
        <v>51</v>
      </c>
      <c r="F482" s="265" t="s">
        <v>0</v>
      </c>
      <c r="G482" s="266">
        <v>-2059099.13</v>
      </c>
      <c r="H482" s="266">
        <v>-2059099.13</v>
      </c>
      <c r="I482" s="267"/>
      <c r="J482" s="267"/>
      <c r="K482" s="267"/>
      <c r="L482" s="224" t="str">
        <f t="shared" si="172"/>
        <v>12330001_AUD_100000001_NONGHYUP BANK SYDNEY BRANCH</v>
      </c>
      <c r="M482" s="221">
        <f t="shared" si="152"/>
        <v>-2059099.13</v>
      </c>
      <c r="N482" s="24" t="str">
        <f>IF(OR(L482=$L$2,L482=$L$3),$M$10+1,IFERROR(VLOOKUP(A482,'Repricing Maturity Adj.'!$A$3:$C$170,3,0),(IF(K482&lt;$M$10,"Check",K482))))</f>
        <v>Non_sensitive</v>
      </c>
      <c r="O482" s="62" t="b">
        <f t="shared" si="153"/>
        <v>1</v>
      </c>
      <c r="P482" s="63" t="str">
        <f t="shared" si="154"/>
        <v>Asset</v>
      </c>
      <c r="Q482" s="25">
        <f t="shared" si="155"/>
        <v>0</v>
      </c>
      <c r="R482" s="25">
        <f t="shared" si="156"/>
        <v>0</v>
      </c>
      <c r="S482" s="25">
        <f t="shared" si="157"/>
        <v>0</v>
      </c>
      <c r="T482" s="25">
        <f t="shared" si="158"/>
        <v>0</v>
      </c>
      <c r="U482" s="25">
        <f t="shared" si="159"/>
        <v>0</v>
      </c>
      <c r="V482" s="25">
        <f t="shared" si="160"/>
        <v>0</v>
      </c>
      <c r="W482" s="25">
        <f t="shared" si="161"/>
        <v>0</v>
      </c>
      <c r="X482" s="64">
        <f t="shared" si="162"/>
        <v>0</v>
      </c>
      <c r="Y482" s="64">
        <f t="shared" si="163"/>
        <v>0</v>
      </c>
      <c r="Z482" s="64">
        <f t="shared" si="164"/>
        <v>0</v>
      </c>
      <c r="AA482" s="64">
        <f t="shared" si="165"/>
        <v>0</v>
      </c>
      <c r="AB482" s="64">
        <f t="shared" si="166"/>
        <v>0</v>
      </c>
      <c r="AC482" s="64">
        <f t="shared" si="167"/>
        <v>0</v>
      </c>
      <c r="AD482" s="64">
        <f t="shared" si="168"/>
        <v>0</v>
      </c>
      <c r="AE482" s="64">
        <f t="shared" si="169"/>
        <v>0</v>
      </c>
      <c r="AF482" s="64">
        <f t="shared" si="170"/>
        <v>0</v>
      </c>
      <c r="AG482" s="29">
        <f t="shared" si="171"/>
        <v>-2059099.13</v>
      </c>
    </row>
    <row r="483" spans="1:33">
      <c r="A483" s="265">
        <v>13101001</v>
      </c>
      <c r="B483" s="265" t="s">
        <v>433</v>
      </c>
      <c r="C483" s="265" t="s">
        <v>284</v>
      </c>
      <c r="D483" s="265">
        <v>100000001</v>
      </c>
      <c r="E483" s="265" t="s">
        <v>51</v>
      </c>
      <c r="F483" s="265" t="s">
        <v>0</v>
      </c>
      <c r="G483" s="266">
        <v>1306153.18</v>
      </c>
      <c r="H483" s="266">
        <v>1306153.18</v>
      </c>
      <c r="I483" s="267"/>
      <c r="J483" s="267"/>
      <c r="K483" s="267"/>
      <c r="L483" s="224" t="str">
        <f t="shared" si="172"/>
        <v>13101001_AUD_100000001_NONGHYUP BANK SYDNEY BRANCH</v>
      </c>
      <c r="M483" s="221">
        <f t="shared" si="152"/>
        <v>1306153.18</v>
      </c>
      <c r="N483" s="24" t="str">
        <f>IF(OR(L483=$L$2,L483=$L$3),$M$10+1,IFERROR(VLOOKUP(A483,'Repricing Maturity Adj.'!$A$3:$C$170,3,0),(IF(K483&lt;$M$10,"Check",K483))))</f>
        <v>Non_sensitive</v>
      </c>
      <c r="O483" s="62" t="b">
        <f t="shared" si="153"/>
        <v>1</v>
      </c>
      <c r="P483" s="63" t="str">
        <f t="shared" si="154"/>
        <v>Asset</v>
      </c>
      <c r="Q483" s="25">
        <f t="shared" si="155"/>
        <v>0</v>
      </c>
      <c r="R483" s="25">
        <f t="shared" si="156"/>
        <v>0</v>
      </c>
      <c r="S483" s="25">
        <f t="shared" si="157"/>
        <v>0</v>
      </c>
      <c r="T483" s="25">
        <f t="shared" si="158"/>
        <v>0</v>
      </c>
      <c r="U483" s="25">
        <f t="shared" si="159"/>
        <v>0</v>
      </c>
      <c r="V483" s="25">
        <f t="shared" si="160"/>
        <v>0</v>
      </c>
      <c r="W483" s="25">
        <f t="shared" si="161"/>
        <v>0</v>
      </c>
      <c r="X483" s="64">
        <f t="shared" si="162"/>
        <v>0</v>
      </c>
      <c r="Y483" s="64">
        <f t="shared" si="163"/>
        <v>0</v>
      </c>
      <c r="Z483" s="64">
        <f t="shared" si="164"/>
        <v>0</v>
      </c>
      <c r="AA483" s="64">
        <f t="shared" si="165"/>
        <v>0</v>
      </c>
      <c r="AB483" s="64">
        <f t="shared" si="166"/>
        <v>0</v>
      </c>
      <c r="AC483" s="64">
        <f t="shared" si="167"/>
        <v>0</v>
      </c>
      <c r="AD483" s="64">
        <f t="shared" si="168"/>
        <v>0</v>
      </c>
      <c r="AE483" s="64">
        <f t="shared" si="169"/>
        <v>0</v>
      </c>
      <c r="AF483" s="64">
        <f t="shared" si="170"/>
        <v>0</v>
      </c>
      <c r="AG483" s="29">
        <f t="shared" si="171"/>
        <v>1306153.18</v>
      </c>
    </row>
    <row r="484" spans="1:33">
      <c r="A484" s="265">
        <v>15100002</v>
      </c>
      <c r="B484" s="265" t="s">
        <v>434</v>
      </c>
      <c r="C484" s="265" t="s">
        <v>435</v>
      </c>
      <c r="D484" s="265">
        <v>100000002</v>
      </c>
      <c r="E484" s="265" t="s">
        <v>50</v>
      </c>
      <c r="F484" s="265" t="s">
        <v>301</v>
      </c>
      <c r="G484" s="266">
        <v>156781.26</v>
      </c>
      <c r="H484" s="266">
        <v>224037.24</v>
      </c>
      <c r="I484" s="267"/>
      <c r="J484" s="267"/>
      <c r="K484" s="267"/>
      <c r="L484" s="224" t="str">
        <f t="shared" si="172"/>
        <v>15100002_USD_100000002_NONGHYUP BANK</v>
      </c>
      <c r="M484" s="221">
        <f t="shared" si="152"/>
        <v>224037.24</v>
      </c>
      <c r="N484" s="24">
        <f>IF(OR(L484=$L$2,L484=$L$3),$M$10+1,IFERROR(VLOOKUP(A484,'Repricing Maturity Adj.'!$A$3:$C$170,3,0),(IF(K484&lt;$M$10,"Check",K484))))</f>
        <v>46073</v>
      </c>
      <c r="O484" s="62" t="b">
        <f t="shared" si="153"/>
        <v>1</v>
      </c>
      <c r="P484" s="63" t="str">
        <f t="shared" si="154"/>
        <v>Asset</v>
      </c>
      <c r="Q484" s="25">
        <f t="shared" si="155"/>
        <v>0</v>
      </c>
      <c r="R484" s="25">
        <f t="shared" si="156"/>
        <v>224037.24</v>
      </c>
      <c r="S484" s="25">
        <f t="shared" si="157"/>
        <v>0</v>
      </c>
      <c r="T484" s="25">
        <f t="shared" si="158"/>
        <v>0</v>
      </c>
      <c r="U484" s="25">
        <f t="shared" si="159"/>
        <v>0</v>
      </c>
      <c r="V484" s="25">
        <f t="shared" si="160"/>
        <v>0</v>
      </c>
      <c r="W484" s="25">
        <f t="shared" si="161"/>
        <v>0</v>
      </c>
      <c r="X484" s="64">
        <f t="shared" si="162"/>
        <v>0</v>
      </c>
      <c r="Y484" s="64">
        <f t="shared" si="163"/>
        <v>0</v>
      </c>
      <c r="Z484" s="64">
        <f t="shared" si="164"/>
        <v>0</v>
      </c>
      <c r="AA484" s="64">
        <f t="shared" si="165"/>
        <v>0</v>
      </c>
      <c r="AB484" s="64">
        <f t="shared" si="166"/>
        <v>0</v>
      </c>
      <c r="AC484" s="64">
        <f t="shared" si="167"/>
        <v>0</v>
      </c>
      <c r="AD484" s="64">
        <f t="shared" si="168"/>
        <v>0</v>
      </c>
      <c r="AE484" s="64">
        <f t="shared" si="169"/>
        <v>0</v>
      </c>
      <c r="AF484" s="64">
        <f t="shared" si="170"/>
        <v>0</v>
      </c>
      <c r="AG484" s="29">
        <f t="shared" si="171"/>
        <v>0</v>
      </c>
    </row>
    <row r="485" spans="1:33">
      <c r="A485" s="265">
        <v>20122001</v>
      </c>
      <c r="B485" s="265" t="s">
        <v>436</v>
      </c>
      <c r="C485" s="265" t="s">
        <v>654</v>
      </c>
      <c r="D485" s="265">
        <v>100000041</v>
      </c>
      <c r="E485" s="265" t="s">
        <v>655</v>
      </c>
      <c r="F485" s="265" t="s">
        <v>0</v>
      </c>
      <c r="G485" s="266">
        <v>20100000</v>
      </c>
      <c r="H485" s="266">
        <v>20100000</v>
      </c>
      <c r="I485" s="268">
        <v>45825</v>
      </c>
      <c r="J485" s="268">
        <v>46098</v>
      </c>
      <c r="K485" s="268">
        <v>46098</v>
      </c>
      <c r="L485" s="224" t="str">
        <f t="shared" si="172"/>
        <v>20122001_AUD_100000041_POSCO AUSTRALIA PTY LTD</v>
      </c>
      <c r="M485" s="221">
        <f t="shared" si="152"/>
        <v>20100000</v>
      </c>
      <c r="N485" s="24">
        <f>IF(OR(L485=$L$2,L485=$L$3),$M$10+1,IFERROR(VLOOKUP(A485,'Repricing Maturity Adj.'!$A$3:$C$170,3,0),(IF(K485&lt;$M$10,"Check",K485))))</f>
        <v>46098</v>
      </c>
      <c r="O485" s="62" t="b">
        <f t="shared" si="153"/>
        <v>1</v>
      </c>
      <c r="P485" s="63" t="str">
        <f t="shared" si="154"/>
        <v>Liability</v>
      </c>
      <c r="Q485" s="25">
        <f t="shared" si="155"/>
        <v>0</v>
      </c>
      <c r="R485" s="25">
        <f t="shared" si="156"/>
        <v>20100000</v>
      </c>
      <c r="S485" s="25">
        <f t="shared" si="157"/>
        <v>0</v>
      </c>
      <c r="T485" s="25">
        <f t="shared" si="158"/>
        <v>0</v>
      </c>
      <c r="U485" s="25">
        <f t="shared" si="159"/>
        <v>0</v>
      </c>
      <c r="V485" s="25">
        <f t="shared" si="160"/>
        <v>0</v>
      </c>
      <c r="W485" s="25">
        <f t="shared" si="161"/>
        <v>0</v>
      </c>
      <c r="X485" s="64">
        <f t="shared" si="162"/>
        <v>0</v>
      </c>
      <c r="Y485" s="64">
        <f t="shared" si="163"/>
        <v>0</v>
      </c>
      <c r="Z485" s="64">
        <f t="shared" si="164"/>
        <v>0</v>
      </c>
      <c r="AA485" s="64">
        <f t="shared" si="165"/>
        <v>0</v>
      </c>
      <c r="AB485" s="64">
        <f t="shared" si="166"/>
        <v>0</v>
      </c>
      <c r="AC485" s="64">
        <f t="shared" si="167"/>
        <v>0</v>
      </c>
      <c r="AD485" s="64">
        <f t="shared" si="168"/>
        <v>0</v>
      </c>
      <c r="AE485" s="64">
        <f t="shared" si="169"/>
        <v>0</v>
      </c>
      <c r="AF485" s="64">
        <f t="shared" si="170"/>
        <v>0</v>
      </c>
      <c r="AG485" s="29">
        <f t="shared" si="171"/>
        <v>0</v>
      </c>
    </row>
    <row r="486" spans="1:33">
      <c r="A486" s="265">
        <v>20122001</v>
      </c>
      <c r="B486" s="265" t="s">
        <v>436</v>
      </c>
      <c r="C486" s="265" t="s">
        <v>877</v>
      </c>
      <c r="D486" s="265">
        <v>100000032</v>
      </c>
      <c r="E486" s="265" t="s">
        <v>568</v>
      </c>
      <c r="F486" s="265" t="s">
        <v>0</v>
      </c>
      <c r="G486" s="266">
        <v>5000000</v>
      </c>
      <c r="H486" s="266">
        <v>5000000</v>
      </c>
      <c r="I486" s="268">
        <v>46015</v>
      </c>
      <c r="J486" s="268">
        <v>46106</v>
      </c>
      <c r="K486" s="268">
        <v>46106</v>
      </c>
      <c r="L486" s="224" t="str">
        <f t="shared" si="172"/>
        <v>20122001_AUD_100000032_KORES NARRABRI PTY LIMITED</v>
      </c>
      <c r="M486" s="221">
        <f t="shared" si="152"/>
        <v>5000000</v>
      </c>
      <c r="N486" s="24">
        <f>IF(OR(L486=$L$2,L486=$L$3),$M$10+1,IFERROR(VLOOKUP(A486,'Repricing Maturity Adj.'!$A$3:$C$170,3,0),(IF(K486&lt;$M$10,"Check",K486))))</f>
        <v>46106</v>
      </c>
      <c r="O486" s="62" t="b">
        <f t="shared" si="153"/>
        <v>1</v>
      </c>
      <c r="P486" s="63" t="str">
        <f t="shared" si="154"/>
        <v>Liability</v>
      </c>
      <c r="Q486" s="25">
        <f t="shared" si="155"/>
        <v>0</v>
      </c>
      <c r="R486" s="25">
        <f t="shared" si="156"/>
        <v>5000000</v>
      </c>
      <c r="S486" s="25">
        <f t="shared" si="157"/>
        <v>0</v>
      </c>
      <c r="T486" s="25">
        <f t="shared" si="158"/>
        <v>0</v>
      </c>
      <c r="U486" s="25">
        <f t="shared" si="159"/>
        <v>0</v>
      </c>
      <c r="V486" s="25">
        <f t="shared" si="160"/>
        <v>0</v>
      </c>
      <c r="W486" s="25">
        <f t="shared" si="161"/>
        <v>0</v>
      </c>
      <c r="X486" s="64">
        <f t="shared" si="162"/>
        <v>0</v>
      </c>
      <c r="Y486" s="64">
        <f t="shared" si="163"/>
        <v>0</v>
      </c>
      <c r="Z486" s="64">
        <f t="shared" si="164"/>
        <v>0</v>
      </c>
      <c r="AA486" s="64">
        <f t="shared" si="165"/>
        <v>0</v>
      </c>
      <c r="AB486" s="64">
        <f t="shared" si="166"/>
        <v>0</v>
      </c>
      <c r="AC486" s="64">
        <f t="shared" si="167"/>
        <v>0</v>
      </c>
      <c r="AD486" s="64">
        <f t="shared" si="168"/>
        <v>0</v>
      </c>
      <c r="AE486" s="64">
        <f t="shared" si="169"/>
        <v>0</v>
      </c>
      <c r="AF486" s="64">
        <f t="shared" si="170"/>
        <v>0</v>
      </c>
      <c r="AG486" s="29">
        <f t="shared" si="171"/>
        <v>0</v>
      </c>
    </row>
    <row r="487" spans="1:33">
      <c r="A487" s="265">
        <v>20123001</v>
      </c>
      <c r="B487" s="265" t="s">
        <v>526</v>
      </c>
      <c r="C487" s="265" t="s">
        <v>867</v>
      </c>
      <c r="D487" s="265">
        <v>100000044</v>
      </c>
      <c r="E487" s="265" t="s">
        <v>835</v>
      </c>
      <c r="F487" s="265" t="s">
        <v>0</v>
      </c>
      <c r="G487" s="266">
        <v>9902480.9100000001</v>
      </c>
      <c r="H487" s="266">
        <v>9902480.9100000001</v>
      </c>
      <c r="I487" s="268">
        <v>45985</v>
      </c>
      <c r="J487" s="268">
        <v>46076</v>
      </c>
      <c r="K487" s="268">
        <v>46076</v>
      </c>
      <c r="L487" s="224" t="str">
        <f t="shared" si="172"/>
        <v>20123001_AUD_100000044_MYSTATE BANK LIMITED</v>
      </c>
      <c r="M487" s="221">
        <f t="shared" si="152"/>
        <v>9902480.9100000001</v>
      </c>
      <c r="N487" s="24">
        <f>IF(OR(L487=$L$2,L487=$L$3),$M$10+1,IFERROR(VLOOKUP(A487,'Repricing Maturity Adj.'!$A$3:$C$170,3,0),(IF(K487&lt;$M$10,"Check",K487))))</f>
        <v>46076</v>
      </c>
      <c r="O487" s="62" t="b">
        <f t="shared" si="153"/>
        <v>1</v>
      </c>
      <c r="P487" s="63" t="str">
        <f t="shared" si="154"/>
        <v>Liability</v>
      </c>
      <c r="Q487" s="25">
        <f t="shared" si="155"/>
        <v>0</v>
      </c>
      <c r="R487" s="25">
        <f t="shared" si="156"/>
        <v>9902480.9100000001</v>
      </c>
      <c r="S487" s="25">
        <f t="shared" si="157"/>
        <v>0</v>
      </c>
      <c r="T487" s="25">
        <f t="shared" si="158"/>
        <v>0</v>
      </c>
      <c r="U487" s="25">
        <f t="shared" si="159"/>
        <v>0</v>
      </c>
      <c r="V487" s="25">
        <f t="shared" si="160"/>
        <v>0</v>
      </c>
      <c r="W487" s="25">
        <f t="shared" si="161"/>
        <v>0</v>
      </c>
      <c r="X487" s="64">
        <f t="shared" si="162"/>
        <v>0</v>
      </c>
      <c r="Y487" s="64">
        <f t="shared" si="163"/>
        <v>0</v>
      </c>
      <c r="Z487" s="64">
        <f t="shared" si="164"/>
        <v>0</v>
      </c>
      <c r="AA487" s="64">
        <f t="shared" si="165"/>
        <v>0</v>
      </c>
      <c r="AB487" s="64">
        <f t="shared" si="166"/>
        <v>0</v>
      </c>
      <c r="AC487" s="64">
        <f t="shared" si="167"/>
        <v>0</v>
      </c>
      <c r="AD487" s="64">
        <f t="shared" si="168"/>
        <v>0</v>
      </c>
      <c r="AE487" s="64">
        <f t="shared" si="169"/>
        <v>0</v>
      </c>
      <c r="AF487" s="64">
        <f t="shared" si="170"/>
        <v>0</v>
      </c>
      <c r="AG487" s="29">
        <f t="shared" si="171"/>
        <v>0</v>
      </c>
    </row>
    <row r="488" spans="1:33">
      <c r="A488" s="265">
        <v>20123001</v>
      </c>
      <c r="B488" s="265" t="s">
        <v>526</v>
      </c>
      <c r="C488" s="265" t="s">
        <v>868</v>
      </c>
      <c r="D488" s="265">
        <v>100000046</v>
      </c>
      <c r="E488" s="265" t="s">
        <v>869</v>
      </c>
      <c r="F488" s="265" t="s">
        <v>0</v>
      </c>
      <c r="G488" s="266">
        <v>4950995.99</v>
      </c>
      <c r="H488" s="266">
        <v>4950995.99</v>
      </c>
      <c r="I488" s="268">
        <v>45988</v>
      </c>
      <c r="J488" s="268">
        <v>46079</v>
      </c>
      <c r="K488" s="268">
        <v>46079</v>
      </c>
      <c r="L488" s="224" t="str">
        <f t="shared" si="172"/>
        <v>20123001_AUD_100000046_AUSWIDE BANK LTD</v>
      </c>
      <c r="M488" s="221">
        <f t="shared" si="152"/>
        <v>4950995.99</v>
      </c>
      <c r="N488" s="24">
        <f>IF(OR(L488=$L$2,L488=$L$3),$M$10+1,IFERROR(VLOOKUP(A488,'Repricing Maturity Adj.'!$A$3:$C$170,3,0),(IF(K488&lt;$M$10,"Check",K488))))</f>
        <v>46079</v>
      </c>
      <c r="O488" s="62" t="b">
        <f t="shared" si="153"/>
        <v>1</v>
      </c>
      <c r="P488" s="63" t="str">
        <f t="shared" si="154"/>
        <v>Liability</v>
      </c>
      <c r="Q488" s="25">
        <f t="shared" si="155"/>
        <v>0</v>
      </c>
      <c r="R488" s="25">
        <f t="shared" si="156"/>
        <v>4950995.99</v>
      </c>
      <c r="S488" s="25">
        <f t="shared" si="157"/>
        <v>0</v>
      </c>
      <c r="T488" s="25">
        <f t="shared" si="158"/>
        <v>0</v>
      </c>
      <c r="U488" s="25">
        <f t="shared" si="159"/>
        <v>0</v>
      </c>
      <c r="V488" s="25">
        <f t="shared" si="160"/>
        <v>0</v>
      </c>
      <c r="W488" s="25">
        <f t="shared" si="161"/>
        <v>0</v>
      </c>
      <c r="X488" s="64">
        <f t="shared" si="162"/>
        <v>0</v>
      </c>
      <c r="Y488" s="64">
        <f t="shared" si="163"/>
        <v>0</v>
      </c>
      <c r="Z488" s="64">
        <f t="shared" si="164"/>
        <v>0</v>
      </c>
      <c r="AA488" s="64">
        <f t="shared" si="165"/>
        <v>0</v>
      </c>
      <c r="AB488" s="64">
        <f t="shared" si="166"/>
        <v>0</v>
      </c>
      <c r="AC488" s="64">
        <f t="shared" si="167"/>
        <v>0</v>
      </c>
      <c r="AD488" s="64">
        <f t="shared" si="168"/>
        <v>0</v>
      </c>
      <c r="AE488" s="64">
        <f t="shared" si="169"/>
        <v>0</v>
      </c>
      <c r="AF488" s="64">
        <f t="shared" si="170"/>
        <v>0</v>
      </c>
      <c r="AG488" s="29">
        <f t="shared" si="171"/>
        <v>0</v>
      </c>
    </row>
    <row r="489" spans="1:33">
      <c r="A489" s="265">
        <v>20123001</v>
      </c>
      <c r="B489" s="265" t="s">
        <v>526</v>
      </c>
      <c r="C489" s="265" t="s">
        <v>886</v>
      </c>
      <c r="D489" s="265">
        <v>100000022</v>
      </c>
      <c r="E489" s="265" t="s">
        <v>656</v>
      </c>
      <c r="F489" s="265" t="s">
        <v>0</v>
      </c>
      <c r="G489" s="266">
        <v>4950262.74</v>
      </c>
      <c r="H489" s="266">
        <v>4950262.74</v>
      </c>
      <c r="I489" s="268">
        <v>46028</v>
      </c>
      <c r="J489" s="268">
        <v>46119</v>
      </c>
      <c r="K489" s="268">
        <v>46119</v>
      </c>
      <c r="L489" s="224" t="str">
        <f t="shared" si="172"/>
        <v>20123001_AUD_100000022_QUEENSLAND COUNTRY BANK LIMITED</v>
      </c>
      <c r="M489" s="221">
        <f t="shared" si="152"/>
        <v>4950262.74</v>
      </c>
      <c r="N489" s="24">
        <f>IF(OR(L489=$L$2,L489=$L$3),$M$10+1,IFERROR(VLOOKUP(A489,'Repricing Maturity Adj.'!$A$3:$C$170,3,0),(IF(K489&lt;$M$10,"Check",K489))))</f>
        <v>46119</v>
      </c>
      <c r="O489" s="62" t="b">
        <f t="shared" si="153"/>
        <v>1</v>
      </c>
      <c r="P489" s="63" t="str">
        <f t="shared" si="154"/>
        <v>Liability</v>
      </c>
      <c r="Q489" s="25">
        <f t="shared" si="155"/>
        <v>0</v>
      </c>
      <c r="R489" s="25">
        <f t="shared" si="156"/>
        <v>0</v>
      </c>
      <c r="S489" s="25">
        <f t="shared" si="157"/>
        <v>4950262.74</v>
      </c>
      <c r="T489" s="25">
        <f t="shared" si="158"/>
        <v>0</v>
      </c>
      <c r="U489" s="25">
        <f t="shared" si="159"/>
        <v>0</v>
      </c>
      <c r="V489" s="25">
        <f t="shared" si="160"/>
        <v>0</v>
      </c>
      <c r="W489" s="25">
        <f t="shared" si="161"/>
        <v>0</v>
      </c>
      <c r="X489" s="64">
        <f t="shared" si="162"/>
        <v>0</v>
      </c>
      <c r="Y489" s="64">
        <f t="shared" si="163"/>
        <v>0</v>
      </c>
      <c r="Z489" s="64">
        <f t="shared" si="164"/>
        <v>0</v>
      </c>
      <c r="AA489" s="64">
        <f t="shared" si="165"/>
        <v>0</v>
      </c>
      <c r="AB489" s="64">
        <f t="shared" si="166"/>
        <v>0</v>
      </c>
      <c r="AC489" s="64">
        <f t="shared" si="167"/>
        <v>0</v>
      </c>
      <c r="AD489" s="64">
        <f t="shared" si="168"/>
        <v>0</v>
      </c>
      <c r="AE489" s="64">
        <f t="shared" si="169"/>
        <v>0</v>
      </c>
      <c r="AF489" s="64">
        <f t="shared" si="170"/>
        <v>0</v>
      </c>
      <c r="AG489" s="29">
        <f t="shared" si="171"/>
        <v>0</v>
      </c>
    </row>
    <row r="490" spans="1:33">
      <c r="A490" s="265">
        <v>20402003</v>
      </c>
      <c r="B490" s="265" t="s">
        <v>437</v>
      </c>
      <c r="C490" s="265" t="s">
        <v>836</v>
      </c>
      <c r="D490" s="265">
        <v>100000018</v>
      </c>
      <c r="E490" s="265" t="s">
        <v>438</v>
      </c>
      <c r="F490" s="265" t="s">
        <v>301</v>
      </c>
      <c r="G490" s="266">
        <v>10000000</v>
      </c>
      <c r="H490" s="266">
        <v>14289797.08</v>
      </c>
      <c r="I490" s="268">
        <v>45923</v>
      </c>
      <c r="J490" s="268">
        <v>46288</v>
      </c>
      <c r="K490" s="268">
        <v>46105</v>
      </c>
      <c r="L490" s="224" t="str">
        <f t="shared" si="172"/>
        <v>20402003_USD_100000018_BANK OF AMERICA N.A. (SYDNEY)</v>
      </c>
      <c r="M490" s="221">
        <f t="shared" si="152"/>
        <v>14289797.08</v>
      </c>
      <c r="N490" s="24">
        <f>IF(OR(L490=$L$2,L490=$L$3),$M$10+1,IFERROR(VLOOKUP(A490,'Repricing Maturity Adj.'!$A$3:$C$170,3,0),(IF(K490&lt;$M$10,"Check",K490))))</f>
        <v>46105</v>
      </c>
      <c r="O490" s="62" t="b">
        <f t="shared" si="153"/>
        <v>1</v>
      </c>
      <c r="P490" s="63" t="str">
        <f t="shared" si="154"/>
        <v>Liability</v>
      </c>
      <c r="Q490" s="25">
        <f t="shared" si="155"/>
        <v>0</v>
      </c>
      <c r="R490" s="25">
        <f t="shared" si="156"/>
        <v>14289797.08</v>
      </c>
      <c r="S490" s="25">
        <f t="shared" si="157"/>
        <v>0</v>
      </c>
      <c r="T490" s="25">
        <f t="shared" si="158"/>
        <v>0</v>
      </c>
      <c r="U490" s="25">
        <f t="shared" si="159"/>
        <v>0</v>
      </c>
      <c r="V490" s="25">
        <f t="shared" si="160"/>
        <v>0</v>
      </c>
      <c r="W490" s="25">
        <f t="shared" si="161"/>
        <v>0</v>
      </c>
      <c r="X490" s="64">
        <f t="shared" si="162"/>
        <v>0</v>
      </c>
      <c r="Y490" s="64">
        <f t="shared" si="163"/>
        <v>0</v>
      </c>
      <c r="Z490" s="64">
        <f t="shared" si="164"/>
        <v>0</v>
      </c>
      <c r="AA490" s="64">
        <f t="shared" si="165"/>
        <v>0</v>
      </c>
      <c r="AB490" s="64">
        <f t="shared" si="166"/>
        <v>0</v>
      </c>
      <c r="AC490" s="64">
        <f t="shared" si="167"/>
        <v>0</v>
      </c>
      <c r="AD490" s="64">
        <f t="shared" si="168"/>
        <v>0</v>
      </c>
      <c r="AE490" s="64">
        <f t="shared" si="169"/>
        <v>0</v>
      </c>
      <c r="AF490" s="64">
        <f t="shared" si="170"/>
        <v>0</v>
      </c>
      <c r="AG490" s="29">
        <f t="shared" si="171"/>
        <v>0</v>
      </c>
    </row>
    <row r="491" spans="1:33">
      <c r="A491" s="265">
        <v>20402003</v>
      </c>
      <c r="B491" s="265" t="s">
        <v>437</v>
      </c>
      <c r="C491" s="265" t="s">
        <v>897</v>
      </c>
      <c r="D491" s="265">
        <v>100000018</v>
      </c>
      <c r="E491" s="265" t="s">
        <v>438</v>
      </c>
      <c r="F491" s="265" t="s">
        <v>301</v>
      </c>
      <c r="G491" s="266">
        <v>7000000</v>
      </c>
      <c r="H491" s="266">
        <v>10002857.960000001</v>
      </c>
      <c r="I491" s="268">
        <v>46044</v>
      </c>
      <c r="J491" s="268">
        <v>46409</v>
      </c>
      <c r="K491" s="268">
        <v>46135</v>
      </c>
      <c r="L491" s="224" t="str">
        <f t="shared" si="172"/>
        <v>20402003_USD_100000018_BANK OF AMERICA N.A. (SYDNEY)</v>
      </c>
      <c r="M491" s="221">
        <f t="shared" si="152"/>
        <v>10002857.960000001</v>
      </c>
      <c r="N491" s="24">
        <f>IF(OR(L491=$L$2,L491=$L$3),$M$10+1,IFERROR(VLOOKUP(A491,'Repricing Maturity Adj.'!$A$3:$C$170,3,0),(IF(K491&lt;$M$10,"Check",K491))))</f>
        <v>46135</v>
      </c>
      <c r="O491" s="62" t="b">
        <f t="shared" si="153"/>
        <v>1</v>
      </c>
      <c r="P491" s="63" t="str">
        <f t="shared" si="154"/>
        <v>Liability</v>
      </c>
      <c r="Q491" s="25">
        <f t="shared" si="155"/>
        <v>0</v>
      </c>
      <c r="R491" s="25">
        <f t="shared" si="156"/>
        <v>0</v>
      </c>
      <c r="S491" s="25">
        <f t="shared" si="157"/>
        <v>10002857.960000001</v>
      </c>
      <c r="T491" s="25">
        <f t="shared" si="158"/>
        <v>0</v>
      </c>
      <c r="U491" s="25">
        <f t="shared" si="159"/>
        <v>0</v>
      </c>
      <c r="V491" s="25">
        <f t="shared" si="160"/>
        <v>0</v>
      </c>
      <c r="W491" s="25">
        <f t="shared" si="161"/>
        <v>0</v>
      </c>
      <c r="X491" s="64">
        <f t="shared" si="162"/>
        <v>0</v>
      </c>
      <c r="Y491" s="64">
        <f t="shared" si="163"/>
        <v>0</v>
      </c>
      <c r="Z491" s="64">
        <f t="shared" si="164"/>
        <v>0</v>
      </c>
      <c r="AA491" s="64">
        <f t="shared" si="165"/>
        <v>0</v>
      </c>
      <c r="AB491" s="64">
        <f t="shared" si="166"/>
        <v>0</v>
      </c>
      <c r="AC491" s="64">
        <f t="shared" si="167"/>
        <v>0</v>
      </c>
      <c r="AD491" s="64">
        <f t="shared" si="168"/>
        <v>0</v>
      </c>
      <c r="AE491" s="64">
        <f t="shared" si="169"/>
        <v>0</v>
      </c>
      <c r="AF491" s="64">
        <f t="shared" si="170"/>
        <v>0</v>
      </c>
      <c r="AG491" s="29">
        <f t="shared" si="171"/>
        <v>0</v>
      </c>
    </row>
    <row r="492" spans="1:33">
      <c r="A492" s="265">
        <v>20406001</v>
      </c>
      <c r="B492" s="265" t="s">
        <v>837</v>
      </c>
      <c r="C492" s="265" t="s">
        <v>838</v>
      </c>
      <c r="D492" s="265">
        <v>100000043</v>
      </c>
      <c r="E492" s="265" t="s">
        <v>839</v>
      </c>
      <c r="F492" s="265" t="s">
        <v>0</v>
      </c>
      <c r="G492" s="266">
        <v>50000000</v>
      </c>
      <c r="H492" s="266">
        <v>50000000</v>
      </c>
      <c r="I492" s="268">
        <v>45856</v>
      </c>
      <c r="J492" s="268">
        <v>46223</v>
      </c>
      <c r="K492" s="268">
        <v>46132</v>
      </c>
      <c r="L492" s="224" t="str">
        <f t="shared" si="172"/>
        <v>20406001_AUD_100000043_MUFG SECURITIES EMEA PLC</v>
      </c>
      <c r="M492" s="221">
        <f t="shared" si="152"/>
        <v>50000000</v>
      </c>
      <c r="N492" s="24">
        <f>IF(OR(L492=$L$2,L492=$L$3),$M$10+1,IFERROR(VLOOKUP(A492,'Repricing Maturity Adj.'!$A$3:$C$170,3,0),(IF(K492&lt;$M$10,"Check",K492))))</f>
        <v>46132</v>
      </c>
      <c r="O492" s="62" t="b">
        <f t="shared" si="153"/>
        <v>1</v>
      </c>
      <c r="P492" s="63" t="str">
        <f t="shared" si="154"/>
        <v>Liability</v>
      </c>
      <c r="Q492" s="25">
        <f t="shared" si="155"/>
        <v>0</v>
      </c>
      <c r="R492" s="25">
        <f t="shared" si="156"/>
        <v>0</v>
      </c>
      <c r="S492" s="25">
        <f t="shared" si="157"/>
        <v>50000000</v>
      </c>
      <c r="T492" s="25">
        <f t="shared" si="158"/>
        <v>0</v>
      </c>
      <c r="U492" s="25">
        <f t="shared" si="159"/>
        <v>0</v>
      </c>
      <c r="V492" s="25">
        <f t="shared" si="160"/>
        <v>0</v>
      </c>
      <c r="W492" s="25">
        <f t="shared" si="161"/>
        <v>0</v>
      </c>
      <c r="X492" s="64">
        <f t="shared" si="162"/>
        <v>0</v>
      </c>
      <c r="Y492" s="64">
        <f t="shared" si="163"/>
        <v>0</v>
      </c>
      <c r="Z492" s="64">
        <f t="shared" si="164"/>
        <v>0</v>
      </c>
      <c r="AA492" s="64">
        <f t="shared" si="165"/>
        <v>0</v>
      </c>
      <c r="AB492" s="64">
        <f t="shared" si="166"/>
        <v>0</v>
      </c>
      <c r="AC492" s="64">
        <f t="shared" si="167"/>
        <v>0</v>
      </c>
      <c r="AD492" s="64">
        <f t="shared" si="168"/>
        <v>0</v>
      </c>
      <c r="AE492" s="64">
        <f t="shared" si="169"/>
        <v>0</v>
      </c>
      <c r="AF492" s="64">
        <f t="shared" si="170"/>
        <v>0</v>
      </c>
      <c r="AG492" s="29">
        <f t="shared" si="171"/>
        <v>0</v>
      </c>
    </row>
    <row r="493" spans="1:33">
      <c r="A493" s="265">
        <v>20910003</v>
      </c>
      <c r="B493" s="265" t="s">
        <v>439</v>
      </c>
      <c r="C493" s="265" t="s">
        <v>654</v>
      </c>
      <c r="D493" s="265">
        <v>100000041</v>
      </c>
      <c r="E493" s="265" t="s">
        <v>655</v>
      </c>
      <c r="F493" s="265" t="s">
        <v>0</v>
      </c>
      <c r="G493" s="266">
        <v>534770.13</v>
      </c>
      <c r="H493" s="266">
        <v>534770.13</v>
      </c>
      <c r="I493" s="268">
        <v>45825</v>
      </c>
      <c r="J493" s="268">
        <v>46098</v>
      </c>
      <c r="K493" s="268">
        <v>46098</v>
      </c>
      <c r="L493" s="224" t="str">
        <f t="shared" si="172"/>
        <v>20910003_AUD_100000041_POSCO AUSTRALIA PTY LTD</v>
      </c>
      <c r="M493" s="221">
        <f t="shared" si="152"/>
        <v>534770.13</v>
      </c>
      <c r="N493" s="24" t="str">
        <f>IF(OR(L493=$L$2,L493=$L$3),$M$10+1,IFERROR(VLOOKUP(A493,'Repricing Maturity Adj.'!$A$3:$C$170,3,0),(IF(K493&lt;$M$10,"Check",K493))))</f>
        <v>Non_sensitive</v>
      </c>
      <c r="O493" s="62" t="b">
        <f t="shared" si="153"/>
        <v>1</v>
      </c>
      <c r="P493" s="63" t="str">
        <f t="shared" si="154"/>
        <v>Liability</v>
      </c>
      <c r="Q493" s="25">
        <f t="shared" si="155"/>
        <v>0</v>
      </c>
      <c r="R493" s="25">
        <f t="shared" si="156"/>
        <v>0</v>
      </c>
      <c r="S493" s="25">
        <f t="shared" si="157"/>
        <v>0</v>
      </c>
      <c r="T493" s="25">
        <f t="shared" si="158"/>
        <v>0</v>
      </c>
      <c r="U493" s="25">
        <f t="shared" si="159"/>
        <v>0</v>
      </c>
      <c r="V493" s="25">
        <f t="shared" si="160"/>
        <v>0</v>
      </c>
      <c r="W493" s="25">
        <f t="shared" si="161"/>
        <v>0</v>
      </c>
      <c r="X493" s="64">
        <f t="shared" si="162"/>
        <v>0</v>
      </c>
      <c r="Y493" s="64">
        <f t="shared" si="163"/>
        <v>0</v>
      </c>
      <c r="Z493" s="64">
        <f t="shared" si="164"/>
        <v>0</v>
      </c>
      <c r="AA493" s="64">
        <f t="shared" si="165"/>
        <v>0</v>
      </c>
      <c r="AB493" s="64">
        <f t="shared" si="166"/>
        <v>0</v>
      </c>
      <c r="AC493" s="64">
        <f t="shared" si="167"/>
        <v>0</v>
      </c>
      <c r="AD493" s="64">
        <f t="shared" si="168"/>
        <v>0</v>
      </c>
      <c r="AE493" s="64">
        <f t="shared" si="169"/>
        <v>0</v>
      </c>
      <c r="AF493" s="64">
        <f t="shared" si="170"/>
        <v>0</v>
      </c>
      <c r="AG493" s="29">
        <f t="shared" si="171"/>
        <v>534770.13</v>
      </c>
    </row>
    <row r="494" spans="1:33">
      <c r="A494" s="265">
        <v>20910003</v>
      </c>
      <c r="B494" s="265" t="s">
        <v>439</v>
      </c>
      <c r="C494" s="265" t="s">
        <v>877</v>
      </c>
      <c r="D494" s="265">
        <v>100000032</v>
      </c>
      <c r="E494" s="265" t="s">
        <v>568</v>
      </c>
      <c r="F494" s="265" t="s">
        <v>0</v>
      </c>
      <c r="G494" s="266">
        <v>24169.86</v>
      </c>
      <c r="H494" s="266">
        <v>24169.86</v>
      </c>
      <c r="I494" s="268">
        <v>46015</v>
      </c>
      <c r="J494" s="268">
        <v>46106</v>
      </c>
      <c r="K494" s="268">
        <v>46106</v>
      </c>
      <c r="L494" s="224" t="str">
        <f t="shared" si="172"/>
        <v>20910003_AUD_100000032_KORES NARRABRI PTY LIMITED</v>
      </c>
      <c r="M494" s="222">
        <f t="shared" si="152"/>
        <v>24169.86</v>
      </c>
      <c r="N494" s="24" t="str">
        <f>IF(OR(L494=$L$2,L494=$L$3),$M$10+1,IFERROR(VLOOKUP(A494,'Repricing Maturity Adj.'!$A$3:$C$170,3,0),(IF(K494&lt;$M$10,"Check",K494))))</f>
        <v>Non_sensitive</v>
      </c>
      <c r="O494" s="62" t="b">
        <f t="shared" si="153"/>
        <v>1</v>
      </c>
      <c r="P494" s="63" t="str">
        <f t="shared" si="154"/>
        <v>Liability</v>
      </c>
      <c r="Q494" s="25">
        <f t="shared" si="155"/>
        <v>0</v>
      </c>
      <c r="R494" s="25">
        <f t="shared" si="156"/>
        <v>0</v>
      </c>
      <c r="S494" s="25">
        <f t="shared" si="157"/>
        <v>0</v>
      </c>
      <c r="T494" s="25">
        <f t="shared" si="158"/>
        <v>0</v>
      </c>
      <c r="U494" s="25">
        <f t="shared" si="159"/>
        <v>0</v>
      </c>
      <c r="V494" s="25">
        <f t="shared" si="160"/>
        <v>0</v>
      </c>
      <c r="W494" s="25">
        <f t="shared" si="161"/>
        <v>0</v>
      </c>
      <c r="X494" s="64">
        <f t="shared" si="162"/>
        <v>0</v>
      </c>
      <c r="Y494" s="64">
        <f t="shared" si="163"/>
        <v>0</v>
      </c>
      <c r="Z494" s="64">
        <f t="shared" si="164"/>
        <v>0</v>
      </c>
      <c r="AA494" s="64">
        <f t="shared" si="165"/>
        <v>0</v>
      </c>
      <c r="AB494" s="64">
        <f t="shared" si="166"/>
        <v>0</v>
      </c>
      <c r="AC494" s="64">
        <f t="shared" si="167"/>
        <v>0</v>
      </c>
      <c r="AD494" s="64">
        <f t="shared" si="168"/>
        <v>0</v>
      </c>
      <c r="AE494" s="64">
        <f t="shared" si="169"/>
        <v>0</v>
      </c>
      <c r="AF494" s="64">
        <f t="shared" si="170"/>
        <v>0</v>
      </c>
      <c r="AG494" s="29">
        <f t="shared" si="171"/>
        <v>24169.86</v>
      </c>
    </row>
    <row r="495" spans="1:33">
      <c r="A495" s="265">
        <v>20910004</v>
      </c>
      <c r="B495" s="265" t="s">
        <v>527</v>
      </c>
      <c r="C495" s="265" t="s">
        <v>867</v>
      </c>
      <c r="D495" s="265">
        <v>100000044</v>
      </c>
      <c r="E495" s="265" t="s">
        <v>835</v>
      </c>
      <c r="F495" s="265" t="s">
        <v>0</v>
      </c>
      <c r="G495" s="266">
        <v>79301.240000000005</v>
      </c>
      <c r="H495" s="266">
        <v>79301.240000000005</v>
      </c>
      <c r="I495" s="268">
        <v>45985</v>
      </c>
      <c r="J495" s="268">
        <v>46076</v>
      </c>
      <c r="K495" s="268">
        <v>46076</v>
      </c>
      <c r="L495" s="224" t="str">
        <f t="shared" si="172"/>
        <v>20910004_AUD_100000044_MYSTATE BANK LIMITED</v>
      </c>
      <c r="M495" s="221">
        <f t="shared" si="152"/>
        <v>79301.240000000005</v>
      </c>
      <c r="N495" s="24" t="str">
        <f>IF(OR(L495=$L$2,L495=$L$3),$M$10+1,IFERROR(VLOOKUP(A495,'Repricing Maturity Adj.'!$A$3:$C$170,3,0),(IF(K495&lt;$M$10,"Check",K495))))</f>
        <v>Non_sensitive</v>
      </c>
      <c r="O495" s="62" t="b">
        <f t="shared" si="153"/>
        <v>1</v>
      </c>
      <c r="P495" s="63" t="str">
        <f t="shared" si="154"/>
        <v>Liability</v>
      </c>
      <c r="Q495" s="25">
        <f t="shared" si="155"/>
        <v>0</v>
      </c>
      <c r="R495" s="25">
        <f t="shared" si="156"/>
        <v>0</v>
      </c>
      <c r="S495" s="25">
        <f t="shared" si="157"/>
        <v>0</v>
      </c>
      <c r="T495" s="25">
        <f t="shared" si="158"/>
        <v>0</v>
      </c>
      <c r="U495" s="25">
        <f t="shared" si="159"/>
        <v>0</v>
      </c>
      <c r="V495" s="25">
        <f t="shared" si="160"/>
        <v>0</v>
      </c>
      <c r="W495" s="25">
        <f t="shared" si="161"/>
        <v>0</v>
      </c>
      <c r="X495" s="64">
        <f t="shared" si="162"/>
        <v>0</v>
      </c>
      <c r="Y495" s="64">
        <f t="shared" si="163"/>
        <v>0</v>
      </c>
      <c r="Z495" s="64">
        <f t="shared" si="164"/>
        <v>0</v>
      </c>
      <c r="AA495" s="64">
        <f t="shared" si="165"/>
        <v>0</v>
      </c>
      <c r="AB495" s="64">
        <f t="shared" si="166"/>
        <v>0</v>
      </c>
      <c r="AC495" s="64">
        <f t="shared" si="167"/>
        <v>0</v>
      </c>
      <c r="AD495" s="64">
        <f t="shared" si="168"/>
        <v>0</v>
      </c>
      <c r="AE495" s="64">
        <f t="shared" si="169"/>
        <v>0</v>
      </c>
      <c r="AF495" s="64">
        <f t="shared" si="170"/>
        <v>0</v>
      </c>
      <c r="AG495" s="29">
        <f t="shared" si="171"/>
        <v>79301.240000000005</v>
      </c>
    </row>
    <row r="496" spans="1:33">
      <c r="A496" s="265">
        <v>20910004</v>
      </c>
      <c r="B496" s="265" t="s">
        <v>527</v>
      </c>
      <c r="C496" s="265" t="s">
        <v>868</v>
      </c>
      <c r="D496" s="265">
        <v>100000046</v>
      </c>
      <c r="E496" s="265" t="s">
        <v>869</v>
      </c>
      <c r="F496" s="265" t="s">
        <v>0</v>
      </c>
      <c r="G496" s="266">
        <v>38233.9</v>
      </c>
      <c r="H496" s="266">
        <v>38233.9</v>
      </c>
      <c r="I496" s="268">
        <v>45988</v>
      </c>
      <c r="J496" s="268">
        <v>46079</v>
      </c>
      <c r="K496" s="268">
        <v>46079</v>
      </c>
      <c r="L496" s="224" t="str">
        <f t="shared" si="172"/>
        <v>20910004_AUD_100000046_AUSWIDE BANK LTD</v>
      </c>
      <c r="M496" s="221">
        <f t="shared" si="152"/>
        <v>38233.9</v>
      </c>
      <c r="N496" s="24" t="str">
        <f>IF(OR(L496=$L$2,L496=$L$3),$M$10+1,IFERROR(VLOOKUP(A496,'Repricing Maturity Adj.'!$A$3:$C$170,3,0),(IF(K496&lt;$M$10,"Check",K496))))</f>
        <v>Non_sensitive</v>
      </c>
      <c r="O496" s="62" t="b">
        <f t="shared" si="153"/>
        <v>1</v>
      </c>
      <c r="P496" s="63" t="str">
        <f t="shared" si="154"/>
        <v>Liability</v>
      </c>
      <c r="Q496" s="25">
        <f t="shared" si="155"/>
        <v>0</v>
      </c>
      <c r="R496" s="25">
        <f t="shared" si="156"/>
        <v>0</v>
      </c>
      <c r="S496" s="25">
        <f t="shared" si="157"/>
        <v>0</v>
      </c>
      <c r="T496" s="25">
        <f t="shared" si="158"/>
        <v>0</v>
      </c>
      <c r="U496" s="25">
        <f t="shared" si="159"/>
        <v>0</v>
      </c>
      <c r="V496" s="25">
        <f t="shared" si="160"/>
        <v>0</v>
      </c>
      <c r="W496" s="25">
        <f t="shared" si="161"/>
        <v>0</v>
      </c>
      <c r="X496" s="64">
        <f t="shared" si="162"/>
        <v>0</v>
      </c>
      <c r="Y496" s="64">
        <f t="shared" si="163"/>
        <v>0</v>
      </c>
      <c r="Z496" s="64">
        <f t="shared" si="164"/>
        <v>0</v>
      </c>
      <c r="AA496" s="64">
        <f t="shared" si="165"/>
        <v>0</v>
      </c>
      <c r="AB496" s="64">
        <f t="shared" si="166"/>
        <v>0</v>
      </c>
      <c r="AC496" s="64">
        <f t="shared" si="167"/>
        <v>0</v>
      </c>
      <c r="AD496" s="64">
        <f t="shared" si="168"/>
        <v>0</v>
      </c>
      <c r="AE496" s="64">
        <f t="shared" si="169"/>
        <v>0</v>
      </c>
      <c r="AF496" s="64">
        <f t="shared" si="170"/>
        <v>0</v>
      </c>
      <c r="AG496" s="29">
        <f t="shared" si="171"/>
        <v>38233.9</v>
      </c>
    </row>
    <row r="497" spans="1:33">
      <c r="A497" s="265">
        <v>20910004</v>
      </c>
      <c r="B497" s="265" t="s">
        <v>527</v>
      </c>
      <c r="C497" s="265" t="s">
        <v>886</v>
      </c>
      <c r="D497" s="265">
        <v>100000022</v>
      </c>
      <c r="E497" s="265" t="s">
        <v>656</v>
      </c>
      <c r="F497" s="265" t="s">
        <v>0</v>
      </c>
      <c r="G497" s="266">
        <v>16943.46</v>
      </c>
      <c r="H497" s="266">
        <v>16943.46</v>
      </c>
      <c r="I497" s="268">
        <v>46028</v>
      </c>
      <c r="J497" s="268">
        <v>46119</v>
      </c>
      <c r="K497" s="268">
        <v>46119</v>
      </c>
      <c r="L497" s="224" t="str">
        <f t="shared" si="172"/>
        <v>20910004_AUD_100000022_QUEENSLAND COUNTRY BANK LIMITED</v>
      </c>
      <c r="M497" s="221">
        <f t="shared" si="152"/>
        <v>16943.46</v>
      </c>
      <c r="N497" s="24" t="str">
        <f>IF(OR(L497=$L$2,L497=$L$3),$M$10+1,IFERROR(VLOOKUP(A497,'Repricing Maturity Adj.'!$A$3:$C$170,3,0),(IF(K497&lt;$M$10,"Check",K497))))</f>
        <v>Non_sensitive</v>
      </c>
      <c r="O497" s="62" t="b">
        <f t="shared" si="153"/>
        <v>1</v>
      </c>
      <c r="P497" s="63" t="str">
        <f t="shared" si="154"/>
        <v>Liability</v>
      </c>
      <c r="Q497" s="25">
        <f t="shared" si="155"/>
        <v>0</v>
      </c>
      <c r="R497" s="25">
        <f t="shared" si="156"/>
        <v>0</v>
      </c>
      <c r="S497" s="25">
        <f t="shared" si="157"/>
        <v>0</v>
      </c>
      <c r="T497" s="25">
        <f t="shared" si="158"/>
        <v>0</v>
      </c>
      <c r="U497" s="25">
        <f t="shared" si="159"/>
        <v>0</v>
      </c>
      <c r="V497" s="25">
        <f t="shared" si="160"/>
        <v>0</v>
      </c>
      <c r="W497" s="25">
        <f t="shared" si="161"/>
        <v>0</v>
      </c>
      <c r="X497" s="64">
        <f t="shared" si="162"/>
        <v>0</v>
      </c>
      <c r="Y497" s="64">
        <f t="shared" si="163"/>
        <v>0</v>
      </c>
      <c r="Z497" s="64">
        <f t="shared" si="164"/>
        <v>0</v>
      </c>
      <c r="AA497" s="64">
        <f t="shared" si="165"/>
        <v>0</v>
      </c>
      <c r="AB497" s="64">
        <f t="shared" si="166"/>
        <v>0</v>
      </c>
      <c r="AC497" s="64">
        <f t="shared" si="167"/>
        <v>0</v>
      </c>
      <c r="AD497" s="64">
        <f t="shared" si="168"/>
        <v>0</v>
      </c>
      <c r="AE497" s="64">
        <f t="shared" si="169"/>
        <v>0</v>
      </c>
      <c r="AF497" s="64">
        <f t="shared" si="170"/>
        <v>0</v>
      </c>
      <c r="AG497" s="29">
        <f t="shared" si="171"/>
        <v>16943.46</v>
      </c>
    </row>
    <row r="498" spans="1:33">
      <c r="A498" s="265">
        <v>20910006</v>
      </c>
      <c r="B498" s="265" t="s">
        <v>440</v>
      </c>
      <c r="C498" s="265" t="s">
        <v>836</v>
      </c>
      <c r="D498" s="265">
        <v>100000018</v>
      </c>
      <c r="E498" s="265" t="s">
        <v>438</v>
      </c>
      <c r="F498" s="265" t="s">
        <v>301</v>
      </c>
      <c r="G498" s="266">
        <v>51607.87</v>
      </c>
      <c r="H498" s="266">
        <v>73746.600000000006</v>
      </c>
      <c r="I498" s="268">
        <v>46014</v>
      </c>
      <c r="J498" s="268">
        <v>46105</v>
      </c>
      <c r="K498" s="268">
        <v>46105</v>
      </c>
      <c r="L498" s="224" t="str">
        <f t="shared" si="172"/>
        <v>20910006_USD_100000018_BANK OF AMERICA N.A. (SYDNEY)</v>
      </c>
      <c r="M498" s="221">
        <f t="shared" si="152"/>
        <v>73746.600000000006</v>
      </c>
      <c r="N498" s="24" t="str">
        <f>IF(OR(L498=$L$2,L498=$L$3),$M$10+1,IFERROR(VLOOKUP(A498,'Repricing Maturity Adj.'!$A$3:$C$170,3,0),(IF(K498&lt;$M$10,"Check",K498))))</f>
        <v>Non_sensitive</v>
      </c>
      <c r="O498" s="62" t="b">
        <f t="shared" si="153"/>
        <v>1</v>
      </c>
      <c r="P498" s="63" t="str">
        <f t="shared" si="154"/>
        <v>Liability</v>
      </c>
      <c r="Q498" s="25">
        <f t="shared" si="155"/>
        <v>0</v>
      </c>
      <c r="R498" s="25">
        <f t="shared" si="156"/>
        <v>0</v>
      </c>
      <c r="S498" s="25">
        <f t="shared" si="157"/>
        <v>0</v>
      </c>
      <c r="T498" s="25">
        <f t="shared" si="158"/>
        <v>0</v>
      </c>
      <c r="U498" s="25">
        <f t="shared" si="159"/>
        <v>0</v>
      </c>
      <c r="V498" s="25">
        <f t="shared" si="160"/>
        <v>0</v>
      </c>
      <c r="W498" s="25">
        <f t="shared" si="161"/>
        <v>0</v>
      </c>
      <c r="X498" s="64">
        <f t="shared" si="162"/>
        <v>0</v>
      </c>
      <c r="Y498" s="64">
        <f t="shared" si="163"/>
        <v>0</v>
      </c>
      <c r="Z498" s="64">
        <f t="shared" si="164"/>
        <v>0</v>
      </c>
      <c r="AA498" s="64">
        <f t="shared" si="165"/>
        <v>0</v>
      </c>
      <c r="AB498" s="64">
        <f t="shared" si="166"/>
        <v>0</v>
      </c>
      <c r="AC498" s="64">
        <f t="shared" si="167"/>
        <v>0</v>
      </c>
      <c r="AD498" s="64">
        <f t="shared" si="168"/>
        <v>0</v>
      </c>
      <c r="AE498" s="64">
        <f t="shared" si="169"/>
        <v>0</v>
      </c>
      <c r="AF498" s="64">
        <f t="shared" si="170"/>
        <v>0</v>
      </c>
      <c r="AG498" s="29">
        <f t="shared" si="171"/>
        <v>73746.600000000006</v>
      </c>
    </row>
    <row r="499" spans="1:33">
      <c r="A499" s="265">
        <v>20910006</v>
      </c>
      <c r="B499" s="265" t="s">
        <v>440</v>
      </c>
      <c r="C499" s="265" t="s">
        <v>897</v>
      </c>
      <c r="D499" s="265">
        <v>100000018</v>
      </c>
      <c r="E499" s="265" t="s">
        <v>438</v>
      </c>
      <c r="F499" s="265" t="s">
        <v>301</v>
      </c>
      <c r="G499" s="266">
        <v>11932.14</v>
      </c>
      <c r="H499" s="266">
        <v>17050.79</v>
      </c>
      <c r="I499" s="268">
        <v>46044</v>
      </c>
      <c r="J499" s="268">
        <v>46135</v>
      </c>
      <c r="K499" s="268">
        <v>46135</v>
      </c>
      <c r="L499" s="224" t="str">
        <f t="shared" si="172"/>
        <v>20910006_USD_100000018_BANK OF AMERICA N.A. (SYDNEY)</v>
      </c>
      <c r="M499" s="221">
        <f t="shared" si="152"/>
        <v>17050.79</v>
      </c>
      <c r="N499" s="24" t="str">
        <f>IF(OR(L499=$L$2,L499=$L$3),$M$10+1,IFERROR(VLOOKUP(A499,'Repricing Maturity Adj.'!$A$3:$C$170,3,0),(IF(K499&lt;$M$10,"Check",K499))))</f>
        <v>Non_sensitive</v>
      </c>
      <c r="O499" s="62" t="b">
        <f t="shared" si="153"/>
        <v>1</v>
      </c>
      <c r="P499" s="63" t="str">
        <f t="shared" si="154"/>
        <v>Liability</v>
      </c>
      <c r="Q499" s="25">
        <f t="shared" si="155"/>
        <v>0</v>
      </c>
      <c r="R499" s="25">
        <f t="shared" si="156"/>
        <v>0</v>
      </c>
      <c r="S499" s="25">
        <f t="shared" si="157"/>
        <v>0</v>
      </c>
      <c r="T499" s="25">
        <f t="shared" si="158"/>
        <v>0</v>
      </c>
      <c r="U499" s="25">
        <f t="shared" si="159"/>
        <v>0</v>
      </c>
      <c r="V499" s="25">
        <f t="shared" si="160"/>
        <v>0</v>
      </c>
      <c r="W499" s="25">
        <f t="shared" si="161"/>
        <v>0</v>
      </c>
      <c r="X499" s="64">
        <f t="shared" si="162"/>
        <v>0</v>
      </c>
      <c r="Y499" s="64">
        <f t="shared" si="163"/>
        <v>0</v>
      </c>
      <c r="Z499" s="64">
        <f t="shared" si="164"/>
        <v>0</v>
      </c>
      <c r="AA499" s="64">
        <f t="shared" si="165"/>
        <v>0</v>
      </c>
      <c r="AB499" s="64">
        <f t="shared" si="166"/>
        <v>0</v>
      </c>
      <c r="AC499" s="64">
        <f t="shared" si="167"/>
        <v>0</v>
      </c>
      <c r="AD499" s="64">
        <f t="shared" si="168"/>
        <v>0</v>
      </c>
      <c r="AE499" s="64">
        <f t="shared" si="169"/>
        <v>0</v>
      </c>
      <c r="AF499" s="64">
        <f t="shared" si="170"/>
        <v>0</v>
      </c>
      <c r="AG499" s="29">
        <f t="shared" si="171"/>
        <v>17050.79</v>
      </c>
    </row>
    <row r="500" spans="1:33">
      <c r="A500" s="265">
        <v>20910008</v>
      </c>
      <c r="B500" s="265" t="s">
        <v>548</v>
      </c>
      <c r="C500" s="265" t="s">
        <v>840</v>
      </c>
      <c r="D500" s="265">
        <v>100000002</v>
      </c>
      <c r="E500" s="265" t="s">
        <v>50</v>
      </c>
      <c r="F500" s="265" t="s">
        <v>301</v>
      </c>
      <c r="G500" s="266">
        <v>235183.34</v>
      </c>
      <c r="H500" s="266">
        <v>336072.22</v>
      </c>
      <c r="I500" s="268">
        <v>45853</v>
      </c>
      <c r="J500" s="268">
        <v>46064</v>
      </c>
      <c r="K500" s="268">
        <v>46064</v>
      </c>
      <c r="L500" s="224" t="str">
        <f t="shared" si="172"/>
        <v>20910008_USD_100000002_NONGHYUP BANK</v>
      </c>
      <c r="M500" s="221">
        <f t="shared" si="152"/>
        <v>336072.22</v>
      </c>
      <c r="N500" s="24" t="str">
        <f>IF(OR(L500=$L$2,L500=$L$3),$M$10+1,IFERROR(VLOOKUP(A500,'Repricing Maturity Adj.'!$A$3:$C$170,3,0),(IF(K500&lt;$M$10,"Check",K500))))</f>
        <v>Non_sensitive</v>
      </c>
      <c r="O500" s="62" t="b">
        <f t="shared" si="153"/>
        <v>1</v>
      </c>
      <c r="P500" s="63" t="str">
        <f t="shared" si="154"/>
        <v>Liability</v>
      </c>
      <c r="Q500" s="25">
        <f t="shared" si="155"/>
        <v>0</v>
      </c>
      <c r="R500" s="25">
        <f t="shared" si="156"/>
        <v>0</v>
      </c>
      <c r="S500" s="25">
        <f t="shared" si="157"/>
        <v>0</v>
      </c>
      <c r="T500" s="25">
        <f t="shared" si="158"/>
        <v>0</v>
      </c>
      <c r="U500" s="25">
        <f t="shared" si="159"/>
        <v>0</v>
      </c>
      <c r="V500" s="25">
        <f t="shared" si="160"/>
        <v>0</v>
      </c>
      <c r="W500" s="25">
        <f t="shared" si="161"/>
        <v>0</v>
      </c>
      <c r="X500" s="64">
        <f t="shared" si="162"/>
        <v>0</v>
      </c>
      <c r="Y500" s="64">
        <f t="shared" si="163"/>
        <v>0</v>
      </c>
      <c r="Z500" s="64">
        <f t="shared" si="164"/>
        <v>0</v>
      </c>
      <c r="AA500" s="64">
        <f t="shared" si="165"/>
        <v>0</v>
      </c>
      <c r="AB500" s="64">
        <f t="shared" si="166"/>
        <v>0</v>
      </c>
      <c r="AC500" s="64">
        <f t="shared" si="167"/>
        <v>0</v>
      </c>
      <c r="AD500" s="64">
        <f t="shared" si="168"/>
        <v>0</v>
      </c>
      <c r="AE500" s="64">
        <f t="shared" si="169"/>
        <v>0</v>
      </c>
      <c r="AF500" s="64">
        <f t="shared" si="170"/>
        <v>0</v>
      </c>
      <c r="AG500" s="29">
        <f t="shared" si="171"/>
        <v>336072.22</v>
      </c>
    </row>
    <row r="501" spans="1:33">
      <c r="A501" s="265">
        <v>20910008</v>
      </c>
      <c r="B501" s="265" t="s">
        <v>548</v>
      </c>
      <c r="C501" s="265" t="s">
        <v>841</v>
      </c>
      <c r="D501" s="265">
        <v>100000002</v>
      </c>
      <c r="E501" s="265" t="s">
        <v>50</v>
      </c>
      <c r="F501" s="265" t="s">
        <v>301</v>
      </c>
      <c r="G501" s="266">
        <v>113275</v>
      </c>
      <c r="H501" s="266">
        <v>161867.68</v>
      </c>
      <c r="I501" s="268">
        <v>45862</v>
      </c>
      <c r="J501" s="268">
        <v>46072</v>
      </c>
      <c r="K501" s="268">
        <v>46072</v>
      </c>
      <c r="L501" s="224" t="str">
        <f t="shared" si="172"/>
        <v>20910008_USD_100000002_NONGHYUP BANK</v>
      </c>
      <c r="M501" s="221">
        <f t="shared" si="152"/>
        <v>161867.68</v>
      </c>
      <c r="N501" s="24" t="str">
        <f>IF(OR(L501=$L$2,L501=$L$3),$M$10+1,IFERROR(VLOOKUP(A501,'Repricing Maturity Adj.'!$A$3:$C$170,3,0),(IF(K501&lt;$M$10,"Check",K501))))</f>
        <v>Non_sensitive</v>
      </c>
      <c r="O501" s="62" t="b">
        <f t="shared" si="153"/>
        <v>1</v>
      </c>
      <c r="P501" s="63" t="str">
        <f t="shared" si="154"/>
        <v>Liability</v>
      </c>
      <c r="Q501" s="25">
        <f t="shared" si="155"/>
        <v>0</v>
      </c>
      <c r="R501" s="25">
        <f t="shared" si="156"/>
        <v>0</v>
      </c>
      <c r="S501" s="25">
        <f t="shared" si="157"/>
        <v>0</v>
      </c>
      <c r="T501" s="25">
        <f t="shared" si="158"/>
        <v>0</v>
      </c>
      <c r="U501" s="25">
        <f t="shared" si="159"/>
        <v>0</v>
      </c>
      <c r="V501" s="25">
        <f t="shared" si="160"/>
        <v>0</v>
      </c>
      <c r="W501" s="25">
        <f t="shared" si="161"/>
        <v>0</v>
      </c>
      <c r="X501" s="64">
        <f t="shared" si="162"/>
        <v>0</v>
      </c>
      <c r="Y501" s="64">
        <f t="shared" si="163"/>
        <v>0</v>
      </c>
      <c r="Z501" s="64">
        <f t="shared" si="164"/>
        <v>0</v>
      </c>
      <c r="AA501" s="64">
        <f t="shared" si="165"/>
        <v>0</v>
      </c>
      <c r="AB501" s="64">
        <f t="shared" si="166"/>
        <v>0</v>
      </c>
      <c r="AC501" s="64">
        <f t="shared" si="167"/>
        <v>0</v>
      </c>
      <c r="AD501" s="64">
        <f t="shared" si="168"/>
        <v>0</v>
      </c>
      <c r="AE501" s="64">
        <f t="shared" si="169"/>
        <v>0</v>
      </c>
      <c r="AF501" s="64">
        <f t="shared" si="170"/>
        <v>0</v>
      </c>
      <c r="AG501" s="29">
        <f t="shared" si="171"/>
        <v>161867.68</v>
      </c>
    </row>
    <row r="502" spans="1:33">
      <c r="A502" s="265">
        <v>20910008</v>
      </c>
      <c r="B502" s="265" t="s">
        <v>548</v>
      </c>
      <c r="C502" s="265" t="s">
        <v>842</v>
      </c>
      <c r="D502" s="265">
        <v>100000002</v>
      </c>
      <c r="E502" s="265" t="s">
        <v>50</v>
      </c>
      <c r="F502" s="265" t="s">
        <v>301</v>
      </c>
      <c r="G502" s="266">
        <v>156750</v>
      </c>
      <c r="H502" s="266">
        <v>223992.57</v>
      </c>
      <c r="I502" s="268">
        <v>45924</v>
      </c>
      <c r="J502" s="268">
        <v>46106</v>
      </c>
      <c r="K502" s="268">
        <v>46106</v>
      </c>
      <c r="L502" s="224" t="str">
        <f t="shared" si="172"/>
        <v>20910008_USD_100000002_NONGHYUP BANK</v>
      </c>
      <c r="M502" s="221">
        <f t="shared" si="152"/>
        <v>223992.57</v>
      </c>
      <c r="N502" s="24" t="str">
        <f>IF(OR(L502=$L$2,L502=$L$3),$M$10+1,IFERROR(VLOOKUP(A502,'Repricing Maturity Adj.'!$A$3:$C$170,3,0),(IF(K502&lt;$M$10,"Check",K502))))</f>
        <v>Non_sensitive</v>
      </c>
      <c r="O502" s="62" t="b">
        <f t="shared" si="153"/>
        <v>1</v>
      </c>
      <c r="P502" s="63" t="str">
        <f t="shared" si="154"/>
        <v>Liability</v>
      </c>
      <c r="Q502" s="25">
        <f t="shared" si="155"/>
        <v>0</v>
      </c>
      <c r="R502" s="25">
        <f t="shared" si="156"/>
        <v>0</v>
      </c>
      <c r="S502" s="25">
        <f t="shared" si="157"/>
        <v>0</v>
      </c>
      <c r="T502" s="25">
        <f t="shared" si="158"/>
        <v>0</v>
      </c>
      <c r="U502" s="25">
        <f t="shared" si="159"/>
        <v>0</v>
      </c>
      <c r="V502" s="25">
        <f t="shared" si="160"/>
        <v>0</v>
      </c>
      <c r="W502" s="25">
        <f t="shared" si="161"/>
        <v>0</v>
      </c>
      <c r="X502" s="64">
        <f t="shared" si="162"/>
        <v>0</v>
      </c>
      <c r="Y502" s="64">
        <f t="shared" si="163"/>
        <v>0</v>
      </c>
      <c r="Z502" s="64">
        <f t="shared" si="164"/>
        <v>0</v>
      </c>
      <c r="AA502" s="64">
        <f t="shared" si="165"/>
        <v>0</v>
      </c>
      <c r="AB502" s="64">
        <f t="shared" si="166"/>
        <v>0</v>
      </c>
      <c r="AC502" s="64">
        <f t="shared" si="167"/>
        <v>0</v>
      </c>
      <c r="AD502" s="64">
        <f t="shared" si="168"/>
        <v>0</v>
      </c>
      <c r="AE502" s="64">
        <f t="shared" si="169"/>
        <v>0</v>
      </c>
      <c r="AF502" s="64">
        <f t="shared" si="170"/>
        <v>0</v>
      </c>
      <c r="AG502" s="29">
        <f t="shared" si="171"/>
        <v>223992.57</v>
      </c>
    </row>
    <row r="503" spans="1:33">
      <c r="A503" s="265">
        <v>20910008</v>
      </c>
      <c r="B503" s="265" t="s">
        <v>548</v>
      </c>
      <c r="C503" s="265" t="s">
        <v>855</v>
      </c>
      <c r="D503" s="265">
        <v>100000002</v>
      </c>
      <c r="E503" s="265" t="s">
        <v>50</v>
      </c>
      <c r="F503" s="265" t="s">
        <v>301</v>
      </c>
      <c r="G503" s="266">
        <v>193138.89</v>
      </c>
      <c r="H503" s="266">
        <v>275991.55</v>
      </c>
      <c r="I503" s="268">
        <v>45959</v>
      </c>
      <c r="J503" s="268">
        <v>46106</v>
      </c>
      <c r="K503" s="268">
        <v>46106</v>
      </c>
      <c r="L503" s="224" t="str">
        <f t="shared" si="172"/>
        <v>20910008_USD_100000002_NONGHYUP BANK</v>
      </c>
      <c r="M503" s="221">
        <f t="shared" si="152"/>
        <v>275991.55</v>
      </c>
      <c r="N503" s="24" t="str">
        <f>IF(OR(L503=$L$2,L503=$L$3),$M$10+1,IFERROR(VLOOKUP(A503,'Repricing Maturity Adj.'!$A$3:$C$170,3,0),(IF(K503&lt;$M$10,"Check",K503))))</f>
        <v>Non_sensitive</v>
      </c>
      <c r="O503" s="62" t="b">
        <f t="shared" si="153"/>
        <v>1</v>
      </c>
      <c r="P503" s="63" t="str">
        <f t="shared" si="154"/>
        <v>Liability</v>
      </c>
      <c r="Q503" s="25">
        <f t="shared" si="155"/>
        <v>0</v>
      </c>
      <c r="R503" s="25">
        <f t="shared" si="156"/>
        <v>0</v>
      </c>
      <c r="S503" s="25">
        <f t="shared" si="157"/>
        <v>0</v>
      </c>
      <c r="T503" s="25">
        <f t="shared" si="158"/>
        <v>0</v>
      </c>
      <c r="U503" s="25">
        <f t="shared" si="159"/>
        <v>0</v>
      </c>
      <c r="V503" s="25">
        <f t="shared" si="160"/>
        <v>0</v>
      </c>
      <c r="W503" s="25">
        <f t="shared" si="161"/>
        <v>0</v>
      </c>
      <c r="X503" s="64">
        <f t="shared" si="162"/>
        <v>0</v>
      </c>
      <c r="Y503" s="64">
        <f t="shared" si="163"/>
        <v>0</v>
      </c>
      <c r="Z503" s="64">
        <f t="shared" si="164"/>
        <v>0</v>
      </c>
      <c r="AA503" s="64">
        <f t="shared" si="165"/>
        <v>0</v>
      </c>
      <c r="AB503" s="64">
        <f t="shared" si="166"/>
        <v>0</v>
      </c>
      <c r="AC503" s="64">
        <f t="shared" si="167"/>
        <v>0</v>
      </c>
      <c r="AD503" s="64">
        <f t="shared" si="168"/>
        <v>0</v>
      </c>
      <c r="AE503" s="64">
        <f t="shared" si="169"/>
        <v>0</v>
      </c>
      <c r="AF503" s="64">
        <f t="shared" si="170"/>
        <v>0</v>
      </c>
      <c r="AG503" s="29">
        <f t="shared" si="171"/>
        <v>275991.55</v>
      </c>
    </row>
    <row r="504" spans="1:33">
      <c r="A504" s="265">
        <v>20910008</v>
      </c>
      <c r="B504" s="265" t="s">
        <v>548</v>
      </c>
      <c r="C504" s="265" t="s">
        <v>870</v>
      </c>
      <c r="D504" s="265">
        <v>100000002</v>
      </c>
      <c r="E504" s="265" t="s">
        <v>50</v>
      </c>
      <c r="F504" s="265" t="s">
        <v>301</v>
      </c>
      <c r="G504" s="266">
        <v>95625</v>
      </c>
      <c r="H504" s="266">
        <v>136646.18</v>
      </c>
      <c r="I504" s="268">
        <v>45974</v>
      </c>
      <c r="J504" s="268">
        <v>46155</v>
      </c>
      <c r="K504" s="268">
        <v>46155</v>
      </c>
      <c r="L504" s="224" t="str">
        <f t="shared" si="172"/>
        <v>20910008_USD_100000002_NONGHYUP BANK</v>
      </c>
      <c r="M504" s="221">
        <f t="shared" si="152"/>
        <v>136646.18</v>
      </c>
      <c r="N504" s="24" t="str">
        <f>IF(OR(L504=$L$2,L504=$L$3),$M$10+1,IFERROR(VLOOKUP(A504,'Repricing Maturity Adj.'!$A$3:$C$170,3,0),(IF(K504&lt;$M$10,"Check",K504))))</f>
        <v>Non_sensitive</v>
      </c>
      <c r="O504" s="62" t="b">
        <f t="shared" si="153"/>
        <v>1</v>
      </c>
      <c r="P504" s="63" t="str">
        <f t="shared" si="154"/>
        <v>Liability</v>
      </c>
      <c r="Q504" s="25">
        <f t="shared" si="155"/>
        <v>0</v>
      </c>
      <c r="R504" s="25">
        <f t="shared" si="156"/>
        <v>0</v>
      </c>
      <c r="S504" s="25">
        <f t="shared" si="157"/>
        <v>0</v>
      </c>
      <c r="T504" s="25">
        <f t="shared" si="158"/>
        <v>0</v>
      </c>
      <c r="U504" s="25">
        <f t="shared" si="159"/>
        <v>0</v>
      </c>
      <c r="V504" s="25">
        <f t="shared" si="160"/>
        <v>0</v>
      </c>
      <c r="W504" s="25">
        <f t="shared" si="161"/>
        <v>0</v>
      </c>
      <c r="X504" s="64">
        <f t="shared" si="162"/>
        <v>0</v>
      </c>
      <c r="Y504" s="64">
        <f t="shared" si="163"/>
        <v>0</v>
      </c>
      <c r="Z504" s="64">
        <f t="shared" si="164"/>
        <v>0</v>
      </c>
      <c r="AA504" s="64">
        <f t="shared" si="165"/>
        <v>0</v>
      </c>
      <c r="AB504" s="64">
        <f t="shared" si="166"/>
        <v>0</v>
      </c>
      <c r="AC504" s="64">
        <f t="shared" si="167"/>
        <v>0</v>
      </c>
      <c r="AD504" s="64">
        <f t="shared" si="168"/>
        <v>0</v>
      </c>
      <c r="AE504" s="64">
        <f t="shared" si="169"/>
        <v>0</v>
      </c>
      <c r="AF504" s="64">
        <f t="shared" si="170"/>
        <v>0</v>
      </c>
      <c r="AG504" s="29">
        <f t="shared" si="171"/>
        <v>136646.18</v>
      </c>
    </row>
    <row r="505" spans="1:33">
      <c r="A505" s="265">
        <v>20910008</v>
      </c>
      <c r="B505" s="265" t="s">
        <v>548</v>
      </c>
      <c r="C505" s="265" t="s">
        <v>878</v>
      </c>
      <c r="D505" s="265">
        <v>100000002</v>
      </c>
      <c r="E505" s="265" t="s">
        <v>50</v>
      </c>
      <c r="F505" s="265" t="s">
        <v>301</v>
      </c>
      <c r="G505" s="266">
        <v>34821.11</v>
      </c>
      <c r="H505" s="266">
        <v>49758.66</v>
      </c>
      <c r="I505" s="268">
        <v>46015</v>
      </c>
      <c r="J505" s="268">
        <v>46141</v>
      </c>
      <c r="K505" s="268">
        <v>46141</v>
      </c>
      <c r="L505" s="224" t="str">
        <f t="shared" si="172"/>
        <v>20910008_USD_100000002_NONGHYUP BANK</v>
      </c>
      <c r="M505" s="221">
        <f t="shared" si="152"/>
        <v>49758.66</v>
      </c>
      <c r="N505" s="24" t="str">
        <f>IF(OR(L505=$L$2,L505=$L$3),$M$10+1,IFERROR(VLOOKUP(A505,'Repricing Maturity Adj.'!$A$3:$C$170,3,0),(IF(K505&lt;$M$10,"Check",K505))))</f>
        <v>Non_sensitive</v>
      </c>
      <c r="O505" s="62" t="b">
        <f t="shared" si="153"/>
        <v>1</v>
      </c>
      <c r="P505" s="63" t="str">
        <f t="shared" si="154"/>
        <v>Liability</v>
      </c>
      <c r="Q505" s="25">
        <f t="shared" si="155"/>
        <v>0</v>
      </c>
      <c r="R505" s="25">
        <f t="shared" si="156"/>
        <v>0</v>
      </c>
      <c r="S505" s="25">
        <f t="shared" si="157"/>
        <v>0</v>
      </c>
      <c r="T505" s="25">
        <f t="shared" si="158"/>
        <v>0</v>
      </c>
      <c r="U505" s="25">
        <f t="shared" si="159"/>
        <v>0</v>
      </c>
      <c r="V505" s="25">
        <f t="shared" si="160"/>
        <v>0</v>
      </c>
      <c r="W505" s="25">
        <f t="shared" si="161"/>
        <v>0</v>
      </c>
      <c r="X505" s="64">
        <f t="shared" si="162"/>
        <v>0</v>
      </c>
      <c r="Y505" s="64">
        <f t="shared" si="163"/>
        <v>0</v>
      </c>
      <c r="Z505" s="64">
        <f t="shared" si="164"/>
        <v>0</v>
      </c>
      <c r="AA505" s="64">
        <f t="shared" si="165"/>
        <v>0</v>
      </c>
      <c r="AB505" s="64">
        <f t="shared" si="166"/>
        <v>0</v>
      </c>
      <c r="AC505" s="64">
        <f t="shared" si="167"/>
        <v>0</v>
      </c>
      <c r="AD505" s="64">
        <f t="shared" si="168"/>
        <v>0</v>
      </c>
      <c r="AE505" s="64">
        <f t="shared" si="169"/>
        <v>0</v>
      </c>
      <c r="AF505" s="64">
        <f t="shared" si="170"/>
        <v>0</v>
      </c>
      <c r="AG505" s="29">
        <f t="shared" si="171"/>
        <v>49758.66</v>
      </c>
    </row>
    <row r="506" spans="1:33">
      <c r="A506" s="265">
        <v>20910008</v>
      </c>
      <c r="B506" s="265" t="s">
        <v>548</v>
      </c>
      <c r="C506" s="265" t="s">
        <v>879</v>
      </c>
      <c r="D506" s="265">
        <v>100000002</v>
      </c>
      <c r="E506" s="265" t="s">
        <v>50</v>
      </c>
      <c r="F506" s="265" t="s">
        <v>301</v>
      </c>
      <c r="G506" s="266">
        <v>24811.11</v>
      </c>
      <c r="H506" s="266">
        <v>35454.57</v>
      </c>
      <c r="I506" s="268">
        <v>46015</v>
      </c>
      <c r="J506" s="268">
        <v>46169</v>
      </c>
      <c r="K506" s="268">
        <v>46169</v>
      </c>
      <c r="L506" s="224" t="str">
        <f t="shared" si="172"/>
        <v>20910008_USD_100000002_NONGHYUP BANK</v>
      </c>
      <c r="M506" s="221">
        <f t="shared" si="152"/>
        <v>35454.57</v>
      </c>
      <c r="N506" s="24" t="str">
        <f>IF(OR(L506=$L$2,L506=$L$3),$M$10+1,IFERROR(VLOOKUP(A506,'Repricing Maturity Adj.'!$A$3:$C$170,3,0),(IF(K506&lt;$M$10,"Check",K506))))</f>
        <v>Non_sensitive</v>
      </c>
      <c r="O506" s="62" t="b">
        <f t="shared" si="153"/>
        <v>1</v>
      </c>
      <c r="P506" s="63" t="str">
        <f t="shared" si="154"/>
        <v>Liability</v>
      </c>
      <c r="Q506" s="25">
        <f t="shared" si="155"/>
        <v>0</v>
      </c>
      <c r="R506" s="25">
        <f t="shared" si="156"/>
        <v>0</v>
      </c>
      <c r="S506" s="25">
        <f t="shared" si="157"/>
        <v>0</v>
      </c>
      <c r="T506" s="25">
        <f t="shared" si="158"/>
        <v>0</v>
      </c>
      <c r="U506" s="25">
        <f t="shared" si="159"/>
        <v>0</v>
      </c>
      <c r="V506" s="25">
        <f t="shared" si="160"/>
        <v>0</v>
      </c>
      <c r="W506" s="25">
        <f t="shared" si="161"/>
        <v>0</v>
      </c>
      <c r="X506" s="64">
        <f t="shared" si="162"/>
        <v>0</v>
      </c>
      <c r="Y506" s="64">
        <f t="shared" si="163"/>
        <v>0</v>
      </c>
      <c r="Z506" s="64">
        <f t="shared" si="164"/>
        <v>0</v>
      </c>
      <c r="AA506" s="64">
        <f t="shared" si="165"/>
        <v>0</v>
      </c>
      <c r="AB506" s="64">
        <f t="shared" si="166"/>
        <v>0</v>
      </c>
      <c r="AC506" s="64">
        <f t="shared" si="167"/>
        <v>0</v>
      </c>
      <c r="AD506" s="64">
        <f t="shared" si="168"/>
        <v>0</v>
      </c>
      <c r="AE506" s="64">
        <f t="shared" si="169"/>
        <v>0</v>
      </c>
      <c r="AF506" s="64">
        <f t="shared" si="170"/>
        <v>0</v>
      </c>
      <c r="AG506" s="29">
        <f t="shared" si="171"/>
        <v>35454.57</v>
      </c>
    </row>
    <row r="507" spans="1:33">
      <c r="A507" s="265">
        <v>20910008</v>
      </c>
      <c r="B507" s="265" t="s">
        <v>548</v>
      </c>
      <c r="C507" s="265" t="s">
        <v>887</v>
      </c>
      <c r="D507" s="265">
        <v>100000002</v>
      </c>
      <c r="E507" s="265" t="s">
        <v>50</v>
      </c>
      <c r="F507" s="265" t="s">
        <v>301</v>
      </c>
      <c r="G507" s="266">
        <v>23508.33</v>
      </c>
      <c r="H507" s="266">
        <v>33592.93</v>
      </c>
      <c r="I507" s="268">
        <v>46029</v>
      </c>
      <c r="J507" s="268">
        <v>46155</v>
      </c>
      <c r="K507" s="268">
        <v>46155</v>
      </c>
      <c r="L507" s="224" t="str">
        <f t="shared" si="172"/>
        <v>20910008_USD_100000002_NONGHYUP BANK</v>
      </c>
      <c r="M507" s="221">
        <f t="shared" si="152"/>
        <v>33592.93</v>
      </c>
      <c r="N507" s="24" t="str">
        <f>IF(OR(L507=$L$2,L507=$L$3),$M$10+1,IFERROR(VLOOKUP(A507,'Repricing Maturity Adj.'!$A$3:$C$170,3,0),(IF(K507&lt;$M$10,"Check",K507))))</f>
        <v>Non_sensitive</v>
      </c>
      <c r="O507" s="62" t="b">
        <f t="shared" si="153"/>
        <v>1</v>
      </c>
      <c r="P507" s="63" t="str">
        <f t="shared" si="154"/>
        <v>Liability</v>
      </c>
      <c r="Q507" s="25">
        <f t="shared" si="155"/>
        <v>0</v>
      </c>
      <c r="R507" s="25">
        <f t="shared" si="156"/>
        <v>0</v>
      </c>
      <c r="S507" s="25">
        <f t="shared" si="157"/>
        <v>0</v>
      </c>
      <c r="T507" s="25">
        <f t="shared" si="158"/>
        <v>0</v>
      </c>
      <c r="U507" s="25">
        <f t="shared" si="159"/>
        <v>0</v>
      </c>
      <c r="V507" s="25">
        <f t="shared" si="160"/>
        <v>0</v>
      </c>
      <c r="W507" s="25">
        <f t="shared" si="161"/>
        <v>0</v>
      </c>
      <c r="X507" s="64">
        <f t="shared" si="162"/>
        <v>0</v>
      </c>
      <c r="Y507" s="64">
        <f t="shared" si="163"/>
        <v>0</v>
      </c>
      <c r="Z507" s="64">
        <f t="shared" si="164"/>
        <v>0</v>
      </c>
      <c r="AA507" s="64">
        <f t="shared" si="165"/>
        <v>0</v>
      </c>
      <c r="AB507" s="64">
        <f t="shared" si="166"/>
        <v>0</v>
      </c>
      <c r="AC507" s="64">
        <f t="shared" si="167"/>
        <v>0</v>
      </c>
      <c r="AD507" s="64">
        <f t="shared" si="168"/>
        <v>0</v>
      </c>
      <c r="AE507" s="64">
        <f t="shared" si="169"/>
        <v>0</v>
      </c>
      <c r="AF507" s="64">
        <f t="shared" si="170"/>
        <v>0</v>
      </c>
      <c r="AG507" s="29">
        <f t="shared" si="171"/>
        <v>33592.93</v>
      </c>
    </row>
    <row r="508" spans="1:33">
      <c r="A508" s="265">
        <v>20910008</v>
      </c>
      <c r="B508" s="265" t="s">
        <v>548</v>
      </c>
      <c r="C508" s="265" t="s">
        <v>934</v>
      </c>
      <c r="D508" s="265">
        <v>100000002</v>
      </c>
      <c r="E508" s="265" t="s">
        <v>50</v>
      </c>
      <c r="F508" s="265" t="s">
        <v>301</v>
      </c>
      <c r="G508" s="266">
        <v>962.5</v>
      </c>
      <c r="H508" s="266">
        <v>1375.39</v>
      </c>
      <c r="I508" s="268">
        <v>46058</v>
      </c>
      <c r="J508" s="268">
        <v>46253</v>
      </c>
      <c r="K508" s="268">
        <v>46253</v>
      </c>
      <c r="L508" s="224" t="str">
        <f t="shared" si="172"/>
        <v>20910008_USD_100000002_NONGHYUP BANK</v>
      </c>
      <c r="M508" s="221">
        <f t="shared" si="152"/>
        <v>1375.39</v>
      </c>
      <c r="N508" s="24" t="str">
        <f>IF(OR(L508=$L$2,L508=$L$3),$M$10+1,IFERROR(VLOOKUP(A508,'Repricing Maturity Adj.'!$A$3:$C$170,3,0),(IF(K508&lt;$M$10,"Check",K508))))</f>
        <v>Non_sensitive</v>
      </c>
      <c r="O508" s="62" t="b">
        <f t="shared" si="153"/>
        <v>1</v>
      </c>
      <c r="P508" s="63" t="str">
        <f t="shared" si="154"/>
        <v>Liability</v>
      </c>
      <c r="Q508" s="25">
        <f t="shared" si="155"/>
        <v>0</v>
      </c>
      <c r="R508" s="25">
        <f t="shared" si="156"/>
        <v>0</v>
      </c>
      <c r="S508" s="25">
        <f t="shared" si="157"/>
        <v>0</v>
      </c>
      <c r="T508" s="25">
        <f t="shared" si="158"/>
        <v>0</v>
      </c>
      <c r="U508" s="25">
        <f t="shared" si="159"/>
        <v>0</v>
      </c>
      <c r="V508" s="25">
        <f t="shared" si="160"/>
        <v>0</v>
      </c>
      <c r="W508" s="25">
        <f t="shared" si="161"/>
        <v>0</v>
      </c>
      <c r="X508" s="64">
        <f t="shared" si="162"/>
        <v>0</v>
      </c>
      <c r="Y508" s="64">
        <f t="shared" si="163"/>
        <v>0</v>
      </c>
      <c r="Z508" s="64">
        <f t="shared" si="164"/>
        <v>0</v>
      </c>
      <c r="AA508" s="64">
        <f t="shared" si="165"/>
        <v>0</v>
      </c>
      <c r="AB508" s="64">
        <f t="shared" si="166"/>
        <v>0</v>
      </c>
      <c r="AC508" s="64">
        <f t="shared" si="167"/>
        <v>0</v>
      </c>
      <c r="AD508" s="64">
        <f t="shared" si="168"/>
        <v>0</v>
      </c>
      <c r="AE508" s="64">
        <f t="shared" si="169"/>
        <v>0</v>
      </c>
      <c r="AF508" s="64">
        <f t="shared" si="170"/>
        <v>0</v>
      </c>
      <c r="AG508" s="29">
        <f t="shared" si="171"/>
        <v>1375.39</v>
      </c>
    </row>
    <row r="509" spans="1:33">
      <c r="A509" s="265">
        <v>20910008</v>
      </c>
      <c r="B509" s="265" t="s">
        <v>548</v>
      </c>
      <c r="C509" s="265" t="s">
        <v>935</v>
      </c>
      <c r="D509" s="265">
        <v>100000002</v>
      </c>
      <c r="E509" s="265" t="s">
        <v>50</v>
      </c>
      <c r="F509" s="265" t="s">
        <v>301</v>
      </c>
      <c r="G509" s="266">
        <v>197.22</v>
      </c>
      <c r="H509" s="266">
        <v>281.82</v>
      </c>
      <c r="I509" s="268">
        <v>46058</v>
      </c>
      <c r="J509" s="268">
        <v>46253</v>
      </c>
      <c r="K509" s="268">
        <v>46253</v>
      </c>
      <c r="L509" s="224" t="str">
        <f t="shared" si="172"/>
        <v>20910008_USD_100000002_NONGHYUP BANK</v>
      </c>
      <c r="M509" s="221">
        <f t="shared" si="152"/>
        <v>281.82</v>
      </c>
      <c r="N509" s="24" t="str">
        <f>IF(OR(L509=$L$2,L509=$L$3),$M$10+1,IFERROR(VLOOKUP(A509,'Repricing Maturity Adj.'!$A$3:$C$170,3,0),(IF(K509&lt;$M$10,"Check",K509))))</f>
        <v>Non_sensitive</v>
      </c>
      <c r="O509" s="62" t="b">
        <f t="shared" si="153"/>
        <v>1</v>
      </c>
      <c r="P509" s="63" t="str">
        <f t="shared" si="154"/>
        <v>Liability</v>
      </c>
      <c r="Q509" s="25">
        <f t="shared" si="155"/>
        <v>0</v>
      </c>
      <c r="R509" s="25">
        <f t="shared" si="156"/>
        <v>0</v>
      </c>
      <c r="S509" s="25">
        <f t="shared" si="157"/>
        <v>0</v>
      </c>
      <c r="T509" s="25">
        <f t="shared" si="158"/>
        <v>0</v>
      </c>
      <c r="U509" s="25">
        <f t="shared" si="159"/>
        <v>0</v>
      </c>
      <c r="V509" s="25">
        <f t="shared" si="160"/>
        <v>0</v>
      </c>
      <c r="W509" s="25">
        <f t="shared" si="161"/>
        <v>0</v>
      </c>
      <c r="X509" s="64">
        <f t="shared" si="162"/>
        <v>0</v>
      </c>
      <c r="Y509" s="64">
        <f t="shared" si="163"/>
        <v>0</v>
      </c>
      <c r="Z509" s="64">
        <f t="shared" si="164"/>
        <v>0</v>
      </c>
      <c r="AA509" s="64">
        <f t="shared" si="165"/>
        <v>0</v>
      </c>
      <c r="AB509" s="64">
        <f t="shared" si="166"/>
        <v>0</v>
      </c>
      <c r="AC509" s="64">
        <f t="shared" si="167"/>
        <v>0</v>
      </c>
      <c r="AD509" s="64">
        <f t="shared" si="168"/>
        <v>0</v>
      </c>
      <c r="AE509" s="64">
        <f t="shared" si="169"/>
        <v>0</v>
      </c>
      <c r="AF509" s="64">
        <f t="shared" si="170"/>
        <v>0</v>
      </c>
      <c r="AG509" s="29">
        <f t="shared" si="171"/>
        <v>281.82</v>
      </c>
    </row>
    <row r="510" spans="1:33">
      <c r="A510" s="265">
        <v>20910010</v>
      </c>
      <c r="B510" s="265" t="s">
        <v>843</v>
      </c>
      <c r="C510" s="265" t="s">
        <v>838</v>
      </c>
      <c r="D510" s="265">
        <v>100000043</v>
      </c>
      <c r="E510" s="265" t="s">
        <v>839</v>
      </c>
      <c r="F510" s="265" t="s">
        <v>0</v>
      </c>
      <c r="G510" s="266">
        <v>100849.59</v>
      </c>
      <c r="H510" s="266">
        <v>100849.59</v>
      </c>
      <c r="I510" s="268">
        <v>46042</v>
      </c>
      <c r="J510" s="268">
        <v>46132</v>
      </c>
      <c r="K510" s="268">
        <v>46132</v>
      </c>
      <c r="L510" s="224" t="str">
        <f t="shared" si="172"/>
        <v>20910010_AUD_100000043_MUFG SECURITIES EMEA PLC</v>
      </c>
      <c r="M510" s="221">
        <f t="shared" si="152"/>
        <v>100849.59</v>
      </c>
      <c r="N510" s="24" t="str">
        <f>IF(OR(L510=$L$2,L510=$L$3),$M$10+1,IFERROR(VLOOKUP(A510,'Repricing Maturity Adj.'!$A$3:$C$170,3,0),(IF(K510&lt;$M$10,"Check",K510))))</f>
        <v>Non_sensitive</v>
      </c>
      <c r="O510" s="62" t="b">
        <f t="shared" si="153"/>
        <v>1</v>
      </c>
      <c r="P510" s="63" t="str">
        <f t="shared" si="154"/>
        <v>Liability</v>
      </c>
      <c r="Q510" s="25">
        <f t="shared" si="155"/>
        <v>0</v>
      </c>
      <c r="R510" s="25">
        <f t="shared" si="156"/>
        <v>0</v>
      </c>
      <c r="S510" s="25">
        <f t="shared" si="157"/>
        <v>0</v>
      </c>
      <c r="T510" s="25">
        <f t="shared" si="158"/>
        <v>0</v>
      </c>
      <c r="U510" s="25">
        <f t="shared" si="159"/>
        <v>0</v>
      </c>
      <c r="V510" s="25">
        <f t="shared" si="160"/>
        <v>0</v>
      </c>
      <c r="W510" s="25">
        <f t="shared" si="161"/>
        <v>0</v>
      </c>
      <c r="X510" s="64">
        <f t="shared" si="162"/>
        <v>0</v>
      </c>
      <c r="Y510" s="64">
        <f t="shared" si="163"/>
        <v>0</v>
      </c>
      <c r="Z510" s="64">
        <f t="shared" si="164"/>
        <v>0</v>
      </c>
      <c r="AA510" s="64">
        <f t="shared" si="165"/>
        <v>0</v>
      </c>
      <c r="AB510" s="64">
        <f t="shared" si="166"/>
        <v>0</v>
      </c>
      <c r="AC510" s="64">
        <f t="shared" si="167"/>
        <v>0</v>
      </c>
      <c r="AD510" s="64">
        <f t="shared" si="168"/>
        <v>0</v>
      </c>
      <c r="AE510" s="64">
        <f t="shared" si="169"/>
        <v>0</v>
      </c>
      <c r="AF510" s="64">
        <f t="shared" si="170"/>
        <v>0</v>
      </c>
      <c r="AG510" s="29">
        <f t="shared" si="171"/>
        <v>100849.59</v>
      </c>
    </row>
    <row r="511" spans="1:33">
      <c r="A511" s="265">
        <v>20920006</v>
      </c>
      <c r="B511" s="265" t="s">
        <v>441</v>
      </c>
      <c r="C511" s="265" t="s">
        <v>528</v>
      </c>
      <c r="D511" s="265">
        <v>100000020</v>
      </c>
      <c r="E511" s="265" t="s">
        <v>503</v>
      </c>
      <c r="F511" s="265" t="s">
        <v>0</v>
      </c>
      <c r="G511" s="266">
        <v>48857.14</v>
      </c>
      <c r="H511" s="266">
        <v>48857.14</v>
      </c>
      <c r="I511" s="268">
        <v>45240</v>
      </c>
      <c r="J511" s="268">
        <v>47787</v>
      </c>
      <c r="K511" s="267"/>
      <c r="L511" s="224" t="str">
        <f t="shared" si="172"/>
        <v>20920006_AUD_100000020_APA INFRASTRUCTURE LIMITED</v>
      </c>
      <c r="M511" s="221">
        <f t="shared" ref="M511:M572" si="173">IF(COUNTIF($A$2:$A$8,A511)&gt;0,-H511,H511)</f>
        <v>-48857.14</v>
      </c>
      <c r="N511" s="24" t="str">
        <f>IF(OR(L511=$L$2,L511=$L$3),$M$10+1,IFERROR(VLOOKUP(A511,'Repricing Maturity Adj.'!$A$3:$C$170,3,0),(IF(K511&lt;$M$10,"Check",K511))))</f>
        <v>Non_sensitive</v>
      </c>
      <c r="O511" s="62" t="b">
        <f t="shared" ref="O511:O572" si="174">M511=SUM(Q511:AG511)</f>
        <v>1</v>
      </c>
      <c r="P511" s="63" t="str">
        <f t="shared" ref="P511:P572" si="175">IF(A511="","N/A",IF(COUNTIF($A$2:$A$7,A511)&gt;0,"Liability",IF(COUNTIF($A$8,A511)&gt;0,"Asset",IF(A511&lt;20000000,"Asset",IF(AND(A511&gt;20000000,A511&lt;28800000),"Liability",IF(A511&gt;28800000,"Equity",""))))))</f>
        <v>Asset</v>
      </c>
      <c r="Q511" s="25">
        <f t="shared" ref="Q511:Q572" si="176">IF(AND(N511&gt;$Q$9,N511&lt;$Q$10),M511,IF(N511=$Q$10,M511,0))</f>
        <v>0</v>
      </c>
      <c r="R511" s="25">
        <f t="shared" ref="R511:R572" si="177">IF(AND(N511&gt;$R$9,N511&lt;$R$10),M511,IF(N511=$R$10,M511,0))</f>
        <v>0</v>
      </c>
      <c r="S511" s="25">
        <f t="shared" ref="S511:S572" si="178">IF(AND(N511&gt;$S$9,N511&lt;$S$10),M511,IF(N511=$S$10,M511,0))</f>
        <v>0</v>
      </c>
      <c r="T511" s="25">
        <f t="shared" ref="T511:T572" si="179">IF(AND(N511&gt;$T$9,N511&lt;$T$10),M511,IF(N511=$T$10,M511,0))</f>
        <v>0</v>
      </c>
      <c r="U511" s="25">
        <f t="shared" ref="U511:U572" si="180">IF(AND(N511&gt;$U$9,N511&lt;$U$10),M511,IF(N511=$U$10,M511,0))</f>
        <v>0</v>
      </c>
      <c r="V511" s="25">
        <f t="shared" ref="V511:V572" si="181">IF(AND(N511&gt;$V$9,N511&lt;$V$10),M511,IF(N511=$V$10,M511,0))</f>
        <v>0</v>
      </c>
      <c r="W511" s="25">
        <f t="shared" ref="W511:W572" si="182">IF(AND(N511&gt;$W$9,N511&lt;$W$10),M511,IF(N511=$W$10,M511,0))</f>
        <v>0</v>
      </c>
      <c r="X511" s="64">
        <f t="shared" ref="X511:X572" si="183">IF(AND(N511&gt;$X$9,N511&lt;$X$10),M511,IF(N511=$X$10,M511,0))</f>
        <v>0</v>
      </c>
      <c r="Y511" s="64">
        <f t="shared" ref="Y511:Y572" si="184">IF(AND(N511&gt;$Y$9,N511&lt;$Y$10),M511,IF(N511=$Y$10,M511,0))</f>
        <v>0</v>
      </c>
      <c r="Z511" s="64">
        <f t="shared" ref="Z511:Z572" si="185">IF(AND(N511&gt;$Z$9,N511&lt;$Z$10),M511,IF(N511=$Z$10,M511,0))</f>
        <v>0</v>
      </c>
      <c r="AA511" s="64">
        <f t="shared" ref="AA511:AA572" si="186">IF(AND(N511&gt;$AA$9,N511&lt;$AA$10),M511,IF(N511=$AA$10,M511,0))</f>
        <v>0</v>
      </c>
      <c r="AB511" s="64">
        <f t="shared" ref="AB511:AB572" si="187">IF(AND(N511&gt;$AB$9,N511&lt;$AB$10),M511,IF(N511=$AB$10,M511,0))</f>
        <v>0</v>
      </c>
      <c r="AC511" s="64">
        <f t="shared" ref="AC511:AC572" si="188">IF(AND(N511&gt;$AC$9,N511&lt;$AC$10),M511,IF(N511=$AC$10,M511,0))</f>
        <v>0</v>
      </c>
      <c r="AD511" s="64">
        <f t="shared" ref="AD511:AD572" si="189">IF(AND(N511&gt;$AD$9,N511&lt;$AD$10),M511,IF(N511=$AD$10,M511,0))</f>
        <v>0</v>
      </c>
      <c r="AE511" s="64">
        <f t="shared" ref="AE511:AE572" si="190">IF(AND(N511&gt;$AE$9,N511&lt;$AE$10),M511,IF(N511=$AE$10,M511,0))</f>
        <v>0</v>
      </c>
      <c r="AF511" s="64">
        <f t="shared" ref="AF511:AF572" si="191">IF(AND(N511&gt;$AF$9,N511&lt;$AF$10),M511,IF(N511=$AF$10,M511,0))</f>
        <v>0</v>
      </c>
      <c r="AG511" s="29">
        <f t="shared" ref="AG511:AG572" si="192">IF(N511=$AG$9,M511,0)</f>
        <v>-48857.14</v>
      </c>
    </row>
    <row r="512" spans="1:33">
      <c r="A512" s="265">
        <v>20920006</v>
      </c>
      <c r="B512" s="265" t="s">
        <v>441</v>
      </c>
      <c r="C512" s="265" t="s">
        <v>529</v>
      </c>
      <c r="D512" s="265">
        <v>100000020</v>
      </c>
      <c r="E512" s="265" t="s">
        <v>503</v>
      </c>
      <c r="F512" s="265" t="s">
        <v>0</v>
      </c>
      <c r="G512" s="266">
        <v>55817.78</v>
      </c>
      <c r="H512" s="266">
        <v>55817.78</v>
      </c>
      <c r="I512" s="268">
        <v>45240</v>
      </c>
      <c r="J512" s="268">
        <v>48883</v>
      </c>
      <c r="K512" s="267"/>
      <c r="L512" s="224" t="str">
        <f t="shared" ref="L512:L572" si="193">A512&amp;"_"&amp;F512&amp;"_"&amp;D512&amp;"_"&amp;E512</f>
        <v>20920006_AUD_100000020_APA INFRASTRUCTURE LIMITED</v>
      </c>
      <c r="M512" s="221">
        <f t="shared" si="173"/>
        <v>-55817.78</v>
      </c>
      <c r="N512" s="24" t="str">
        <f>IF(OR(L512=$L$2,L512=$L$3),$M$10+1,IFERROR(VLOOKUP(A512,'Repricing Maturity Adj.'!$A$3:$C$170,3,0),(IF(K512&lt;$M$10,"Check",K512))))</f>
        <v>Non_sensitive</v>
      </c>
      <c r="O512" s="62" t="b">
        <f t="shared" si="174"/>
        <v>1</v>
      </c>
      <c r="P512" s="63" t="str">
        <f t="shared" si="175"/>
        <v>Asset</v>
      </c>
      <c r="Q512" s="25">
        <f t="shared" si="176"/>
        <v>0</v>
      </c>
      <c r="R512" s="25">
        <f t="shared" si="177"/>
        <v>0</v>
      </c>
      <c r="S512" s="25">
        <f t="shared" si="178"/>
        <v>0</v>
      </c>
      <c r="T512" s="25">
        <f t="shared" si="179"/>
        <v>0</v>
      </c>
      <c r="U512" s="25">
        <f t="shared" si="180"/>
        <v>0</v>
      </c>
      <c r="V512" s="25">
        <f t="shared" si="181"/>
        <v>0</v>
      </c>
      <c r="W512" s="25">
        <f t="shared" si="182"/>
        <v>0</v>
      </c>
      <c r="X512" s="64">
        <f t="shared" si="183"/>
        <v>0</v>
      </c>
      <c r="Y512" s="64">
        <f t="shared" si="184"/>
        <v>0</v>
      </c>
      <c r="Z512" s="64">
        <f t="shared" si="185"/>
        <v>0</v>
      </c>
      <c r="AA512" s="64">
        <f t="shared" si="186"/>
        <v>0</v>
      </c>
      <c r="AB512" s="64">
        <f t="shared" si="187"/>
        <v>0</v>
      </c>
      <c r="AC512" s="64">
        <f t="shared" si="188"/>
        <v>0</v>
      </c>
      <c r="AD512" s="64">
        <f t="shared" si="189"/>
        <v>0</v>
      </c>
      <c r="AE512" s="64">
        <f t="shared" si="190"/>
        <v>0</v>
      </c>
      <c r="AF512" s="64">
        <f t="shared" si="191"/>
        <v>0</v>
      </c>
      <c r="AG512" s="29">
        <f t="shared" si="192"/>
        <v>-55817.78</v>
      </c>
    </row>
    <row r="513" spans="1:33">
      <c r="A513" s="265">
        <v>20920006</v>
      </c>
      <c r="B513" s="265" t="s">
        <v>441</v>
      </c>
      <c r="C513" s="265" t="s">
        <v>608</v>
      </c>
      <c r="D513" s="265">
        <v>100000035</v>
      </c>
      <c r="E513" s="265" t="s">
        <v>594</v>
      </c>
      <c r="F513" s="265" t="s">
        <v>0</v>
      </c>
      <c r="G513" s="266">
        <v>93165.43</v>
      </c>
      <c r="H513" s="266">
        <v>93165.43</v>
      </c>
      <c r="I513" s="268">
        <v>45629</v>
      </c>
      <c r="J513" s="268">
        <v>48185</v>
      </c>
      <c r="K513" s="267"/>
      <c r="L513" s="224" t="str">
        <f t="shared" si="193"/>
        <v>20920006_AUD_100000035_NEXTDC LIMITED</v>
      </c>
      <c r="M513" s="221">
        <f t="shared" si="173"/>
        <v>-93165.43</v>
      </c>
      <c r="N513" s="24" t="str">
        <f>IF(OR(L513=$L$2,L513=$L$3),$M$10+1,IFERROR(VLOOKUP(A513,'Repricing Maturity Adj.'!$A$3:$C$170,3,0),(IF(K513&lt;$M$10,"Check",K513))))</f>
        <v>Non_sensitive</v>
      </c>
      <c r="O513" s="62" t="b">
        <f t="shared" si="174"/>
        <v>1</v>
      </c>
      <c r="P513" s="63" t="str">
        <f t="shared" si="175"/>
        <v>Asset</v>
      </c>
      <c r="Q513" s="25">
        <f t="shared" si="176"/>
        <v>0</v>
      </c>
      <c r="R513" s="25">
        <f t="shared" si="177"/>
        <v>0</v>
      </c>
      <c r="S513" s="25">
        <f t="shared" si="178"/>
        <v>0</v>
      </c>
      <c r="T513" s="25">
        <f t="shared" si="179"/>
        <v>0</v>
      </c>
      <c r="U513" s="25">
        <f t="shared" si="180"/>
        <v>0</v>
      </c>
      <c r="V513" s="25">
        <f t="shared" si="181"/>
        <v>0</v>
      </c>
      <c r="W513" s="25">
        <f t="shared" si="182"/>
        <v>0</v>
      </c>
      <c r="X513" s="64">
        <f t="shared" si="183"/>
        <v>0</v>
      </c>
      <c r="Y513" s="64">
        <f t="shared" si="184"/>
        <v>0</v>
      </c>
      <c r="Z513" s="64">
        <f t="shared" si="185"/>
        <v>0</v>
      </c>
      <c r="AA513" s="64">
        <f t="shared" si="186"/>
        <v>0</v>
      </c>
      <c r="AB513" s="64">
        <f t="shared" si="187"/>
        <v>0</v>
      </c>
      <c r="AC513" s="64">
        <f t="shared" si="188"/>
        <v>0</v>
      </c>
      <c r="AD513" s="64">
        <f t="shared" si="189"/>
        <v>0</v>
      </c>
      <c r="AE513" s="64">
        <f t="shared" si="190"/>
        <v>0</v>
      </c>
      <c r="AF513" s="64">
        <f t="shared" si="191"/>
        <v>0</v>
      </c>
      <c r="AG513" s="29">
        <f t="shared" si="192"/>
        <v>-93165.43</v>
      </c>
    </row>
    <row r="514" spans="1:33">
      <c r="A514" s="265">
        <v>20920006</v>
      </c>
      <c r="B514" s="265" t="s">
        <v>441</v>
      </c>
      <c r="C514" s="265" t="s">
        <v>657</v>
      </c>
      <c r="D514" s="265">
        <v>100000040</v>
      </c>
      <c r="E514" s="265" t="s">
        <v>636</v>
      </c>
      <c r="F514" s="265" t="s">
        <v>0</v>
      </c>
      <c r="G514" s="266">
        <v>222857.98</v>
      </c>
      <c r="H514" s="266">
        <v>222857.98</v>
      </c>
      <c r="I514" s="268">
        <v>45828</v>
      </c>
      <c r="J514" s="268">
        <v>48383</v>
      </c>
      <c r="K514" s="267"/>
      <c r="L514" s="224" t="str">
        <f t="shared" si="193"/>
        <v>20920006_AUD_100000040_DOWNER GROUP FINANCE PTY LIMITED</v>
      </c>
      <c r="M514" s="221">
        <f t="shared" si="173"/>
        <v>-222857.98</v>
      </c>
      <c r="N514" s="24" t="str">
        <f>IF(OR(L514=$L$2,L514=$L$3),$M$10+1,IFERROR(VLOOKUP(A514,'Repricing Maturity Adj.'!$A$3:$C$170,3,0),(IF(K514&lt;$M$10,"Check",K514))))</f>
        <v>Non_sensitive</v>
      </c>
      <c r="O514" s="62" t="b">
        <f t="shared" si="174"/>
        <v>1</v>
      </c>
      <c r="P514" s="63" t="str">
        <f t="shared" si="175"/>
        <v>Asset</v>
      </c>
      <c r="Q514" s="25">
        <f t="shared" si="176"/>
        <v>0</v>
      </c>
      <c r="R514" s="25">
        <f t="shared" si="177"/>
        <v>0</v>
      </c>
      <c r="S514" s="25">
        <f t="shared" si="178"/>
        <v>0</v>
      </c>
      <c r="T514" s="25">
        <f t="shared" si="179"/>
        <v>0</v>
      </c>
      <c r="U514" s="25">
        <f t="shared" si="180"/>
        <v>0</v>
      </c>
      <c r="V514" s="25">
        <f t="shared" si="181"/>
        <v>0</v>
      </c>
      <c r="W514" s="25">
        <f t="shared" si="182"/>
        <v>0</v>
      </c>
      <c r="X514" s="64">
        <f t="shared" si="183"/>
        <v>0</v>
      </c>
      <c r="Y514" s="64">
        <f t="shared" si="184"/>
        <v>0</v>
      </c>
      <c r="Z514" s="64">
        <f t="shared" si="185"/>
        <v>0</v>
      </c>
      <c r="AA514" s="64">
        <f t="shared" si="186"/>
        <v>0</v>
      </c>
      <c r="AB514" s="64">
        <f t="shared" si="187"/>
        <v>0</v>
      </c>
      <c r="AC514" s="64">
        <f t="shared" si="188"/>
        <v>0</v>
      </c>
      <c r="AD514" s="64">
        <f t="shared" si="189"/>
        <v>0</v>
      </c>
      <c r="AE514" s="64">
        <f t="shared" si="190"/>
        <v>0</v>
      </c>
      <c r="AF514" s="64">
        <f t="shared" si="191"/>
        <v>0</v>
      </c>
      <c r="AG514" s="29">
        <f t="shared" si="192"/>
        <v>-222857.98</v>
      </c>
    </row>
    <row r="515" spans="1:33">
      <c r="A515" s="265">
        <v>20920006</v>
      </c>
      <c r="B515" s="265" t="s">
        <v>441</v>
      </c>
      <c r="C515" s="265" t="s">
        <v>658</v>
      </c>
      <c r="D515" s="265">
        <v>100000020</v>
      </c>
      <c r="E515" s="265" t="s">
        <v>503</v>
      </c>
      <c r="F515" s="265" t="s">
        <v>0</v>
      </c>
      <c r="G515" s="266">
        <v>62988.43</v>
      </c>
      <c r="H515" s="266">
        <v>62988.43</v>
      </c>
      <c r="I515" s="268">
        <v>45833</v>
      </c>
      <c r="J515" s="268">
        <v>48426</v>
      </c>
      <c r="K515" s="267"/>
      <c r="L515" s="224" t="str">
        <f t="shared" si="193"/>
        <v>20920006_AUD_100000020_APA INFRASTRUCTURE LIMITED</v>
      </c>
      <c r="M515" s="221">
        <f t="shared" si="173"/>
        <v>-62988.43</v>
      </c>
      <c r="N515" s="24" t="str">
        <f>IF(OR(L515=$L$2,L515=$L$3),$M$10+1,IFERROR(VLOOKUP(A515,'Repricing Maturity Adj.'!$A$3:$C$170,3,0),(IF(K515&lt;$M$10,"Check",K515))))</f>
        <v>Non_sensitive</v>
      </c>
      <c r="O515" s="62" t="b">
        <f t="shared" si="174"/>
        <v>1</v>
      </c>
      <c r="P515" s="63" t="str">
        <f t="shared" si="175"/>
        <v>Asset</v>
      </c>
      <c r="Q515" s="25">
        <f t="shared" si="176"/>
        <v>0</v>
      </c>
      <c r="R515" s="25">
        <f t="shared" si="177"/>
        <v>0</v>
      </c>
      <c r="S515" s="25">
        <f t="shared" si="178"/>
        <v>0</v>
      </c>
      <c r="T515" s="25">
        <f t="shared" si="179"/>
        <v>0</v>
      </c>
      <c r="U515" s="25">
        <f t="shared" si="180"/>
        <v>0</v>
      </c>
      <c r="V515" s="25">
        <f t="shared" si="181"/>
        <v>0</v>
      </c>
      <c r="W515" s="25">
        <f t="shared" si="182"/>
        <v>0</v>
      </c>
      <c r="X515" s="64">
        <f t="shared" si="183"/>
        <v>0</v>
      </c>
      <c r="Y515" s="64">
        <f t="shared" si="184"/>
        <v>0</v>
      </c>
      <c r="Z515" s="64">
        <f t="shared" si="185"/>
        <v>0</v>
      </c>
      <c r="AA515" s="64">
        <f t="shared" si="186"/>
        <v>0</v>
      </c>
      <c r="AB515" s="64">
        <f t="shared" si="187"/>
        <v>0</v>
      </c>
      <c r="AC515" s="64">
        <f t="shared" si="188"/>
        <v>0</v>
      </c>
      <c r="AD515" s="64">
        <f t="shared" si="189"/>
        <v>0</v>
      </c>
      <c r="AE515" s="64">
        <f t="shared" si="190"/>
        <v>0</v>
      </c>
      <c r="AF515" s="64">
        <f t="shared" si="191"/>
        <v>0</v>
      </c>
      <c r="AG515" s="29">
        <f t="shared" si="192"/>
        <v>-62988.43</v>
      </c>
    </row>
    <row r="516" spans="1:33">
      <c r="A516" s="265">
        <v>20920006</v>
      </c>
      <c r="B516" s="265" t="s">
        <v>441</v>
      </c>
      <c r="C516" s="265" t="s">
        <v>285</v>
      </c>
      <c r="D516" s="265">
        <v>100000014</v>
      </c>
      <c r="E516" s="265" t="s">
        <v>278</v>
      </c>
      <c r="F516" s="265" t="s">
        <v>301</v>
      </c>
      <c r="G516" s="266">
        <v>307396.93</v>
      </c>
      <c r="H516" s="266">
        <v>439263.98</v>
      </c>
      <c r="I516" s="268">
        <v>45106</v>
      </c>
      <c r="J516" s="268">
        <v>47579</v>
      </c>
      <c r="K516" s="267"/>
      <c r="L516" s="224" t="str">
        <f t="shared" si="193"/>
        <v>20920006_USD_100000014_PERDAMAN CHEMICALS &amp; FERTILISERS (FINANCE)PTY LTD</v>
      </c>
      <c r="M516" s="221">
        <f t="shared" si="173"/>
        <v>-439263.98</v>
      </c>
      <c r="N516" s="24" t="str">
        <f>IF(OR(L516=$L$2,L516=$L$3),$M$10+1,IFERROR(VLOOKUP(A516,'Repricing Maturity Adj.'!$A$3:$C$170,3,0),(IF(K516&lt;$M$10,"Check",K516))))</f>
        <v>Non_sensitive</v>
      </c>
      <c r="O516" s="62" t="b">
        <f t="shared" si="174"/>
        <v>1</v>
      </c>
      <c r="P516" s="63" t="str">
        <f t="shared" si="175"/>
        <v>Asset</v>
      </c>
      <c r="Q516" s="25">
        <f t="shared" si="176"/>
        <v>0</v>
      </c>
      <c r="R516" s="25">
        <f t="shared" si="177"/>
        <v>0</v>
      </c>
      <c r="S516" s="25">
        <f t="shared" si="178"/>
        <v>0</v>
      </c>
      <c r="T516" s="25">
        <f t="shared" si="179"/>
        <v>0</v>
      </c>
      <c r="U516" s="25">
        <f t="shared" si="180"/>
        <v>0</v>
      </c>
      <c r="V516" s="25">
        <f t="shared" si="181"/>
        <v>0</v>
      </c>
      <c r="W516" s="25">
        <f t="shared" si="182"/>
        <v>0</v>
      </c>
      <c r="X516" s="64">
        <f t="shared" si="183"/>
        <v>0</v>
      </c>
      <c r="Y516" s="64">
        <f t="shared" si="184"/>
        <v>0</v>
      </c>
      <c r="Z516" s="64">
        <f t="shared" si="185"/>
        <v>0</v>
      </c>
      <c r="AA516" s="64">
        <f t="shared" si="186"/>
        <v>0</v>
      </c>
      <c r="AB516" s="64">
        <f t="shared" si="187"/>
        <v>0</v>
      </c>
      <c r="AC516" s="64">
        <f t="shared" si="188"/>
        <v>0</v>
      </c>
      <c r="AD516" s="64">
        <f t="shared" si="189"/>
        <v>0</v>
      </c>
      <c r="AE516" s="64">
        <f t="shared" si="190"/>
        <v>0</v>
      </c>
      <c r="AF516" s="64">
        <f t="shared" si="191"/>
        <v>0</v>
      </c>
      <c r="AG516" s="29">
        <f t="shared" si="192"/>
        <v>-439263.98</v>
      </c>
    </row>
    <row r="517" spans="1:33">
      <c r="A517" s="265">
        <v>20920006</v>
      </c>
      <c r="B517" s="265" t="s">
        <v>441</v>
      </c>
      <c r="C517" s="265" t="s">
        <v>569</v>
      </c>
      <c r="D517" s="265">
        <v>100000031</v>
      </c>
      <c r="E517" s="265" t="s">
        <v>553</v>
      </c>
      <c r="F517" s="265" t="s">
        <v>0</v>
      </c>
      <c r="G517" s="266">
        <v>53594.18</v>
      </c>
      <c r="H517" s="266">
        <v>53594.18</v>
      </c>
      <c r="I517" s="268">
        <v>45463</v>
      </c>
      <c r="J517" s="268">
        <v>48005</v>
      </c>
      <c r="K517" s="267"/>
      <c r="L517" s="224" t="str">
        <f t="shared" si="193"/>
        <v>20920006_AUD_100000031_ORIGIN ENERGY LIMITED</v>
      </c>
      <c r="M517" s="221">
        <f t="shared" si="173"/>
        <v>-53594.18</v>
      </c>
      <c r="N517" s="24" t="str">
        <f>IF(OR(L517=$L$2,L517=$L$3),$M$10+1,IFERROR(VLOOKUP(A517,'Repricing Maturity Adj.'!$A$3:$C$170,3,0),(IF(K517&lt;$M$10,"Check",K517))))</f>
        <v>Non_sensitive</v>
      </c>
      <c r="O517" s="62" t="b">
        <f t="shared" si="174"/>
        <v>1</v>
      </c>
      <c r="P517" s="63" t="str">
        <f t="shared" si="175"/>
        <v>Asset</v>
      </c>
      <c r="Q517" s="25">
        <f t="shared" si="176"/>
        <v>0</v>
      </c>
      <c r="R517" s="25">
        <f t="shared" si="177"/>
        <v>0</v>
      </c>
      <c r="S517" s="25">
        <f t="shared" si="178"/>
        <v>0</v>
      </c>
      <c r="T517" s="25">
        <f t="shared" si="179"/>
        <v>0</v>
      </c>
      <c r="U517" s="25">
        <f t="shared" si="180"/>
        <v>0</v>
      </c>
      <c r="V517" s="25">
        <f t="shared" si="181"/>
        <v>0</v>
      </c>
      <c r="W517" s="25">
        <f t="shared" si="182"/>
        <v>0</v>
      </c>
      <c r="X517" s="64">
        <f t="shared" si="183"/>
        <v>0</v>
      </c>
      <c r="Y517" s="64">
        <f t="shared" si="184"/>
        <v>0</v>
      </c>
      <c r="Z517" s="64">
        <f t="shared" si="185"/>
        <v>0</v>
      </c>
      <c r="AA517" s="64">
        <f t="shared" si="186"/>
        <v>0</v>
      </c>
      <c r="AB517" s="64">
        <f t="shared" si="187"/>
        <v>0</v>
      </c>
      <c r="AC517" s="64">
        <f t="shared" si="188"/>
        <v>0</v>
      </c>
      <c r="AD517" s="64">
        <f t="shared" si="189"/>
        <v>0</v>
      </c>
      <c r="AE517" s="64">
        <f t="shared" si="190"/>
        <v>0</v>
      </c>
      <c r="AF517" s="64">
        <f t="shared" si="191"/>
        <v>0</v>
      </c>
      <c r="AG517" s="29">
        <f t="shared" si="192"/>
        <v>-53594.18</v>
      </c>
    </row>
    <row r="518" spans="1:33">
      <c r="A518" s="265">
        <v>20920006</v>
      </c>
      <c r="B518" s="265" t="s">
        <v>441</v>
      </c>
      <c r="C518" s="265" t="s">
        <v>587</v>
      </c>
      <c r="D518" s="265">
        <v>100000033</v>
      </c>
      <c r="E518" s="265" t="s">
        <v>573</v>
      </c>
      <c r="F518" s="265" t="s">
        <v>301</v>
      </c>
      <c r="G518" s="266">
        <v>133308.71</v>
      </c>
      <c r="H518" s="266">
        <v>190495.44</v>
      </c>
      <c r="I518" s="268">
        <v>45565</v>
      </c>
      <c r="J518" s="268">
        <v>48136</v>
      </c>
      <c r="K518" s="267"/>
      <c r="L518" s="224" t="str">
        <f t="shared" si="193"/>
        <v>20920006_USD_100000033_MACQUARIE GROUP LIMITED</v>
      </c>
      <c r="M518" s="221">
        <f t="shared" si="173"/>
        <v>-190495.44</v>
      </c>
      <c r="N518" s="24" t="str">
        <f>IF(OR(L518=$L$2,L518=$L$3),$M$10+1,IFERROR(VLOOKUP(A518,'Repricing Maturity Adj.'!$A$3:$C$170,3,0),(IF(K518&lt;$M$10,"Check",K518))))</f>
        <v>Non_sensitive</v>
      </c>
      <c r="O518" s="62" t="b">
        <f t="shared" si="174"/>
        <v>1</v>
      </c>
      <c r="P518" s="63" t="str">
        <f t="shared" si="175"/>
        <v>Asset</v>
      </c>
      <c r="Q518" s="25">
        <f t="shared" si="176"/>
        <v>0</v>
      </c>
      <c r="R518" s="25">
        <f t="shared" si="177"/>
        <v>0</v>
      </c>
      <c r="S518" s="25">
        <f t="shared" si="178"/>
        <v>0</v>
      </c>
      <c r="T518" s="25">
        <f t="shared" si="179"/>
        <v>0</v>
      </c>
      <c r="U518" s="25">
        <f t="shared" si="180"/>
        <v>0</v>
      </c>
      <c r="V518" s="25">
        <f t="shared" si="181"/>
        <v>0</v>
      </c>
      <c r="W518" s="25">
        <f t="shared" si="182"/>
        <v>0</v>
      </c>
      <c r="X518" s="64">
        <f t="shared" si="183"/>
        <v>0</v>
      </c>
      <c r="Y518" s="64">
        <f t="shared" si="184"/>
        <v>0</v>
      </c>
      <c r="Z518" s="64">
        <f t="shared" si="185"/>
        <v>0</v>
      </c>
      <c r="AA518" s="64">
        <f t="shared" si="186"/>
        <v>0</v>
      </c>
      <c r="AB518" s="64">
        <f t="shared" si="187"/>
        <v>0</v>
      </c>
      <c r="AC518" s="64">
        <f t="shared" si="188"/>
        <v>0</v>
      </c>
      <c r="AD518" s="64">
        <f t="shared" si="189"/>
        <v>0</v>
      </c>
      <c r="AE518" s="64">
        <f t="shared" si="190"/>
        <v>0</v>
      </c>
      <c r="AF518" s="64">
        <f t="shared" si="191"/>
        <v>0</v>
      </c>
      <c r="AG518" s="29">
        <f t="shared" si="192"/>
        <v>-190495.44</v>
      </c>
    </row>
    <row r="519" spans="1:33">
      <c r="A519" s="265">
        <v>20920006</v>
      </c>
      <c r="B519" s="265" t="s">
        <v>441</v>
      </c>
      <c r="C519" s="265" t="s">
        <v>588</v>
      </c>
      <c r="D519" s="265">
        <v>100000033</v>
      </c>
      <c r="E519" s="265" t="s">
        <v>573</v>
      </c>
      <c r="F519" s="265" t="s">
        <v>301</v>
      </c>
      <c r="G519" s="266">
        <v>44436.24</v>
      </c>
      <c r="H519" s="266">
        <v>63498.49</v>
      </c>
      <c r="I519" s="268">
        <v>45565</v>
      </c>
      <c r="J519" s="268">
        <v>48136</v>
      </c>
      <c r="K519" s="267"/>
      <c r="L519" s="224" t="str">
        <f t="shared" si="193"/>
        <v>20920006_USD_100000033_MACQUARIE GROUP LIMITED</v>
      </c>
      <c r="M519" s="221">
        <f t="shared" si="173"/>
        <v>-63498.49</v>
      </c>
      <c r="N519" s="24" t="str">
        <f>IF(OR(L519=$L$2,L519=$L$3),$M$10+1,IFERROR(VLOOKUP(A519,'Repricing Maturity Adj.'!$A$3:$C$170,3,0),(IF(K519&lt;$M$10,"Check",K519))))</f>
        <v>Non_sensitive</v>
      </c>
      <c r="O519" s="62" t="b">
        <f t="shared" si="174"/>
        <v>1</v>
      </c>
      <c r="P519" s="63" t="str">
        <f t="shared" si="175"/>
        <v>Asset</v>
      </c>
      <c r="Q519" s="25">
        <f t="shared" si="176"/>
        <v>0</v>
      </c>
      <c r="R519" s="25">
        <f t="shared" si="177"/>
        <v>0</v>
      </c>
      <c r="S519" s="25">
        <f t="shared" si="178"/>
        <v>0</v>
      </c>
      <c r="T519" s="25">
        <f t="shared" si="179"/>
        <v>0</v>
      </c>
      <c r="U519" s="25">
        <f t="shared" si="180"/>
        <v>0</v>
      </c>
      <c r="V519" s="25">
        <f t="shared" si="181"/>
        <v>0</v>
      </c>
      <c r="W519" s="25">
        <f t="shared" si="182"/>
        <v>0</v>
      </c>
      <c r="X519" s="64">
        <f t="shared" si="183"/>
        <v>0</v>
      </c>
      <c r="Y519" s="64">
        <f t="shared" si="184"/>
        <v>0</v>
      </c>
      <c r="Z519" s="64">
        <f t="shared" si="185"/>
        <v>0</v>
      </c>
      <c r="AA519" s="64">
        <f t="shared" si="186"/>
        <v>0</v>
      </c>
      <c r="AB519" s="64">
        <f t="shared" si="187"/>
        <v>0</v>
      </c>
      <c r="AC519" s="64">
        <f t="shared" si="188"/>
        <v>0</v>
      </c>
      <c r="AD519" s="64">
        <f t="shared" si="189"/>
        <v>0</v>
      </c>
      <c r="AE519" s="64">
        <f t="shared" si="190"/>
        <v>0</v>
      </c>
      <c r="AF519" s="64">
        <f t="shared" si="191"/>
        <v>0</v>
      </c>
      <c r="AG519" s="29">
        <f t="shared" si="192"/>
        <v>-63498.49</v>
      </c>
    </row>
    <row r="520" spans="1:33">
      <c r="A520" s="265">
        <v>20920006</v>
      </c>
      <c r="B520" s="265" t="s">
        <v>441</v>
      </c>
      <c r="C520" s="265" t="s">
        <v>659</v>
      </c>
      <c r="D520" s="265">
        <v>100000039</v>
      </c>
      <c r="E520" s="265" t="s">
        <v>634</v>
      </c>
      <c r="F520" s="265" t="s">
        <v>0</v>
      </c>
      <c r="G520" s="266">
        <v>28190.71</v>
      </c>
      <c r="H520" s="266">
        <v>28190.71</v>
      </c>
      <c r="I520" s="268">
        <v>45791</v>
      </c>
      <c r="J520" s="268">
        <v>48341</v>
      </c>
      <c r="K520" s="267"/>
      <c r="L520" s="224" t="str">
        <f t="shared" si="193"/>
        <v>20920006_AUD_100000039_QANTAS AIRWAYS LIMITED</v>
      </c>
      <c r="M520" s="221">
        <f t="shared" si="173"/>
        <v>-28190.71</v>
      </c>
      <c r="N520" s="24" t="str">
        <f>IF(OR(L520=$L$2,L520=$L$3),$M$10+1,IFERROR(VLOOKUP(A520,'Repricing Maturity Adj.'!$A$3:$C$170,3,0),(IF(K520&lt;$M$10,"Check",K520))))</f>
        <v>Non_sensitive</v>
      </c>
      <c r="O520" s="62" t="b">
        <f t="shared" si="174"/>
        <v>1</v>
      </c>
      <c r="P520" s="63" t="str">
        <f t="shared" si="175"/>
        <v>Asset</v>
      </c>
      <c r="Q520" s="25">
        <f t="shared" si="176"/>
        <v>0</v>
      </c>
      <c r="R520" s="25">
        <f t="shared" si="177"/>
        <v>0</v>
      </c>
      <c r="S520" s="25">
        <f t="shared" si="178"/>
        <v>0</v>
      </c>
      <c r="T520" s="25">
        <f t="shared" si="179"/>
        <v>0</v>
      </c>
      <c r="U520" s="25">
        <f t="shared" si="180"/>
        <v>0</v>
      </c>
      <c r="V520" s="25">
        <f t="shared" si="181"/>
        <v>0</v>
      </c>
      <c r="W520" s="25">
        <f t="shared" si="182"/>
        <v>0</v>
      </c>
      <c r="X520" s="64">
        <f t="shared" si="183"/>
        <v>0</v>
      </c>
      <c r="Y520" s="64">
        <f t="shared" si="184"/>
        <v>0</v>
      </c>
      <c r="Z520" s="64">
        <f t="shared" si="185"/>
        <v>0</v>
      </c>
      <c r="AA520" s="64">
        <f t="shared" si="186"/>
        <v>0</v>
      </c>
      <c r="AB520" s="64">
        <f t="shared" si="187"/>
        <v>0</v>
      </c>
      <c r="AC520" s="64">
        <f t="shared" si="188"/>
        <v>0</v>
      </c>
      <c r="AD520" s="64">
        <f t="shared" si="189"/>
        <v>0</v>
      </c>
      <c r="AE520" s="64">
        <f t="shared" si="190"/>
        <v>0</v>
      </c>
      <c r="AF520" s="64">
        <f t="shared" si="191"/>
        <v>0</v>
      </c>
      <c r="AG520" s="29">
        <f t="shared" si="192"/>
        <v>-28190.71</v>
      </c>
    </row>
    <row r="521" spans="1:33">
      <c r="A521" s="265">
        <v>20920006</v>
      </c>
      <c r="B521" s="265" t="s">
        <v>441</v>
      </c>
      <c r="C521" s="265" t="s">
        <v>660</v>
      </c>
      <c r="D521" s="265">
        <v>100000039</v>
      </c>
      <c r="E521" s="265" t="s">
        <v>634</v>
      </c>
      <c r="F521" s="265" t="s">
        <v>0</v>
      </c>
      <c r="G521" s="266">
        <v>28369.86</v>
      </c>
      <c r="H521" s="266">
        <v>28369.86</v>
      </c>
      <c r="I521" s="268">
        <v>45791</v>
      </c>
      <c r="J521" s="268">
        <v>48487</v>
      </c>
      <c r="K521" s="267"/>
      <c r="L521" s="224" t="str">
        <f t="shared" si="193"/>
        <v>20920006_AUD_100000039_QANTAS AIRWAYS LIMITED</v>
      </c>
      <c r="M521" s="221">
        <f t="shared" si="173"/>
        <v>-28369.86</v>
      </c>
      <c r="N521" s="24" t="str">
        <f>IF(OR(L521=$L$2,L521=$L$3),$M$10+1,IFERROR(VLOOKUP(A521,'Repricing Maturity Adj.'!$A$3:$C$170,3,0),(IF(K521&lt;$M$10,"Check",K521))))</f>
        <v>Non_sensitive</v>
      </c>
      <c r="O521" s="62" t="b">
        <f t="shared" si="174"/>
        <v>1</v>
      </c>
      <c r="P521" s="63" t="str">
        <f t="shared" si="175"/>
        <v>Asset</v>
      </c>
      <c r="Q521" s="25">
        <f t="shared" si="176"/>
        <v>0</v>
      </c>
      <c r="R521" s="25">
        <f t="shared" si="177"/>
        <v>0</v>
      </c>
      <c r="S521" s="25">
        <f t="shared" si="178"/>
        <v>0</v>
      </c>
      <c r="T521" s="25">
        <f t="shared" si="179"/>
        <v>0</v>
      </c>
      <c r="U521" s="25">
        <f t="shared" si="180"/>
        <v>0</v>
      </c>
      <c r="V521" s="25">
        <f t="shared" si="181"/>
        <v>0</v>
      </c>
      <c r="W521" s="25">
        <f t="shared" si="182"/>
        <v>0</v>
      </c>
      <c r="X521" s="64">
        <f t="shared" si="183"/>
        <v>0</v>
      </c>
      <c r="Y521" s="64">
        <f t="shared" si="184"/>
        <v>0</v>
      </c>
      <c r="Z521" s="64">
        <f t="shared" si="185"/>
        <v>0</v>
      </c>
      <c r="AA521" s="64">
        <f t="shared" si="186"/>
        <v>0</v>
      </c>
      <c r="AB521" s="64">
        <f t="shared" si="187"/>
        <v>0</v>
      </c>
      <c r="AC521" s="64">
        <f t="shared" si="188"/>
        <v>0</v>
      </c>
      <c r="AD521" s="64">
        <f t="shared" si="189"/>
        <v>0</v>
      </c>
      <c r="AE521" s="64">
        <f t="shared" si="190"/>
        <v>0</v>
      </c>
      <c r="AF521" s="64">
        <f t="shared" si="191"/>
        <v>0</v>
      </c>
      <c r="AG521" s="29">
        <f t="shared" si="192"/>
        <v>-28369.86</v>
      </c>
    </row>
    <row r="522" spans="1:33">
      <c r="A522" s="265">
        <v>20920006</v>
      </c>
      <c r="B522" s="265" t="s">
        <v>441</v>
      </c>
      <c r="C522" s="265" t="s">
        <v>844</v>
      </c>
      <c r="D522" s="265">
        <v>100000035</v>
      </c>
      <c r="E522" s="265" t="s">
        <v>594</v>
      </c>
      <c r="F522" s="265" t="s">
        <v>0</v>
      </c>
      <c r="G522" s="266">
        <v>202106.36</v>
      </c>
      <c r="H522" s="266">
        <v>202106.36</v>
      </c>
      <c r="I522" s="268">
        <v>45903</v>
      </c>
      <c r="J522" s="268">
        <v>47820</v>
      </c>
      <c r="K522" s="267"/>
      <c r="L522" s="224" t="str">
        <f t="shared" si="193"/>
        <v>20920006_AUD_100000035_NEXTDC LIMITED</v>
      </c>
      <c r="M522" s="221">
        <f t="shared" si="173"/>
        <v>-202106.36</v>
      </c>
      <c r="N522" s="24" t="str">
        <f>IF(OR(L522=$L$2,L522=$L$3),$M$10+1,IFERROR(VLOOKUP(A522,'Repricing Maturity Adj.'!$A$3:$C$170,3,0),(IF(K522&lt;$M$10,"Check",K522))))</f>
        <v>Non_sensitive</v>
      </c>
      <c r="O522" s="62" t="b">
        <f t="shared" si="174"/>
        <v>1</v>
      </c>
      <c r="P522" s="63" t="str">
        <f t="shared" si="175"/>
        <v>Asset</v>
      </c>
      <c r="Q522" s="25">
        <f t="shared" si="176"/>
        <v>0</v>
      </c>
      <c r="R522" s="25">
        <f t="shared" si="177"/>
        <v>0</v>
      </c>
      <c r="S522" s="25">
        <f t="shared" si="178"/>
        <v>0</v>
      </c>
      <c r="T522" s="25">
        <f t="shared" si="179"/>
        <v>0</v>
      </c>
      <c r="U522" s="25">
        <f t="shared" si="180"/>
        <v>0</v>
      </c>
      <c r="V522" s="25">
        <f t="shared" si="181"/>
        <v>0</v>
      </c>
      <c r="W522" s="25">
        <f t="shared" si="182"/>
        <v>0</v>
      </c>
      <c r="X522" s="64">
        <f t="shared" si="183"/>
        <v>0</v>
      </c>
      <c r="Y522" s="64">
        <f t="shared" si="184"/>
        <v>0</v>
      </c>
      <c r="Z522" s="64">
        <f t="shared" si="185"/>
        <v>0</v>
      </c>
      <c r="AA522" s="64">
        <f t="shared" si="186"/>
        <v>0</v>
      </c>
      <c r="AB522" s="64">
        <f t="shared" si="187"/>
        <v>0</v>
      </c>
      <c r="AC522" s="64">
        <f t="shared" si="188"/>
        <v>0</v>
      </c>
      <c r="AD522" s="64">
        <f t="shared" si="189"/>
        <v>0</v>
      </c>
      <c r="AE522" s="64">
        <f t="shared" si="190"/>
        <v>0</v>
      </c>
      <c r="AF522" s="64">
        <f t="shared" si="191"/>
        <v>0</v>
      </c>
      <c r="AG522" s="29">
        <f t="shared" si="192"/>
        <v>-202106.36</v>
      </c>
    </row>
    <row r="523" spans="1:33">
      <c r="A523" s="265">
        <v>20970003</v>
      </c>
      <c r="B523" s="265" t="s">
        <v>442</v>
      </c>
      <c r="C523" s="265" t="s">
        <v>358</v>
      </c>
      <c r="D523" s="265">
        <v>100000001</v>
      </c>
      <c r="E523" s="265" t="s">
        <v>51</v>
      </c>
      <c r="F523" s="265" t="s">
        <v>0</v>
      </c>
      <c r="G523" s="266">
        <v>126128.92</v>
      </c>
      <c r="H523" s="266">
        <v>126128.92</v>
      </c>
      <c r="I523" s="267"/>
      <c r="J523" s="267"/>
      <c r="K523" s="267"/>
      <c r="L523" s="224" t="str">
        <f t="shared" si="193"/>
        <v>20970003_AUD_100000001_NONGHYUP BANK SYDNEY BRANCH</v>
      </c>
      <c r="M523" s="221">
        <f t="shared" si="173"/>
        <v>126128.92</v>
      </c>
      <c r="N523" s="24" t="str">
        <f>IF(OR(L523=$L$2,L523=$L$3),$M$10+1,IFERROR(VLOOKUP(A523,'Repricing Maturity Adj.'!$A$3:$C$170,3,0),(IF(K523&lt;$M$10,"Check",K523))))</f>
        <v>Non_sensitive</v>
      </c>
      <c r="O523" s="62" t="b">
        <f t="shared" si="174"/>
        <v>1</v>
      </c>
      <c r="P523" s="63" t="str">
        <f t="shared" si="175"/>
        <v>Liability</v>
      </c>
      <c r="Q523" s="25">
        <f t="shared" si="176"/>
        <v>0</v>
      </c>
      <c r="R523" s="25">
        <f t="shared" si="177"/>
        <v>0</v>
      </c>
      <c r="S523" s="25">
        <f t="shared" si="178"/>
        <v>0</v>
      </c>
      <c r="T523" s="25">
        <f t="shared" si="179"/>
        <v>0</v>
      </c>
      <c r="U523" s="25">
        <f t="shared" si="180"/>
        <v>0</v>
      </c>
      <c r="V523" s="25">
        <f t="shared" si="181"/>
        <v>0</v>
      </c>
      <c r="W523" s="25">
        <f t="shared" si="182"/>
        <v>0</v>
      </c>
      <c r="X523" s="64">
        <f t="shared" si="183"/>
        <v>0</v>
      </c>
      <c r="Y523" s="64">
        <f t="shared" si="184"/>
        <v>0</v>
      </c>
      <c r="Z523" s="64">
        <f t="shared" si="185"/>
        <v>0</v>
      </c>
      <c r="AA523" s="64">
        <f t="shared" si="186"/>
        <v>0</v>
      </c>
      <c r="AB523" s="64">
        <f t="shared" si="187"/>
        <v>0</v>
      </c>
      <c r="AC523" s="64">
        <f t="shared" si="188"/>
        <v>0</v>
      </c>
      <c r="AD523" s="64">
        <f t="shared" si="189"/>
        <v>0</v>
      </c>
      <c r="AE523" s="64">
        <f t="shared" si="190"/>
        <v>0</v>
      </c>
      <c r="AF523" s="64">
        <f t="shared" si="191"/>
        <v>0</v>
      </c>
      <c r="AG523" s="29">
        <f t="shared" si="192"/>
        <v>126128.92</v>
      </c>
    </row>
    <row r="524" spans="1:33">
      <c r="A524" s="265">
        <v>20970004</v>
      </c>
      <c r="B524" s="265" t="s">
        <v>443</v>
      </c>
      <c r="C524" s="265" t="s">
        <v>444</v>
      </c>
      <c r="D524" s="265">
        <v>100000001</v>
      </c>
      <c r="E524" s="265" t="s">
        <v>51</v>
      </c>
      <c r="F524" s="265" t="s">
        <v>0</v>
      </c>
      <c r="G524" s="266">
        <v>39004.879999999997</v>
      </c>
      <c r="H524" s="266">
        <v>39004.879999999997</v>
      </c>
      <c r="I524" s="267"/>
      <c r="J524" s="267"/>
      <c r="K524" s="267"/>
      <c r="L524" s="224" t="str">
        <f t="shared" si="193"/>
        <v>20970004_AUD_100000001_NONGHYUP BANK SYDNEY BRANCH</v>
      </c>
      <c r="M524" s="221">
        <f t="shared" si="173"/>
        <v>39004.879999999997</v>
      </c>
      <c r="N524" s="24" t="str">
        <f>IF(OR(L524=$L$2,L524=$L$3),$M$10+1,IFERROR(VLOOKUP(A524,'Repricing Maturity Adj.'!$A$3:$C$170,3,0),(IF(K524&lt;$M$10,"Check",K524))))</f>
        <v>Non_sensitive</v>
      </c>
      <c r="O524" s="62" t="b">
        <f t="shared" si="174"/>
        <v>1</v>
      </c>
      <c r="P524" s="63" t="str">
        <f t="shared" si="175"/>
        <v>Liability</v>
      </c>
      <c r="Q524" s="25">
        <f t="shared" si="176"/>
        <v>0</v>
      </c>
      <c r="R524" s="25">
        <f t="shared" si="177"/>
        <v>0</v>
      </c>
      <c r="S524" s="25">
        <f t="shared" si="178"/>
        <v>0</v>
      </c>
      <c r="T524" s="25">
        <f t="shared" si="179"/>
        <v>0</v>
      </c>
      <c r="U524" s="25">
        <f t="shared" si="180"/>
        <v>0</v>
      </c>
      <c r="V524" s="25">
        <f t="shared" si="181"/>
        <v>0</v>
      </c>
      <c r="W524" s="25">
        <f t="shared" si="182"/>
        <v>0</v>
      </c>
      <c r="X524" s="64">
        <f t="shared" si="183"/>
        <v>0</v>
      </c>
      <c r="Y524" s="64">
        <f t="shared" si="184"/>
        <v>0</v>
      </c>
      <c r="Z524" s="64">
        <f t="shared" si="185"/>
        <v>0</v>
      </c>
      <c r="AA524" s="64">
        <f t="shared" si="186"/>
        <v>0</v>
      </c>
      <c r="AB524" s="64">
        <f t="shared" si="187"/>
        <v>0</v>
      </c>
      <c r="AC524" s="64">
        <f t="shared" si="188"/>
        <v>0</v>
      </c>
      <c r="AD524" s="64">
        <f t="shared" si="189"/>
        <v>0</v>
      </c>
      <c r="AE524" s="64">
        <f t="shared" si="190"/>
        <v>0</v>
      </c>
      <c r="AF524" s="64">
        <f t="shared" si="191"/>
        <v>0</v>
      </c>
      <c r="AG524" s="29">
        <f t="shared" si="192"/>
        <v>39004.879999999997</v>
      </c>
    </row>
    <row r="525" spans="1:33">
      <c r="A525" s="265">
        <v>20970005</v>
      </c>
      <c r="B525" s="265" t="s">
        <v>445</v>
      </c>
      <c r="C525" s="265" t="s">
        <v>286</v>
      </c>
      <c r="D525" s="265">
        <v>100000001</v>
      </c>
      <c r="E525" s="265" t="s">
        <v>51</v>
      </c>
      <c r="F525" s="265" t="s">
        <v>0</v>
      </c>
      <c r="G525" s="266">
        <v>132443</v>
      </c>
      <c r="H525" s="266">
        <v>132443</v>
      </c>
      <c r="I525" s="267"/>
      <c r="J525" s="267"/>
      <c r="K525" s="267"/>
      <c r="L525" s="224" t="str">
        <f t="shared" si="193"/>
        <v>20970005_AUD_100000001_NONGHYUP BANK SYDNEY BRANCH</v>
      </c>
      <c r="M525" s="221">
        <f t="shared" si="173"/>
        <v>132443</v>
      </c>
      <c r="N525" s="24" t="str">
        <f>IF(OR(L525=$L$2,L525=$L$3),$M$10+1,IFERROR(VLOOKUP(A525,'Repricing Maturity Adj.'!$A$3:$C$170,3,0),(IF(K525&lt;$M$10,"Check",K525))))</f>
        <v>Non_sensitive</v>
      </c>
      <c r="O525" s="62" t="b">
        <f t="shared" si="174"/>
        <v>1</v>
      </c>
      <c r="P525" s="63" t="str">
        <f t="shared" si="175"/>
        <v>Liability</v>
      </c>
      <c r="Q525" s="25">
        <f t="shared" si="176"/>
        <v>0</v>
      </c>
      <c r="R525" s="25">
        <f t="shared" si="177"/>
        <v>0</v>
      </c>
      <c r="S525" s="25">
        <f t="shared" si="178"/>
        <v>0</v>
      </c>
      <c r="T525" s="25">
        <f t="shared" si="179"/>
        <v>0</v>
      </c>
      <c r="U525" s="25">
        <f t="shared" si="180"/>
        <v>0</v>
      </c>
      <c r="V525" s="25">
        <f t="shared" si="181"/>
        <v>0</v>
      </c>
      <c r="W525" s="25">
        <f t="shared" si="182"/>
        <v>0</v>
      </c>
      <c r="X525" s="64">
        <f t="shared" si="183"/>
        <v>0</v>
      </c>
      <c r="Y525" s="64">
        <f t="shared" si="184"/>
        <v>0</v>
      </c>
      <c r="Z525" s="64">
        <f t="shared" si="185"/>
        <v>0</v>
      </c>
      <c r="AA525" s="64">
        <f t="shared" si="186"/>
        <v>0</v>
      </c>
      <c r="AB525" s="64">
        <f t="shared" si="187"/>
        <v>0</v>
      </c>
      <c r="AC525" s="64">
        <f t="shared" si="188"/>
        <v>0</v>
      </c>
      <c r="AD525" s="64">
        <f t="shared" si="189"/>
        <v>0</v>
      </c>
      <c r="AE525" s="64">
        <f t="shared" si="190"/>
        <v>0</v>
      </c>
      <c r="AF525" s="64">
        <f t="shared" si="191"/>
        <v>0</v>
      </c>
      <c r="AG525" s="29">
        <f t="shared" si="192"/>
        <v>132443</v>
      </c>
    </row>
    <row r="526" spans="1:33">
      <c r="A526" s="265">
        <v>20990013</v>
      </c>
      <c r="B526" s="265" t="s">
        <v>880</v>
      </c>
      <c r="C526" s="265" t="s">
        <v>881</v>
      </c>
      <c r="D526" s="265">
        <v>100000002</v>
      </c>
      <c r="E526" s="265" t="s">
        <v>50</v>
      </c>
      <c r="F526" s="265" t="s">
        <v>0</v>
      </c>
      <c r="G526" s="266">
        <v>12147</v>
      </c>
      <c r="H526" s="266">
        <v>12147</v>
      </c>
      <c r="I526" s="267"/>
      <c r="J526" s="267"/>
      <c r="K526" s="267"/>
      <c r="L526" s="224" t="str">
        <f t="shared" si="193"/>
        <v>20990013_AUD_100000002_NONGHYUP BANK</v>
      </c>
      <c r="M526" s="221">
        <f t="shared" si="173"/>
        <v>12147</v>
      </c>
      <c r="N526" s="24" t="str">
        <f>IF(OR(L526=$L$2,L526=$L$3),$M$10+1,IFERROR(VLOOKUP(A526,'Repricing Maturity Adj.'!$A$3:$C$170,3,0),(IF(K526&lt;$M$10,"Check",K526))))</f>
        <v>Non_sensitive</v>
      </c>
      <c r="O526" s="62" t="b">
        <f t="shared" si="174"/>
        <v>1</v>
      </c>
      <c r="P526" s="63" t="str">
        <f t="shared" si="175"/>
        <v>Liability</v>
      </c>
      <c r="Q526" s="25">
        <f t="shared" si="176"/>
        <v>0</v>
      </c>
      <c r="R526" s="25">
        <f t="shared" si="177"/>
        <v>0</v>
      </c>
      <c r="S526" s="25">
        <f t="shared" si="178"/>
        <v>0</v>
      </c>
      <c r="T526" s="25">
        <f t="shared" si="179"/>
        <v>0</v>
      </c>
      <c r="U526" s="25">
        <f t="shared" si="180"/>
        <v>0</v>
      </c>
      <c r="V526" s="25">
        <f t="shared" si="181"/>
        <v>0</v>
      </c>
      <c r="W526" s="25">
        <f t="shared" si="182"/>
        <v>0</v>
      </c>
      <c r="X526" s="64">
        <f t="shared" si="183"/>
        <v>0</v>
      </c>
      <c r="Y526" s="64">
        <f t="shared" si="184"/>
        <v>0</v>
      </c>
      <c r="Z526" s="64">
        <f t="shared" si="185"/>
        <v>0</v>
      </c>
      <c r="AA526" s="64">
        <f t="shared" si="186"/>
        <v>0</v>
      </c>
      <c r="AB526" s="64">
        <f t="shared" si="187"/>
        <v>0</v>
      </c>
      <c r="AC526" s="64">
        <f t="shared" si="188"/>
        <v>0</v>
      </c>
      <c r="AD526" s="64">
        <f t="shared" si="189"/>
        <v>0</v>
      </c>
      <c r="AE526" s="64">
        <f t="shared" si="190"/>
        <v>0</v>
      </c>
      <c r="AF526" s="64">
        <f t="shared" si="191"/>
        <v>0</v>
      </c>
      <c r="AG526" s="29">
        <f t="shared" si="192"/>
        <v>12147</v>
      </c>
    </row>
    <row r="527" spans="1:33">
      <c r="A527" s="265">
        <v>20990013</v>
      </c>
      <c r="B527" s="265" t="s">
        <v>880</v>
      </c>
      <c r="C527" s="265" t="s">
        <v>882</v>
      </c>
      <c r="D527" s="265">
        <v>100000002</v>
      </c>
      <c r="E527" s="265" t="s">
        <v>50</v>
      </c>
      <c r="F527" s="265" t="s">
        <v>0</v>
      </c>
      <c r="G527" s="266">
        <v>7072</v>
      </c>
      <c r="H527" s="266">
        <v>7072</v>
      </c>
      <c r="I527" s="267"/>
      <c r="J527" s="267"/>
      <c r="K527" s="267"/>
      <c r="L527" s="224" t="str">
        <f t="shared" si="193"/>
        <v>20990013_AUD_100000002_NONGHYUP BANK</v>
      </c>
      <c r="M527" s="221">
        <f t="shared" si="173"/>
        <v>7072</v>
      </c>
      <c r="N527" s="24" t="str">
        <f>IF(OR(L527=$L$2,L527=$L$3),$M$10+1,IFERROR(VLOOKUP(A527,'Repricing Maturity Adj.'!$A$3:$C$170,3,0),(IF(K527&lt;$M$10,"Check",K527))))</f>
        <v>Non_sensitive</v>
      </c>
      <c r="O527" s="62" t="b">
        <f t="shared" si="174"/>
        <v>1</v>
      </c>
      <c r="P527" s="63" t="str">
        <f t="shared" si="175"/>
        <v>Liability</v>
      </c>
      <c r="Q527" s="25">
        <f t="shared" si="176"/>
        <v>0</v>
      </c>
      <c r="R527" s="25">
        <f t="shared" si="177"/>
        <v>0</v>
      </c>
      <c r="S527" s="25">
        <f t="shared" si="178"/>
        <v>0</v>
      </c>
      <c r="T527" s="25">
        <f t="shared" si="179"/>
        <v>0</v>
      </c>
      <c r="U527" s="25">
        <f t="shared" si="180"/>
        <v>0</v>
      </c>
      <c r="V527" s="25">
        <f t="shared" si="181"/>
        <v>0</v>
      </c>
      <c r="W527" s="25">
        <f t="shared" si="182"/>
        <v>0</v>
      </c>
      <c r="X527" s="64">
        <f t="shared" si="183"/>
        <v>0</v>
      </c>
      <c r="Y527" s="64">
        <f t="shared" si="184"/>
        <v>0</v>
      </c>
      <c r="Z527" s="64">
        <f t="shared" si="185"/>
        <v>0</v>
      </c>
      <c r="AA527" s="64">
        <f t="shared" si="186"/>
        <v>0</v>
      </c>
      <c r="AB527" s="64">
        <f t="shared" si="187"/>
        <v>0</v>
      </c>
      <c r="AC527" s="64">
        <f t="shared" si="188"/>
        <v>0</v>
      </c>
      <c r="AD527" s="64">
        <f t="shared" si="189"/>
        <v>0</v>
      </c>
      <c r="AE527" s="64">
        <f t="shared" si="190"/>
        <v>0</v>
      </c>
      <c r="AF527" s="64">
        <f t="shared" si="191"/>
        <v>0</v>
      </c>
      <c r="AG527" s="29">
        <f t="shared" si="192"/>
        <v>7072</v>
      </c>
    </row>
    <row r="528" spans="1:33">
      <c r="A528" s="265">
        <v>20990013</v>
      </c>
      <c r="B528" s="265" t="s">
        <v>880</v>
      </c>
      <c r="C528" s="265" t="s">
        <v>884</v>
      </c>
      <c r="D528" s="265">
        <v>100000002</v>
      </c>
      <c r="E528" s="265" t="s">
        <v>50</v>
      </c>
      <c r="F528" s="265" t="s">
        <v>0</v>
      </c>
      <c r="G528" s="266">
        <v>8.61</v>
      </c>
      <c r="H528" s="266">
        <v>8.61</v>
      </c>
      <c r="I528" s="267"/>
      <c r="J528" s="267"/>
      <c r="K528" s="267"/>
      <c r="L528" s="224" t="str">
        <f t="shared" si="193"/>
        <v>20990013_AUD_100000002_NONGHYUP BANK</v>
      </c>
      <c r="M528" s="221">
        <f t="shared" si="173"/>
        <v>8.61</v>
      </c>
      <c r="N528" s="24" t="str">
        <f>IF(OR(L528=$L$2,L528=$L$3),$M$10+1,IFERROR(VLOOKUP(A528,'Repricing Maturity Adj.'!$A$3:$C$170,3,0),(IF(K528&lt;$M$10,"Check",K528))))</f>
        <v>Non_sensitive</v>
      </c>
      <c r="O528" s="62" t="b">
        <f t="shared" si="174"/>
        <v>1</v>
      </c>
      <c r="P528" s="63" t="str">
        <f t="shared" si="175"/>
        <v>Liability</v>
      </c>
      <c r="Q528" s="25">
        <f t="shared" si="176"/>
        <v>0</v>
      </c>
      <c r="R528" s="25">
        <f t="shared" si="177"/>
        <v>0</v>
      </c>
      <c r="S528" s="25">
        <f t="shared" si="178"/>
        <v>0</v>
      </c>
      <c r="T528" s="25">
        <f t="shared" si="179"/>
        <v>0</v>
      </c>
      <c r="U528" s="25">
        <f t="shared" si="180"/>
        <v>0</v>
      </c>
      <c r="V528" s="25">
        <f t="shared" si="181"/>
        <v>0</v>
      </c>
      <c r="W528" s="25">
        <f t="shared" si="182"/>
        <v>0</v>
      </c>
      <c r="X528" s="64">
        <f t="shared" si="183"/>
        <v>0</v>
      </c>
      <c r="Y528" s="64">
        <f t="shared" si="184"/>
        <v>0</v>
      </c>
      <c r="Z528" s="64">
        <f t="shared" si="185"/>
        <v>0</v>
      </c>
      <c r="AA528" s="64">
        <f t="shared" si="186"/>
        <v>0</v>
      </c>
      <c r="AB528" s="64">
        <f t="shared" si="187"/>
        <v>0</v>
      </c>
      <c r="AC528" s="64">
        <f t="shared" si="188"/>
        <v>0</v>
      </c>
      <c r="AD528" s="64">
        <f t="shared" si="189"/>
        <v>0</v>
      </c>
      <c r="AE528" s="64">
        <f t="shared" si="190"/>
        <v>0</v>
      </c>
      <c r="AF528" s="64">
        <f t="shared" si="191"/>
        <v>0</v>
      </c>
      <c r="AG528" s="29">
        <f t="shared" si="192"/>
        <v>8.61</v>
      </c>
    </row>
    <row r="529" spans="1:33">
      <c r="A529" s="265">
        <v>20990013</v>
      </c>
      <c r="B529" s="265" t="s">
        <v>880</v>
      </c>
      <c r="C529" s="265" t="s">
        <v>888</v>
      </c>
      <c r="D529" s="265">
        <v>100000002</v>
      </c>
      <c r="E529" s="265" t="s">
        <v>50</v>
      </c>
      <c r="F529" s="265" t="s">
        <v>0</v>
      </c>
      <c r="G529" s="266">
        <v>11296</v>
      </c>
      <c r="H529" s="266">
        <v>11296</v>
      </c>
      <c r="I529" s="267"/>
      <c r="J529" s="267"/>
      <c r="K529" s="267"/>
      <c r="L529" s="224" t="str">
        <f t="shared" si="193"/>
        <v>20990013_AUD_100000002_NONGHYUP BANK</v>
      </c>
      <c r="M529" s="221">
        <f t="shared" si="173"/>
        <v>11296</v>
      </c>
      <c r="N529" s="24" t="str">
        <f>IF(OR(L529=$L$2,L529=$L$3),$M$10+1,IFERROR(VLOOKUP(A529,'Repricing Maturity Adj.'!$A$3:$C$170,3,0),(IF(K529&lt;$M$10,"Check",K529))))</f>
        <v>Non_sensitive</v>
      </c>
      <c r="O529" s="62" t="b">
        <f t="shared" si="174"/>
        <v>1</v>
      </c>
      <c r="P529" s="63" t="str">
        <f t="shared" si="175"/>
        <v>Liability</v>
      </c>
      <c r="Q529" s="25">
        <f t="shared" si="176"/>
        <v>0</v>
      </c>
      <c r="R529" s="25">
        <f t="shared" si="177"/>
        <v>0</v>
      </c>
      <c r="S529" s="25">
        <f t="shared" si="178"/>
        <v>0</v>
      </c>
      <c r="T529" s="25">
        <f t="shared" si="179"/>
        <v>0</v>
      </c>
      <c r="U529" s="25">
        <f t="shared" si="180"/>
        <v>0</v>
      </c>
      <c r="V529" s="25">
        <f t="shared" si="181"/>
        <v>0</v>
      </c>
      <c r="W529" s="25">
        <f t="shared" si="182"/>
        <v>0</v>
      </c>
      <c r="X529" s="64">
        <f t="shared" si="183"/>
        <v>0</v>
      </c>
      <c r="Y529" s="64">
        <f t="shared" si="184"/>
        <v>0</v>
      </c>
      <c r="Z529" s="64">
        <f t="shared" si="185"/>
        <v>0</v>
      </c>
      <c r="AA529" s="64">
        <f t="shared" si="186"/>
        <v>0</v>
      </c>
      <c r="AB529" s="64">
        <f t="shared" si="187"/>
        <v>0</v>
      </c>
      <c r="AC529" s="64">
        <f t="shared" si="188"/>
        <v>0</v>
      </c>
      <c r="AD529" s="64">
        <f t="shared" si="189"/>
        <v>0</v>
      </c>
      <c r="AE529" s="64">
        <f t="shared" si="190"/>
        <v>0</v>
      </c>
      <c r="AF529" s="64">
        <f t="shared" si="191"/>
        <v>0</v>
      </c>
      <c r="AG529" s="29">
        <f t="shared" si="192"/>
        <v>11296</v>
      </c>
    </row>
    <row r="530" spans="1:33">
      <c r="A530" s="265">
        <v>20990013</v>
      </c>
      <c r="B530" s="265" t="s">
        <v>880</v>
      </c>
      <c r="C530" s="265" t="s">
        <v>898</v>
      </c>
      <c r="D530" s="265">
        <v>100000002</v>
      </c>
      <c r="E530" s="265" t="s">
        <v>50</v>
      </c>
      <c r="F530" s="265" t="s">
        <v>0</v>
      </c>
      <c r="G530" s="266">
        <v>10374</v>
      </c>
      <c r="H530" s="266">
        <v>10374</v>
      </c>
      <c r="I530" s="267"/>
      <c r="J530" s="267"/>
      <c r="K530" s="267"/>
      <c r="L530" s="224" t="str">
        <f t="shared" si="193"/>
        <v>20990013_AUD_100000002_NONGHYUP BANK</v>
      </c>
      <c r="M530" s="221">
        <f t="shared" si="173"/>
        <v>10374</v>
      </c>
      <c r="N530" s="24" t="str">
        <f>IF(OR(L530=$L$2,L530=$L$3),$M$10+1,IFERROR(VLOOKUP(A530,'Repricing Maturity Adj.'!$A$3:$C$170,3,0),(IF(K530&lt;$M$10,"Check",K530))))</f>
        <v>Non_sensitive</v>
      </c>
      <c r="O530" s="62" t="b">
        <f t="shared" si="174"/>
        <v>1</v>
      </c>
      <c r="P530" s="63" t="str">
        <f t="shared" si="175"/>
        <v>Liability</v>
      </c>
      <c r="Q530" s="25">
        <f t="shared" si="176"/>
        <v>0</v>
      </c>
      <c r="R530" s="25">
        <f t="shared" si="177"/>
        <v>0</v>
      </c>
      <c r="S530" s="25">
        <f t="shared" si="178"/>
        <v>0</v>
      </c>
      <c r="T530" s="25">
        <f t="shared" si="179"/>
        <v>0</v>
      </c>
      <c r="U530" s="25">
        <f t="shared" si="180"/>
        <v>0</v>
      </c>
      <c r="V530" s="25">
        <f t="shared" si="181"/>
        <v>0</v>
      </c>
      <c r="W530" s="25">
        <f t="shared" si="182"/>
        <v>0</v>
      </c>
      <c r="X530" s="64">
        <f t="shared" si="183"/>
        <v>0</v>
      </c>
      <c r="Y530" s="64">
        <f t="shared" si="184"/>
        <v>0</v>
      </c>
      <c r="Z530" s="64">
        <f t="shared" si="185"/>
        <v>0</v>
      </c>
      <c r="AA530" s="64">
        <f t="shared" si="186"/>
        <v>0</v>
      </c>
      <c r="AB530" s="64">
        <f t="shared" si="187"/>
        <v>0</v>
      </c>
      <c r="AC530" s="64">
        <f t="shared" si="188"/>
        <v>0</v>
      </c>
      <c r="AD530" s="64">
        <f t="shared" si="189"/>
        <v>0</v>
      </c>
      <c r="AE530" s="64">
        <f t="shared" si="190"/>
        <v>0</v>
      </c>
      <c r="AF530" s="64">
        <f t="shared" si="191"/>
        <v>0</v>
      </c>
      <c r="AG530" s="29">
        <f t="shared" si="192"/>
        <v>10374</v>
      </c>
    </row>
    <row r="531" spans="1:33">
      <c r="A531" s="265">
        <v>20990013</v>
      </c>
      <c r="B531" s="265" t="s">
        <v>880</v>
      </c>
      <c r="C531" s="265" t="s">
        <v>899</v>
      </c>
      <c r="D531" s="265">
        <v>100000002</v>
      </c>
      <c r="E531" s="265" t="s">
        <v>50</v>
      </c>
      <c r="F531" s="265" t="s">
        <v>0</v>
      </c>
      <c r="G531" s="266">
        <v>13906</v>
      </c>
      <c r="H531" s="266">
        <v>13906</v>
      </c>
      <c r="I531" s="267"/>
      <c r="J531" s="267"/>
      <c r="K531" s="267"/>
      <c r="L531" s="224" t="str">
        <f t="shared" si="193"/>
        <v>20990013_AUD_100000002_NONGHYUP BANK</v>
      </c>
      <c r="M531" s="221">
        <f t="shared" si="173"/>
        <v>13906</v>
      </c>
      <c r="N531" s="24" t="str">
        <f>IF(OR(L531=$L$2,L531=$L$3),$M$10+1,IFERROR(VLOOKUP(A531,'Repricing Maturity Adj.'!$A$3:$C$170,3,0),(IF(K531&lt;$M$10,"Check",K531))))</f>
        <v>Non_sensitive</v>
      </c>
      <c r="O531" s="62" t="b">
        <f t="shared" si="174"/>
        <v>1</v>
      </c>
      <c r="P531" s="63" t="str">
        <f t="shared" si="175"/>
        <v>Liability</v>
      </c>
      <c r="Q531" s="25">
        <f t="shared" si="176"/>
        <v>0</v>
      </c>
      <c r="R531" s="25">
        <f t="shared" si="177"/>
        <v>0</v>
      </c>
      <c r="S531" s="25">
        <f t="shared" si="178"/>
        <v>0</v>
      </c>
      <c r="T531" s="25">
        <f t="shared" si="179"/>
        <v>0</v>
      </c>
      <c r="U531" s="25">
        <f t="shared" si="180"/>
        <v>0</v>
      </c>
      <c r="V531" s="25">
        <f t="shared" si="181"/>
        <v>0</v>
      </c>
      <c r="W531" s="25">
        <f t="shared" si="182"/>
        <v>0</v>
      </c>
      <c r="X531" s="64">
        <f t="shared" si="183"/>
        <v>0</v>
      </c>
      <c r="Y531" s="64">
        <f t="shared" si="184"/>
        <v>0</v>
      </c>
      <c r="Z531" s="64">
        <f t="shared" si="185"/>
        <v>0</v>
      </c>
      <c r="AA531" s="64">
        <f t="shared" si="186"/>
        <v>0</v>
      </c>
      <c r="AB531" s="64">
        <f t="shared" si="187"/>
        <v>0</v>
      </c>
      <c r="AC531" s="64">
        <f t="shared" si="188"/>
        <v>0</v>
      </c>
      <c r="AD531" s="64">
        <f t="shared" si="189"/>
        <v>0</v>
      </c>
      <c r="AE531" s="64">
        <f t="shared" si="190"/>
        <v>0</v>
      </c>
      <c r="AF531" s="64">
        <f t="shared" si="191"/>
        <v>0</v>
      </c>
      <c r="AG531" s="29">
        <f t="shared" si="192"/>
        <v>13906</v>
      </c>
    </row>
    <row r="532" spans="1:33">
      <c r="A532" s="265">
        <v>20990013</v>
      </c>
      <c r="B532" s="265" t="s">
        <v>880</v>
      </c>
      <c r="C532" s="265" t="s">
        <v>936</v>
      </c>
      <c r="D532" s="265">
        <v>100000002</v>
      </c>
      <c r="E532" s="265" t="s">
        <v>50</v>
      </c>
      <c r="F532" s="265" t="s">
        <v>0</v>
      </c>
      <c r="G532" s="266">
        <v>37054</v>
      </c>
      <c r="H532" s="266">
        <v>37054</v>
      </c>
      <c r="I532" s="267"/>
      <c r="J532" s="267"/>
      <c r="K532" s="267"/>
      <c r="L532" s="224" t="str">
        <f t="shared" si="193"/>
        <v>20990013_AUD_100000002_NONGHYUP BANK</v>
      </c>
      <c r="M532" s="221">
        <f t="shared" si="173"/>
        <v>37054</v>
      </c>
      <c r="N532" s="24" t="str">
        <f>IF(OR(L532=$L$2,L532=$L$3),$M$10+1,IFERROR(VLOOKUP(A532,'Repricing Maturity Adj.'!$A$3:$C$170,3,0),(IF(K532&lt;$M$10,"Check",K532))))</f>
        <v>Non_sensitive</v>
      </c>
      <c r="O532" s="62" t="b">
        <f t="shared" si="174"/>
        <v>1</v>
      </c>
      <c r="P532" s="63" t="str">
        <f t="shared" si="175"/>
        <v>Liability</v>
      </c>
      <c r="Q532" s="25">
        <f t="shared" si="176"/>
        <v>0</v>
      </c>
      <c r="R532" s="25">
        <f t="shared" si="177"/>
        <v>0</v>
      </c>
      <c r="S532" s="25">
        <f t="shared" si="178"/>
        <v>0</v>
      </c>
      <c r="T532" s="25">
        <f t="shared" si="179"/>
        <v>0</v>
      </c>
      <c r="U532" s="25">
        <f t="shared" si="180"/>
        <v>0</v>
      </c>
      <c r="V532" s="25">
        <f t="shared" si="181"/>
        <v>0</v>
      </c>
      <c r="W532" s="25">
        <f t="shared" si="182"/>
        <v>0</v>
      </c>
      <c r="X532" s="64">
        <f t="shared" si="183"/>
        <v>0</v>
      </c>
      <c r="Y532" s="64">
        <f t="shared" si="184"/>
        <v>0</v>
      </c>
      <c r="Z532" s="64">
        <f t="shared" si="185"/>
        <v>0</v>
      </c>
      <c r="AA532" s="64">
        <f t="shared" si="186"/>
        <v>0</v>
      </c>
      <c r="AB532" s="64">
        <f t="shared" si="187"/>
        <v>0</v>
      </c>
      <c r="AC532" s="64">
        <f t="shared" si="188"/>
        <v>0</v>
      </c>
      <c r="AD532" s="64">
        <f t="shared" si="189"/>
        <v>0</v>
      </c>
      <c r="AE532" s="64">
        <f t="shared" si="190"/>
        <v>0</v>
      </c>
      <c r="AF532" s="64">
        <f t="shared" si="191"/>
        <v>0</v>
      </c>
      <c r="AG532" s="29">
        <f t="shared" si="192"/>
        <v>37054</v>
      </c>
    </row>
    <row r="533" spans="1:33">
      <c r="A533" s="265">
        <v>20990018</v>
      </c>
      <c r="B533" s="265" t="s">
        <v>530</v>
      </c>
      <c r="C533" s="265" t="s">
        <v>531</v>
      </c>
      <c r="D533" s="265">
        <v>100000014</v>
      </c>
      <c r="E533" s="265" t="s">
        <v>278</v>
      </c>
      <c r="F533" s="265" t="s">
        <v>301</v>
      </c>
      <c r="G533" s="266">
        <v>8036.65</v>
      </c>
      <c r="H533" s="266">
        <v>11484.21</v>
      </c>
      <c r="I533" s="267"/>
      <c r="J533" s="267"/>
      <c r="K533" s="267"/>
      <c r="L533" s="224" t="str">
        <f t="shared" si="193"/>
        <v>20990018_USD_100000014_PERDAMAN CHEMICALS &amp; FERTILISERS (FINANCE)PTY LTD</v>
      </c>
      <c r="M533" s="221">
        <f t="shared" si="173"/>
        <v>11484.21</v>
      </c>
      <c r="N533" s="24" t="str">
        <f>IF(OR(L533=$L$2,L533=$L$3),$M$10+1,IFERROR(VLOOKUP(A533,'Repricing Maturity Adj.'!$A$3:$C$170,3,0),(IF(K533&lt;$M$10,"Check",K533))))</f>
        <v>Non_sensitive</v>
      </c>
      <c r="O533" s="62" t="b">
        <f t="shared" si="174"/>
        <v>1</v>
      </c>
      <c r="P533" s="63" t="str">
        <f t="shared" si="175"/>
        <v>Liability</v>
      </c>
      <c r="Q533" s="25">
        <f t="shared" si="176"/>
        <v>0</v>
      </c>
      <c r="R533" s="25">
        <f t="shared" si="177"/>
        <v>0</v>
      </c>
      <c r="S533" s="25">
        <f t="shared" si="178"/>
        <v>0</v>
      </c>
      <c r="T533" s="25">
        <f t="shared" si="179"/>
        <v>0</v>
      </c>
      <c r="U533" s="25">
        <f t="shared" si="180"/>
        <v>0</v>
      </c>
      <c r="V533" s="25">
        <f t="shared" si="181"/>
        <v>0</v>
      </c>
      <c r="W533" s="25">
        <f t="shared" si="182"/>
        <v>0</v>
      </c>
      <c r="X533" s="64">
        <f t="shared" si="183"/>
        <v>0</v>
      </c>
      <c r="Y533" s="64">
        <f t="shared" si="184"/>
        <v>0</v>
      </c>
      <c r="Z533" s="64">
        <f t="shared" si="185"/>
        <v>0</v>
      </c>
      <c r="AA533" s="64">
        <f t="shared" si="186"/>
        <v>0</v>
      </c>
      <c r="AB533" s="64">
        <f t="shared" si="187"/>
        <v>0</v>
      </c>
      <c r="AC533" s="64">
        <f t="shared" si="188"/>
        <v>0</v>
      </c>
      <c r="AD533" s="64">
        <f t="shared" si="189"/>
        <v>0</v>
      </c>
      <c r="AE533" s="64">
        <f t="shared" si="190"/>
        <v>0</v>
      </c>
      <c r="AF533" s="64">
        <f t="shared" si="191"/>
        <v>0</v>
      </c>
      <c r="AG533" s="29">
        <f t="shared" si="192"/>
        <v>11484.21</v>
      </c>
    </row>
    <row r="534" spans="1:33">
      <c r="A534" s="265">
        <v>20990018</v>
      </c>
      <c r="B534" s="265" t="s">
        <v>530</v>
      </c>
      <c r="C534" s="265" t="s">
        <v>845</v>
      </c>
      <c r="D534" s="265">
        <v>100000035</v>
      </c>
      <c r="E534" s="265" t="s">
        <v>594</v>
      </c>
      <c r="F534" s="265" t="s">
        <v>0</v>
      </c>
      <c r="G534" s="266">
        <v>39726.5</v>
      </c>
      <c r="H534" s="266">
        <v>39726.5</v>
      </c>
      <c r="I534" s="267"/>
      <c r="J534" s="267"/>
      <c r="K534" s="267"/>
      <c r="L534" s="224" t="str">
        <f t="shared" si="193"/>
        <v>20990018_AUD_100000035_NEXTDC LIMITED</v>
      </c>
      <c r="M534" s="221">
        <f t="shared" si="173"/>
        <v>39726.5</v>
      </c>
      <c r="N534" s="24" t="str">
        <f>IF(OR(L534=$L$2,L534=$L$3),$M$10+1,IFERROR(VLOOKUP(A534,'Repricing Maturity Adj.'!$A$3:$C$170,3,0),(IF(K534&lt;$M$10,"Check",K534))))</f>
        <v>Non_sensitive</v>
      </c>
      <c r="O534" s="62" t="b">
        <f t="shared" si="174"/>
        <v>1</v>
      </c>
      <c r="P534" s="63" t="str">
        <f t="shared" si="175"/>
        <v>Liability</v>
      </c>
      <c r="Q534" s="25">
        <f t="shared" si="176"/>
        <v>0</v>
      </c>
      <c r="R534" s="25">
        <f t="shared" si="177"/>
        <v>0</v>
      </c>
      <c r="S534" s="25">
        <f t="shared" si="178"/>
        <v>0</v>
      </c>
      <c r="T534" s="25">
        <f t="shared" si="179"/>
        <v>0</v>
      </c>
      <c r="U534" s="25">
        <f t="shared" si="180"/>
        <v>0</v>
      </c>
      <c r="V534" s="25">
        <f t="shared" si="181"/>
        <v>0</v>
      </c>
      <c r="W534" s="25">
        <f t="shared" si="182"/>
        <v>0</v>
      </c>
      <c r="X534" s="64">
        <f t="shared" si="183"/>
        <v>0</v>
      </c>
      <c r="Y534" s="64">
        <f t="shared" si="184"/>
        <v>0</v>
      </c>
      <c r="Z534" s="64">
        <f t="shared" si="185"/>
        <v>0</v>
      </c>
      <c r="AA534" s="64">
        <f t="shared" si="186"/>
        <v>0</v>
      </c>
      <c r="AB534" s="64">
        <f t="shared" si="187"/>
        <v>0</v>
      </c>
      <c r="AC534" s="64">
        <f t="shared" si="188"/>
        <v>0</v>
      </c>
      <c r="AD534" s="64">
        <f t="shared" si="189"/>
        <v>0</v>
      </c>
      <c r="AE534" s="64">
        <f t="shared" si="190"/>
        <v>0</v>
      </c>
      <c r="AF534" s="64">
        <f t="shared" si="191"/>
        <v>0</v>
      </c>
      <c r="AG534" s="29">
        <f t="shared" si="192"/>
        <v>39726.5</v>
      </c>
    </row>
    <row r="535" spans="1:33">
      <c r="A535" s="265">
        <v>23200001</v>
      </c>
      <c r="B535" s="265" t="s">
        <v>446</v>
      </c>
      <c r="C535" s="265" t="s">
        <v>287</v>
      </c>
      <c r="D535" s="265">
        <v>100000001</v>
      </c>
      <c r="E535" s="265" t="s">
        <v>51</v>
      </c>
      <c r="F535" s="265" t="s">
        <v>0</v>
      </c>
      <c r="G535" s="266">
        <v>1600470.82</v>
      </c>
      <c r="H535" s="266">
        <v>1600470.82</v>
      </c>
      <c r="I535" s="268">
        <v>44621</v>
      </c>
      <c r="J535" s="268">
        <v>47057</v>
      </c>
      <c r="K535" s="267"/>
      <c r="L535" s="224" t="str">
        <f t="shared" si="193"/>
        <v>23200001_AUD_100000001_NONGHYUP BANK SYDNEY BRANCH</v>
      </c>
      <c r="M535" s="221">
        <f t="shared" si="173"/>
        <v>1600470.82</v>
      </c>
      <c r="N535" s="24" t="str">
        <f>IF(OR(L535=$L$2,L535=$L$3),$M$10+1,IFERROR(VLOOKUP(A535,'Repricing Maturity Adj.'!$A$3:$C$170,3,0),(IF(K535&lt;$M$10,"Check",K535))))</f>
        <v>Non_sensitive</v>
      </c>
      <c r="O535" s="62" t="b">
        <f t="shared" si="174"/>
        <v>1</v>
      </c>
      <c r="P535" s="63" t="str">
        <f t="shared" si="175"/>
        <v>Liability</v>
      </c>
      <c r="Q535" s="25">
        <f t="shared" si="176"/>
        <v>0</v>
      </c>
      <c r="R535" s="25">
        <f t="shared" si="177"/>
        <v>0</v>
      </c>
      <c r="S535" s="25">
        <f t="shared" si="178"/>
        <v>0</v>
      </c>
      <c r="T535" s="25">
        <f t="shared" si="179"/>
        <v>0</v>
      </c>
      <c r="U535" s="25">
        <f t="shared" si="180"/>
        <v>0</v>
      </c>
      <c r="V535" s="25">
        <f t="shared" si="181"/>
        <v>0</v>
      </c>
      <c r="W535" s="25">
        <f t="shared" si="182"/>
        <v>0</v>
      </c>
      <c r="X535" s="64">
        <f t="shared" si="183"/>
        <v>0</v>
      </c>
      <c r="Y535" s="64">
        <f t="shared" si="184"/>
        <v>0</v>
      </c>
      <c r="Z535" s="64">
        <f t="shared" si="185"/>
        <v>0</v>
      </c>
      <c r="AA535" s="64">
        <f t="shared" si="186"/>
        <v>0</v>
      </c>
      <c r="AB535" s="64">
        <f t="shared" si="187"/>
        <v>0</v>
      </c>
      <c r="AC535" s="64">
        <f t="shared" si="188"/>
        <v>0</v>
      </c>
      <c r="AD535" s="64">
        <f t="shared" si="189"/>
        <v>0</v>
      </c>
      <c r="AE535" s="64">
        <f t="shared" si="190"/>
        <v>0</v>
      </c>
      <c r="AF535" s="64">
        <f t="shared" si="191"/>
        <v>0</v>
      </c>
      <c r="AG535" s="29">
        <f t="shared" si="192"/>
        <v>1600470.82</v>
      </c>
    </row>
    <row r="536" spans="1:33">
      <c r="A536" s="265">
        <v>23200001</v>
      </c>
      <c r="B536" s="265" t="s">
        <v>446</v>
      </c>
      <c r="C536" s="265" t="s">
        <v>628</v>
      </c>
      <c r="D536" s="265">
        <v>100000001</v>
      </c>
      <c r="E536" s="265" t="s">
        <v>51</v>
      </c>
      <c r="F536" s="265" t="s">
        <v>0</v>
      </c>
      <c r="G536" s="266">
        <v>32077.26</v>
      </c>
      <c r="H536" s="266">
        <v>32077.26</v>
      </c>
      <c r="I536" s="268">
        <v>45692</v>
      </c>
      <c r="J536" s="268">
        <v>46421</v>
      </c>
      <c r="K536" s="267"/>
      <c r="L536" s="224" t="str">
        <f t="shared" si="193"/>
        <v>23200001_AUD_100000001_NONGHYUP BANK SYDNEY BRANCH</v>
      </c>
      <c r="M536" s="221">
        <f t="shared" si="173"/>
        <v>32077.26</v>
      </c>
      <c r="N536" s="24" t="str">
        <f>IF(OR(L536=$L$2,L536=$L$3),$M$10+1,IFERROR(VLOOKUP(A536,'Repricing Maturity Adj.'!$A$3:$C$170,3,0),(IF(K536&lt;$M$10,"Check",K536))))</f>
        <v>Non_sensitive</v>
      </c>
      <c r="O536" s="62" t="b">
        <f t="shared" si="174"/>
        <v>1</v>
      </c>
      <c r="P536" s="63" t="str">
        <f t="shared" si="175"/>
        <v>Liability</v>
      </c>
      <c r="Q536" s="25">
        <f t="shared" si="176"/>
        <v>0</v>
      </c>
      <c r="R536" s="25">
        <f t="shared" si="177"/>
        <v>0</v>
      </c>
      <c r="S536" s="25">
        <f t="shared" si="178"/>
        <v>0</v>
      </c>
      <c r="T536" s="25">
        <f t="shared" si="179"/>
        <v>0</v>
      </c>
      <c r="U536" s="25">
        <f t="shared" si="180"/>
        <v>0</v>
      </c>
      <c r="V536" s="25">
        <f t="shared" si="181"/>
        <v>0</v>
      </c>
      <c r="W536" s="25">
        <f t="shared" si="182"/>
        <v>0</v>
      </c>
      <c r="X536" s="64">
        <f t="shared" si="183"/>
        <v>0</v>
      </c>
      <c r="Y536" s="64">
        <f t="shared" si="184"/>
        <v>0</v>
      </c>
      <c r="Z536" s="64">
        <f t="shared" si="185"/>
        <v>0</v>
      </c>
      <c r="AA536" s="64">
        <f t="shared" si="186"/>
        <v>0</v>
      </c>
      <c r="AB536" s="64">
        <f t="shared" si="187"/>
        <v>0</v>
      </c>
      <c r="AC536" s="64">
        <f t="shared" si="188"/>
        <v>0</v>
      </c>
      <c r="AD536" s="64">
        <f t="shared" si="189"/>
        <v>0</v>
      </c>
      <c r="AE536" s="64">
        <f t="shared" si="190"/>
        <v>0</v>
      </c>
      <c r="AF536" s="64">
        <f t="shared" si="191"/>
        <v>0</v>
      </c>
      <c r="AG536" s="29">
        <f t="shared" si="192"/>
        <v>32077.26</v>
      </c>
    </row>
    <row r="537" spans="1:33">
      <c r="A537" s="265">
        <v>23200001</v>
      </c>
      <c r="B537" s="265" t="s">
        <v>446</v>
      </c>
      <c r="C537" s="265" t="s">
        <v>895</v>
      </c>
      <c r="D537" s="265">
        <v>100000001</v>
      </c>
      <c r="E537" s="265" t="s">
        <v>51</v>
      </c>
      <c r="F537" s="265" t="s">
        <v>0</v>
      </c>
      <c r="G537" s="266">
        <v>48945.25</v>
      </c>
      <c r="H537" s="266">
        <v>48945.25</v>
      </c>
      <c r="I537" s="268">
        <v>46039</v>
      </c>
      <c r="J537" s="268">
        <v>46403</v>
      </c>
      <c r="K537" s="267"/>
      <c r="L537" s="224" t="str">
        <f t="shared" si="193"/>
        <v>23200001_AUD_100000001_NONGHYUP BANK SYDNEY BRANCH</v>
      </c>
      <c r="M537" s="221">
        <f t="shared" si="173"/>
        <v>48945.25</v>
      </c>
      <c r="N537" s="24" t="str">
        <f>IF(OR(L537=$L$2,L537=$L$3),$M$10+1,IFERROR(VLOOKUP(A537,'Repricing Maturity Adj.'!$A$3:$C$170,3,0),(IF(K537&lt;$M$10,"Check",K537))))</f>
        <v>Non_sensitive</v>
      </c>
      <c r="O537" s="62" t="b">
        <f t="shared" si="174"/>
        <v>1</v>
      </c>
      <c r="P537" s="63" t="str">
        <f t="shared" si="175"/>
        <v>Liability</v>
      </c>
      <c r="Q537" s="25">
        <f t="shared" si="176"/>
        <v>0</v>
      </c>
      <c r="R537" s="25">
        <f t="shared" si="177"/>
        <v>0</v>
      </c>
      <c r="S537" s="25">
        <f t="shared" si="178"/>
        <v>0</v>
      </c>
      <c r="T537" s="25">
        <f t="shared" si="179"/>
        <v>0</v>
      </c>
      <c r="U537" s="25">
        <f t="shared" si="180"/>
        <v>0</v>
      </c>
      <c r="V537" s="25">
        <f t="shared" si="181"/>
        <v>0</v>
      </c>
      <c r="W537" s="25">
        <f t="shared" si="182"/>
        <v>0</v>
      </c>
      <c r="X537" s="64">
        <f t="shared" si="183"/>
        <v>0</v>
      </c>
      <c r="Y537" s="64">
        <f t="shared" si="184"/>
        <v>0</v>
      </c>
      <c r="Z537" s="64">
        <f t="shared" si="185"/>
        <v>0</v>
      </c>
      <c r="AA537" s="64">
        <f t="shared" si="186"/>
        <v>0</v>
      </c>
      <c r="AB537" s="64">
        <f t="shared" si="187"/>
        <v>0</v>
      </c>
      <c r="AC537" s="64">
        <f t="shared" si="188"/>
        <v>0</v>
      </c>
      <c r="AD537" s="64">
        <f t="shared" si="189"/>
        <v>0</v>
      </c>
      <c r="AE537" s="64">
        <f t="shared" si="190"/>
        <v>0</v>
      </c>
      <c r="AF537" s="64">
        <f t="shared" si="191"/>
        <v>0</v>
      </c>
      <c r="AG537" s="29">
        <f t="shared" si="192"/>
        <v>48945.25</v>
      </c>
    </row>
    <row r="538" spans="1:33">
      <c r="A538" s="265">
        <v>23200001</v>
      </c>
      <c r="B538" s="265" t="s">
        <v>446</v>
      </c>
      <c r="C538" s="265" t="s">
        <v>896</v>
      </c>
      <c r="D538" s="265">
        <v>100000001</v>
      </c>
      <c r="E538" s="265" t="s">
        <v>51</v>
      </c>
      <c r="F538" s="265" t="s">
        <v>0</v>
      </c>
      <c r="G538" s="266">
        <v>48137.34</v>
      </c>
      <c r="H538" s="266">
        <v>48137.34</v>
      </c>
      <c r="I538" s="268">
        <v>46040</v>
      </c>
      <c r="J538" s="268">
        <v>46368</v>
      </c>
      <c r="K538" s="267"/>
      <c r="L538" s="224" t="str">
        <f t="shared" si="193"/>
        <v>23200001_AUD_100000001_NONGHYUP BANK SYDNEY BRANCH</v>
      </c>
      <c r="M538" s="221">
        <f t="shared" si="173"/>
        <v>48137.34</v>
      </c>
      <c r="N538" s="24" t="str">
        <f>IF(OR(L538=$L$2,L538=$L$3),$M$10+1,IFERROR(VLOOKUP(A538,'Repricing Maturity Adj.'!$A$3:$C$170,3,0),(IF(K538&lt;$M$10,"Check",K538))))</f>
        <v>Non_sensitive</v>
      </c>
      <c r="O538" s="62" t="b">
        <f t="shared" si="174"/>
        <v>1</v>
      </c>
      <c r="P538" s="63" t="str">
        <f t="shared" si="175"/>
        <v>Liability</v>
      </c>
      <c r="Q538" s="25">
        <f t="shared" si="176"/>
        <v>0</v>
      </c>
      <c r="R538" s="25">
        <f t="shared" si="177"/>
        <v>0</v>
      </c>
      <c r="S538" s="25">
        <f t="shared" si="178"/>
        <v>0</v>
      </c>
      <c r="T538" s="25">
        <f t="shared" si="179"/>
        <v>0</v>
      </c>
      <c r="U538" s="25">
        <f t="shared" si="180"/>
        <v>0</v>
      </c>
      <c r="V538" s="25">
        <f t="shared" si="181"/>
        <v>0</v>
      </c>
      <c r="W538" s="25">
        <f t="shared" si="182"/>
        <v>0</v>
      </c>
      <c r="X538" s="64">
        <f t="shared" si="183"/>
        <v>0</v>
      </c>
      <c r="Y538" s="64">
        <f t="shared" si="184"/>
        <v>0</v>
      </c>
      <c r="Z538" s="64">
        <f t="shared" si="185"/>
        <v>0</v>
      </c>
      <c r="AA538" s="64">
        <f t="shared" si="186"/>
        <v>0</v>
      </c>
      <c r="AB538" s="64">
        <f t="shared" si="187"/>
        <v>0</v>
      </c>
      <c r="AC538" s="64">
        <f t="shared" si="188"/>
        <v>0</v>
      </c>
      <c r="AD538" s="64">
        <f t="shared" si="189"/>
        <v>0</v>
      </c>
      <c r="AE538" s="64">
        <f t="shared" si="190"/>
        <v>0</v>
      </c>
      <c r="AF538" s="64">
        <f t="shared" si="191"/>
        <v>0</v>
      </c>
      <c r="AG538" s="29">
        <f t="shared" si="192"/>
        <v>48137.34</v>
      </c>
    </row>
    <row r="539" spans="1:33">
      <c r="A539" s="265">
        <v>23200001</v>
      </c>
      <c r="B539" s="265" t="s">
        <v>446</v>
      </c>
      <c r="C539" s="265" t="s">
        <v>901</v>
      </c>
      <c r="D539" s="265">
        <v>100000001</v>
      </c>
      <c r="E539" s="265" t="s">
        <v>51</v>
      </c>
      <c r="F539" s="265" t="s">
        <v>0</v>
      </c>
      <c r="G539" s="266">
        <v>54338.17</v>
      </c>
      <c r="H539" s="266">
        <v>54338.17</v>
      </c>
      <c r="I539" s="268">
        <v>46049</v>
      </c>
      <c r="J539" s="268">
        <v>46413</v>
      </c>
      <c r="K539" s="267"/>
      <c r="L539" s="224" t="str">
        <f t="shared" si="193"/>
        <v>23200001_AUD_100000001_NONGHYUP BANK SYDNEY BRANCH</v>
      </c>
      <c r="M539" s="221">
        <f t="shared" si="173"/>
        <v>54338.17</v>
      </c>
      <c r="N539" s="24" t="str">
        <f>IF(OR(L539=$L$2,L539=$L$3),$M$10+1,IFERROR(VLOOKUP(A539,'Repricing Maturity Adj.'!$A$3:$C$170,3,0),(IF(K539&lt;$M$10,"Check",K539))))</f>
        <v>Non_sensitive</v>
      </c>
      <c r="O539" s="62" t="b">
        <f t="shared" si="174"/>
        <v>1</v>
      </c>
      <c r="P539" s="63" t="str">
        <f t="shared" si="175"/>
        <v>Liability</v>
      </c>
      <c r="Q539" s="25">
        <f t="shared" si="176"/>
        <v>0</v>
      </c>
      <c r="R539" s="25">
        <f t="shared" si="177"/>
        <v>0</v>
      </c>
      <c r="S539" s="25">
        <f t="shared" si="178"/>
        <v>0</v>
      </c>
      <c r="T539" s="25">
        <f t="shared" si="179"/>
        <v>0</v>
      </c>
      <c r="U539" s="25">
        <f t="shared" si="180"/>
        <v>0</v>
      </c>
      <c r="V539" s="25">
        <f t="shared" si="181"/>
        <v>0</v>
      </c>
      <c r="W539" s="25">
        <f t="shared" si="182"/>
        <v>0</v>
      </c>
      <c r="X539" s="64">
        <f t="shared" si="183"/>
        <v>0</v>
      </c>
      <c r="Y539" s="64">
        <f t="shared" si="184"/>
        <v>0</v>
      </c>
      <c r="Z539" s="64">
        <f t="shared" si="185"/>
        <v>0</v>
      </c>
      <c r="AA539" s="64">
        <f t="shared" si="186"/>
        <v>0</v>
      </c>
      <c r="AB539" s="64">
        <f t="shared" si="187"/>
        <v>0</v>
      </c>
      <c r="AC539" s="64">
        <f t="shared" si="188"/>
        <v>0</v>
      </c>
      <c r="AD539" s="64">
        <f t="shared" si="189"/>
        <v>0</v>
      </c>
      <c r="AE539" s="64">
        <f t="shared" si="190"/>
        <v>0</v>
      </c>
      <c r="AF539" s="64">
        <f t="shared" si="191"/>
        <v>0</v>
      </c>
      <c r="AG539" s="29">
        <f t="shared" si="192"/>
        <v>54338.17</v>
      </c>
    </row>
    <row r="540" spans="1:33">
      <c r="A540" s="265">
        <v>23200001</v>
      </c>
      <c r="B540" s="265" t="s">
        <v>446</v>
      </c>
      <c r="C540" s="265" t="s">
        <v>903</v>
      </c>
      <c r="D540" s="265">
        <v>100000001</v>
      </c>
      <c r="E540" s="265" t="s">
        <v>51</v>
      </c>
      <c r="F540" s="265" t="s">
        <v>0</v>
      </c>
      <c r="G540" s="266">
        <v>53819.77</v>
      </c>
      <c r="H540" s="266">
        <v>53819.77</v>
      </c>
      <c r="I540" s="268">
        <v>46046</v>
      </c>
      <c r="J540" s="268">
        <v>46410</v>
      </c>
      <c r="K540" s="267"/>
      <c r="L540" s="224" t="str">
        <f t="shared" si="193"/>
        <v>23200001_AUD_100000001_NONGHYUP BANK SYDNEY BRANCH</v>
      </c>
      <c r="M540" s="221">
        <f t="shared" si="173"/>
        <v>53819.77</v>
      </c>
      <c r="N540" s="24" t="str">
        <f>IF(OR(L540=$L$2,L540=$L$3),$M$10+1,IFERROR(VLOOKUP(A540,'Repricing Maturity Adj.'!$A$3:$C$170,3,0),(IF(K540&lt;$M$10,"Check",K540))))</f>
        <v>Non_sensitive</v>
      </c>
      <c r="O540" s="62" t="b">
        <f t="shared" si="174"/>
        <v>1</v>
      </c>
      <c r="P540" s="63" t="str">
        <f t="shared" si="175"/>
        <v>Liability</v>
      </c>
      <c r="Q540" s="25">
        <f t="shared" si="176"/>
        <v>0</v>
      </c>
      <c r="R540" s="25">
        <f t="shared" si="177"/>
        <v>0</v>
      </c>
      <c r="S540" s="25">
        <f t="shared" si="178"/>
        <v>0</v>
      </c>
      <c r="T540" s="25">
        <f t="shared" si="179"/>
        <v>0</v>
      </c>
      <c r="U540" s="25">
        <f t="shared" si="180"/>
        <v>0</v>
      </c>
      <c r="V540" s="25">
        <f t="shared" si="181"/>
        <v>0</v>
      </c>
      <c r="W540" s="25">
        <f t="shared" si="182"/>
        <v>0</v>
      </c>
      <c r="X540" s="64">
        <f t="shared" si="183"/>
        <v>0</v>
      </c>
      <c r="Y540" s="64">
        <f t="shared" si="184"/>
        <v>0</v>
      </c>
      <c r="Z540" s="64">
        <f t="shared" si="185"/>
        <v>0</v>
      </c>
      <c r="AA540" s="64">
        <f t="shared" si="186"/>
        <v>0</v>
      </c>
      <c r="AB540" s="64">
        <f t="shared" si="187"/>
        <v>0</v>
      </c>
      <c r="AC540" s="64">
        <f t="shared" si="188"/>
        <v>0</v>
      </c>
      <c r="AD540" s="64">
        <f t="shared" si="189"/>
        <v>0</v>
      </c>
      <c r="AE540" s="64">
        <f t="shared" si="190"/>
        <v>0</v>
      </c>
      <c r="AF540" s="64">
        <f t="shared" si="191"/>
        <v>0</v>
      </c>
      <c r="AG540" s="29">
        <f t="shared" si="192"/>
        <v>53819.77</v>
      </c>
    </row>
    <row r="541" spans="1:33">
      <c r="A541" s="265">
        <v>23200001</v>
      </c>
      <c r="B541" s="265" t="s">
        <v>446</v>
      </c>
      <c r="C541" s="265" t="s">
        <v>447</v>
      </c>
      <c r="D541" s="265">
        <v>100000001</v>
      </c>
      <c r="E541" s="265" t="s">
        <v>51</v>
      </c>
      <c r="F541" s="265" t="s">
        <v>0</v>
      </c>
      <c r="G541" s="266">
        <v>6845.05</v>
      </c>
      <c r="H541" s="266">
        <v>6845.05</v>
      </c>
      <c r="I541" s="267"/>
      <c r="J541" s="267"/>
      <c r="K541" s="267"/>
      <c r="L541" s="224" t="str">
        <f t="shared" si="193"/>
        <v>23200001_AUD_100000001_NONGHYUP BANK SYDNEY BRANCH</v>
      </c>
      <c r="M541" s="221">
        <f t="shared" si="173"/>
        <v>6845.05</v>
      </c>
      <c r="N541" s="24" t="str">
        <f>IF(OR(L541=$L$2,L541=$L$3),$M$10+1,IFERROR(VLOOKUP(A541,'Repricing Maturity Adj.'!$A$3:$C$170,3,0),(IF(K541&lt;$M$10,"Check",K541))))</f>
        <v>Non_sensitive</v>
      </c>
      <c r="O541" s="62" t="b">
        <f t="shared" si="174"/>
        <v>1</v>
      </c>
      <c r="P541" s="63" t="str">
        <f t="shared" si="175"/>
        <v>Liability</v>
      </c>
      <c r="Q541" s="25">
        <f t="shared" si="176"/>
        <v>0</v>
      </c>
      <c r="R541" s="25">
        <f t="shared" si="177"/>
        <v>0</v>
      </c>
      <c r="S541" s="25">
        <f t="shared" si="178"/>
        <v>0</v>
      </c>
      <c r="T541" s="25">
        <f t="shared" si="179"/>
        <v>0</v>
      </c>
      <c r="U541" s="25">
        <f t="shared" si="180"/>
        <v>0</v>
      </c>
      <c r="V541" s="25">
        <f t="shared" si="181"/>
        <v>0</v>
      </c>
      <c r="W541" s="25">
        <f t="shared" si="182"/>
        <v>0</v>
      </c>
      <c r="X541" s="64">
        <f t="shared" si="183"/>
        <v>0</v>
      </c>
      <c r="Y541" s="64">
        <f t="shared" si="184"/>
        <v>0</v>
      </c>
      <c r="Z541" s="64">
        <f t="shared" si="185"/>
        <v>0</v>
      </c>
      <c r="AA541" s="64">
        <f t="shared" si="186"/>
        <v>0</v>
      </c>
      <c r="AB541" s="64">
        <f t="shared" si="187"/>
        <v>0</v>
      </c>
      <c r="AC541" s="64">
        <f t="shared" si="188"/>
        <v>0</v>
      </c>
      <c r="AD541" s="64">
        <f t="shared" si="189"/>
        <v>0</v>
      </c>
      <c r="AE541" s="64">
        <f t="shared" si="190"/>
        <v>0</v>
      </c>
      <c r="AF541" s="64">
        <f t="shared" si="191"/>
        <v>0</v>
      </c>
      <c r="AG541" s="29">
        <f t="shared" si="192"/>
        <v>6845.05</v>
      </c>
    </row>
    <row r="542" spans="1:33">
      <c r="A542" s="265">
        <v>23200001</v>
      </c>
      <c r="B542" s="265" t="s">
        <v>446</v>
      </c>
      <c r="C542" s="265" t="s">
        <v>448</v>
      </c>
      <c r="D542" s="265">
        <v>100000001</v>
      </c>
      <c r="E542" s="265" t="s">
        <v>51</v>
      </c>
      <c r="F542" s="265" t="s">
        <v>0</v>
      </c>
      <c r="G542" s="266">
        <v>72.22</v>
      </c>
      <c r="H542" s="266">
        <v>72.22</v>
      </c>
      <c r="I542" s="267"/>
      <c r="J542" s="267"/>
      <c r="K542" s="267"/>
      <c r="L542" s="224" t="str">
        <f t="shared" si="193"/>
        <v>23200001_AUD_100000001_NONGHYUP BANK SYDNEY BRANCH</v>
      </c>
      <c r="M542" s="221">
        <f t="shared" si="173"/>
        <v>72.22</v>
      </c>
      <c r="N542" s="24" t="str">
        <f>IF(OR(L542=$L$2,L542=$L$3),$M$10+1,IFERROR(VLOOKUP(A542,'Repricing Maturity Adj.'!$A$3:$C$170,3,0),(IF(K542&lt;$M$10,"Check",K542))))</f>
        <v>Non_sensitive</v>
      </c>
      <c r="O542" s="62" t="b">
        <f t="shared" si="174"/>
        <v>1</v>
      </c>
      <c r="P542" s="63" t="str">
        <f t="shared" si="175"/>
        <v>Liability</v>
      </c>
      <c r="Q542" s="25">
        <f t="shared" si="176"/>
        <v>0</v>
      </c>
      <c r="R542" s="25">
        <f t="shared" si="177"/>
        <v>0</v>
      </c>
      <c r="S542" s="25">
        <f t="shared" si="178"/>
        <v>0</v>
      </c>
      <c r="T542" s="25">
        <f t="shared" si="179"/>
        <v>0</v>
      </c>
      <c r="U542" s="25">
        <f t="shared" si="180"/>
        <v>0</v>
      </c>
      <c r="V542" s="25">
        <f t="shared" si="181"/>
        <v>0</v>
      </c>
      <c r="W542" s="25">
        <f t="shared" si="182"/>
        <v>0</v>
      </c>
      <c r="X542" s="64">
        <f t="shared" si="183"/>
        <v>0</v>
      </c>
      <c r="Y542" s="64">
        <f t="shared" si="184"/>
        <v>0</v>
      </c>
      <c r="Z542" s="64">
        <f t="shared" si="185"/>
        <v>0</v>
      </c>
      <c r="AA542" s="64">
        <f t="shared" si="186"/>
        <v>0</v>
      </c>
      <c r="AB542" s="64">
        <f t="shared" si="187"/>
        <v>0</v>
      </c>
      <c r="AC542" s="64">
        <f t="shared" si="188"/>
        <v>0</v>
      </c>
      <c r="AD542" s="64">
        <f t="shared" si="189"/>
        <v>0</v>
      </c>
      <c r="AE542" s="64">
        <f t="shared" si="190"/>
        <v>0</v>
      </c>
      <c r="AF542" s="64">
        <f t="shared" si="191"/>
        <v>0</v>
      </c>
      <c r="AG542" s="29">
        <f t="shared" si="192"/>
        <v>72.22</v>
      </c>
    </row>
    <row r="543" spans="1:33">
      <c r="A543" s="265">
        <v>23200001</v>
      </c>
      <c r="B543" s="265" t="s">
        <v>446</v>
      </c>
      <c r="C543" s="265" t="s">
        <v>449</v>
      </c>
      <c r="D543" s="265">
        <v>100000001</v>
      </c>
      <c r="E543" s="265" t="s">
        <v>51</v>
      </c>
      <c r="F543" s="265" t="s">
        <v>0</v>
      </c>
      <c r="G543" s="266">
        <v>39.39</v>
      </c>
      <c r="H543" s="266">
        <v>39.39</v>
      </c>
      <c r="I543" s="267"/>
      <c r="J543" s="267"/>
      <c r="K543" s="267"/>
      <c r="L543" s="224" t="str">
        <f t="shared" si="193"/>
        <v>23200001_AUD_100000001_NONGHYUP BANK SYDNEY BRANCH</v>
      </c>
      <c r="M543" s="221">
        <f t="shared" si="173"/>
        <v>39.39</v>
      </c>
      <c r="N543" s="24" t="str">
        <f>IF(OR(L543=$L$2,L543=$L$3),$M$10+1,IFERROR(VLOOKUP(A543,'Repricing Maturity Adj.'!$A$3:$C$170,3,0),(IF(K543&lt;$M$10,"Check",K543))))</f>
        <v>Non_sensitive</v>
      </c>
      <c r="O543" s="62" t="b">
        <f t="shared" si="174"/>
        <v>1</v>
      </c>
      <c r="P543" s="63" t="str">
        <f t="shared" si="175"/>
        <v>Liability</v>
      </c>
      <c r="Q543" s="25">
        <f t="shared" si="176"/>
        <v>0</v>
      </c>
      <c r="R543" s="25">
        <f t="shared" si="177"/>
        <v>0</v>
      </c>
      <c r="S543" s="25">
        <f t="shared" si="178"/>
        <v>0</v>
      </c>
      <c r="T543" s="25">
        <f t="shared" si="179"/>
        <v>0</v>
      </c>
      <c r="U543" s="25">
        <f t="shared" si="180"/>
        <v>0</v>
      </c>
      <c r="V543" s="25">
        <f t="shared" si="181"/>
        <v>0</v>
      </c>
      <c r="W543" s="25">
        <f t="shared" si="182"/>
        <v>0</v>
      </c>
      <c r="X543" s="64">
        <f t="shared" si="183"/>
        <v>0</v>
      </c>
      <c r="Y543" s="64">
        <f t="shared" si="184"/>
        <v>0</v>
      </c>
      <c r="Z543" s="64">
        <f t="shared" si="185"/>
        <v>0</v>
      </c>
      <c r="AA543" s="64">
        <f t="shared" si="186"/>
        <v>0</v>
      </c>
      <c r="AB543" s="64">
        <f t="shared" si="187"/>
        <v>0</v>
      </c>
      <c r="AC543" s="64">
        <f t="shared" si="188"/>
        <v>0</v>
      </c>
      <c r="AD543" s="64">
        <f t="shared" si="189"/>
        <v>0</v>
      </c>
      <c r="AE543" s="64">
        <f t="shared" si="190"/>
        <v>0</v>
      </c>
      <c r="AF543" s="64">
        <f t="shared" si="191"/>
        <v>0</v>
      </c>
      <c r="AG543" s="29">
        <f t="shared" si="192"/>
        <v>39.39</v>
      </c>
    </row>
    <row r="544" spans="1:33">
      <c r="A544" s="265">
        <v>23200001</v>
      </c>
      <c r="B544" s="265" t="s">
        <v>446</v>
      </c>
      <c r="C544" s="265" t="s">
        <v>450</v>
      </c>
      <c r="D544" s="265">
        <v>100000001</v>
      </c>
      <c r="E544" s="265" t="s">
        <v>51</v>
      </c>
      <c r="F544" s="265" t="s">
        <v>0</v>
      </c>
      <c r="G544" s="266">
        <v>52.86</v>
      </c>
      <c r="H544" s="266">
        <v>52.86</v>
      </c>
      <c r="I544" s="267"/>
      <c r="J544" s="267"/>
      <c r="K544" s="267"/>
      <c r="L544" s="224" t="str">
        <f t="shared" si="193"/>
        <v>23200001_AUD_100000001_NONGHYUP BANK SYDNEY BRANCH</v>
      </c>
      <c r="M544" s="221">
        <f t="shared" si="173"/>
        <v>52.86</v>
      </c>
      <c r="N544" s="24" t="str">
        <f>IF(OR(L544=$L$2,L544=$L$3),$M$10+1,IFERROR(VLOOKUP(A544,'Repricing Maturity Adj.'!$A$3:$C$170,3,0),(IF(K544&lt;$M$10,"Check",K544))))</f>
        <v>Non_sensitive</v>
      </c>
      <c r="O544" s="62" t="b">
        <f t="shared" si="174"/>
        <v>1</v>
      </c>
      <c r="P544" s="63" t="str">
        <f t="shared" si="175"/>
        <v>Liability</v>
      </c>
      <c r="Q544" s="25">
        <f t="shared" si="176"/>
        <v>0</v>
      </c>
      <c r="R544" s="25">
        <f t="shared" si="177"/>
        <v>0</v>
      </c>
      <c r="S544" s="25">
        <f t="shared" si="178"/>
        <v>0</v>
      </c>
      <c r="T544" s="25">
        <f t="shared" si="179"/>
        <v>0</v>
      </c>
      <c r="U544" s="25">
        <f t="shared" si="180"/>
        <v>0</v>
      </c>
      <c r="V544" s="25">
        <f t="shared" si="181"/>
        <v>0</v>
      </c>
      <c r="W544" s="25">
        <f t="shared" si="182"/>
        <v>0</v>
      </c>
      <c r="X544" s="64">
        <f t="shared" si="183"/>
        <v>0</v>
      </c>
      <c r="Y544" s="64">
        <f t="shared" si="184"/>
        <v>0</v>
      </c>
      <c r="Z544" s="64">
        <f t="shared" si="185"/>
        <v>0</v>
      </c>
      <c r="AA544" s="64">
        <f t="shared" si="186"/>
        <v>0</v>
      </c>
      <c r="AB544" s="64">
        <f t="shared" si="187"/>
        <v>0</v>
      </c>
      <c r="AC544" s="64">
        <f t="shared" si="188"/>
        <v>0</v>
      </c>
      <c r="AD544" s="64">
        <f t="shared" si="189"/>
        <v>0</v>
      </c>
      <c r="AE544" s="64">
        <f t="shared" si="190"/>
        <v>0</v>
      </c>
      <c r="AF544" s="64">
        <f t="shared" si="191"/>
        <v>0</v>
      </c>
      <c r="AG544" s="29">
        <f t="shared" si="192"/>
        <v>52.86</v>
      </c>
    </row>
    <row r="545" spans="1:33">
      <c r="A545" s="265">
        <v>23200001</v>
      </c>
      <c r="B545" s="265" t="s">
        <v>446</v>
      </c>
      <c r="C545" s="265" t="s">
        <v>451</v>
      </c>
      <c r="D545" s="265">
        <v>100000001</v>
      </c>
      <c r="E545" s="265" t="s">
        <v>51</v>
      </c>
      <c r="F545" s="265" t="s">
        <v>0</v>
      </c>
      <c r="G545" s="266">
        <v>71.150000000000006</v>
      </c>
      <c r="H545" s="266">
        <v>71.150000000000006</v>
      </c>
      <c r="I545" s="267"/>
      <c r="J545" s="267"/>
      <c r="K545" s="267"/>
      <c r="L545" s="224" t="str">
        <f t="shared" si="193"/>
        <v>23200001_AUD_100000001_NONGHYUP BANK SYDNEY BRANCH</v>
      </c>
      <c r="M545" s="221">
        <f t="shared" si="173"/>
        <v>71.150000000000006</v>
      </c>
      <c r="N545" s="24" t="str">
        <f>IF(OR(L545=$L$2,L545=$L$3),$M$10+1,IFERROR(VLOOKUP(A545,'Repricing Maturity Adj.'!$A$3:$C$170,3,0),(IF(K545&lt;$M$10,"Check",K545))))</f>
        <v>Non_sensitive</v>
      </c>
      <c r="O545" s="62" t="b">
        <f t="shared" si="174"/>
        <v>1</v>
      </c>
      <c r="P545" s="63" t="str">
        <f t="shared" si="175"/>
        <v>Liability</v>
      </c>
      <c r="Q545" s="25">
        <f t="shared" si="176"/>
        <v>0</v>
      </c>
      <c r="R545" s="25">
        <f t="shared" si="177"/>
        <v>0</v>
      </c>
      <c r="S545" s="25">
        <f t="shared" si="178"/>
        <v>0</v>
      </c>
      <c r="T545" s="25">
        <f t="shared" si="179"/>
        <v>0</v>
      </c>
      <c r="U545" s="25">
        <f t="shared" si="180"/>
        <v>0</v>
      </c>
      <c r="V545" s="25">
        <f t="shared" si="181"/>
        <v>0</v>
      </c>
      <c r="W545" s="25">
        <f t="shared" si="182"/>
        <v>0</v>
      </c>
      <c r="X545" s="64">
        <f t="shared" si="183"/>
        <v>0</v>
      </c>
      <c r="Y545" s="64">
        <f t="shared" si="184"/>
        <v>0</v>
      </c>
      <c r="Z545" s="64">
        <f t="shared" si="185"/>
        <v>0</v>
      </c>
      <c r="AA545" s="64">
        <f t="shared" si="186"/>
        <v>0</v>
      </c>
      <c r="AB545" s="64">
        <f t="shared" si="187"/>
        <v>0</v>
      </c>
      <c r="AC545" s="64">
        <f t="shared" si="188"/>
        <v>0</v>
      </c>
      <c r="AD545" s="64">
        <f t="shared" si="189"/>
        <v>0</v>
      </c>
      <c r="AE545" s="64">
        <f t="shared" si="190"/>
        <v>0</v>
      </c>
      <c r="AF545" s="64">
        <f t="shared" si="191"/>
        <v>0</v>
      </c>
      <c r="AG545" s="29">
        <f t="shared" si="192"/>
        <v>71.150000000000006</v>
      </c>
    </row>
    <row r="546" spans="1:33">
      <c r="A546" s="265">
        <v>23200001</v>
      </c>
      <c r="B546" s="265" t="s">
        <v>446</v>
      </c>
      <c r="C546" s="265" t="s">
        <v>452</v>
      </c>
      <c r="D546" s="265">
        <v>100000001</v>
      </c>
      <c r="E546" s="265" t="s">
        <v>51</v>
      </c>
      <c r="F546" s="265" t="s">
        <v>0</v>
      </c>
      <c r="G546" s="266">
        <v>6996.57</v>
      </c>
      <c r="H546" s="266">
        <v>6996.57</v>
      </c>
      <c r="I546" s="267"/>
      <c r="J546" s="267"/>
      <c r="K546" s="267"/>
      <c r="L546" s="224" t="str">
        <f t="shared" si="193"/>
        <v>23200001_AUD_100000001_NONGHYUP BANK SYDNEY BRANCH</v>
      </c>
      <c r="M546" s="221">
        <f t="shared" si="173"/>
        <v>6996.57</v>
      </c>
      <c r="N546" s="24" t="str">
        <f>IF(OR(L546=$L$2,L546=$L$3),$M$10+1,IFERROR(VLOOKUP(A546,'Repricing Maturity Adj.'!$A$3:$C$170,3,0),(IF(K546&lt;$M$10,"Check",K546))))</f>
        <v>Non_sensitive</v>
      </c>
      <c r="O546" s="62" t="b">
        <f t="shared" si="174"/>
        <v>1</v>
      </c>
      <c r="P546" s="63" t="str">
        <f t="shared" si="175"/>
        <v>Liability</v>
      </c>
      <c r="Q546" s="25">
        <f t="shared" si="176"/>
        <v>0</v>
      </c>
      <c r="R546" s="25">
        <f t="shared" si="177"/>
        <v>0</v>
      </c>
      <c r="S546" s="25">
        <f t="shared" si="178"/>
        <v>0</v>
      </c>
      <c r="T546" s="25">
        <f t="shared" si="179"/>
        <v>0</v>
      </c>
      <c r="U546" s="25">
        <f t="shared" si="180"/>
        <v>0</v>
      </c>
      <c r="V546" s="25">
        <f t="shared" si="181"/>
        <v>0</v>
      </c>
      <c r="W546" s="25">
        <f t="shared" si="182"/>
        <v>0</v>
      </c>
      <c r="X546" s="64">
        <f t="shared" si="183"/>
        <v>0</v>
      </c>
      <c r="Y546" s="64">
        <f t="shared" si="184"/>
        <v>0</v>
      </c>
      <c r="Z546" s="64">
        <f t="shared" si="185"/>
        <v>0</v>
      </c>
      <c r="AA546" s="64">
        <f t="shared" si="186"/>
        <v>0</v>
      </c>
      <c r="AB546" s="64">
        <f t="shared" si="187"/>
        <v>0</v>
      </c>
      <c r="AC546" s="64">
        <f t="shared" si="188"/>
        <v>0</v>
      </c>
      <c r="AD546" s="64">
        <f t="shared" si="189"/>
        <v>0</v>
      </c>
      <c r="AE546" s="64">
        <f t="shared" si="190"/>
        <v>0</v>
      </c>
      <c r="AF546" s="64">
        <f t="shared" si="191"/>
        <v>0</v>
      </c>
      <c r="AG546" s="29">
        <f t="shared" si="192"/>
        <v>6996.57</v>
      </c>
    </row>
    <row r="547" spans="1:33">
      <c r="A547" s="265">
        <v>23200001</v>
      </c>
      <c r="B547" s="265" t="s">
        <v>446</v>
      </c>
      <c r="C547" s="265" t="s">
        <v>453</v>
      </c>
      <c r="D547" s="265">
        <v>100000001</v>
      </c>
      <c r="E547" s="265" t="s">
        <v>51</v>
      </c>
      <c r="F547" s="265" t="s">
        <v>0</v>
      </c>
      <c r="G547" s="266">
        <v>66</v>
      </c>
      <c r="H547" s="266">
        <v>66</v>
      </c>
      <c r="I547" s="267"/>
      <c r="J547" s="267"/>
      <c r="K547" s="267"/>
      <c r="L547" s="224" t="str">
        <f t="shared" si="193"/>
        <v>23200001_AUD_100000001_NONGHYUP BANK SYDNEY BRANCH</v>
      </c>
      <c r="M547" s="221">
        <f t="shared" si="173"/>
        <v>66</v>
      </c>
      <c r="N547" s="24" t="str">
        <f>IF(OR(L547=$L$2,L547=$L$3),$M$10+1,IFERROR(VLOOKUP(A547,'Repricing Maturity Adj.'!$A$3:$C$170,3,0),(IF(K547&lt;$M$10,"Check",K547))))</f>
        <v>Non_sensitive</v>
      </c>
      <c r="O547" s="62" t="b">
        <f t="shared" si="174"/>
        <v>1</v>
      </c>
      <c r="P547" s="63" t="str">
        <f t="shared" si="175"/>
        <v>Liability</v>
      </c>
      <c r="Q547" s="25">
        <f t="shared" si="176"/>
        <v>0</v>
      </c>
      <c r="R547" s="25">
        <f t="shared" si="177"/>
        <v>0</v>
      </c>
      <c r="S547" s="25">
        <f t="shared" si="178"/>
        <v>0</v>
      </c>
      <c r="T547" s="25">
        <f t="shared" si="179"/>
        <v>0</v>
      </c>
      <c r="U547" s="25">
        <f t="shared" si="180"/>
        <v>0</v>
      </c>
      <c r="V547" s="25">
        <f t="shared" si="181"/>
        <v>0</v>
      </c>
      <c r="W547" s="25">
        <f t="shared" si="182"/>
        <v>0</v>
      </c>
      <c r="X547" s="64">
        <f t="shared" si="183"/>
        <v>0</v>
      </c>
      <c r="Y547" s="64">
        <f t="shared" si="184"/>
        <v>0</v>
      </c>
      <c r="Z547" s="64">
        <f t="shared" si="185"/>
        <v>0</v>
      </c>
      <c r="AA547" s="64">
        <f t="shared" si="186"/>
        <v>0</v>
      </c>
      <c r="AB547" s="64">
        <f t="shared" si="187"/>
        <v>0</v>
      </c>
      <c r="AC547" s="64">
        <f t="shared" si="188"/>
        <v>0</v>
      </c>
      <c r="AD547" s="64">
        <f t="shared" si="189"/>
        <v>0</v>
      </c>
      <c r="AE547" s="64">
        <f t="shared" si="190"/>
        <v>0</v>
      </c>
      <c r="AF547" s="64">
        <f t="shared" si="191"/>
        <v>0</v>
      </c>
      <c r="AG547" s="29">
        <f t="shared" si="192"/>
        <v>66</v>
      </c>
    </row>
    <row r="548" spans="1:33">
      <c r="A548" s="265">
        <v>23200001</v>
      </c>
      <c r="B548" s="265" t="s">
        <v>446</v>
      </c>
      <c r="C548" s="265" t="s">
        <v>454</v>
      </c>
      <c r="D548" s="265">
        <v>100000001</v>
      </c>
      <c r="E548" s="265" t="s">
        <v>51</v>
      </c>
      <c r="F548" s="265" t="s">
        <v>0</v>
      </c>
      <c r="G548" s="266">
        <v>60.73</v>
      </c>
      <c r="H548" s="266">
        <v>60.73</v>
      </c>
      <c r="I548" s="267"/>
      <c r="J548" s="267"/>
      <c r="K548" s="267"/>
      <c r="L548" s="224" t="str">
        <f t="shared" si="193"/>
        <v>23200001_AUD_100000001_NONGHYUP BANK SYDNEY BRANCH</v>
      </c>
      <c r="M548" s="221">
        <f t="shared" si="173"/>
        <v>60.73</v>
      </c>
      <c r="N548" s="24" t="str">
        <f>IF(OR(L548=$L$2,L548=$L$3),$M$10+1,IFERROR(VLOOKUP(A548,'Repricing Maturity Adj.'!$A$3:$C$170,3,0),(IF(K548&lt;$M$10,"Check",K548))))</f>
        <v>Non_sensitive</v>
      </c>
      <c r="O548" s="62" t="b">
        <f t="shared" si="174"/>
        <v>1</v>
      </c>
      <c r="P548" s="63" t="str">
        <f t="shared" si="175"/>
        <v>Liability</v>
      </c>
      <c r="Q548" s="25">
        <f t="shared" si="176"/>
        <v>0</v>
      </c>
      <c r="R548" s="25">
        <f t="shared" si="177"/>
        <v>0</v>
      </c>
      <c r="S548" s="25">
        <f t="shared" si="178"/>
        <v>0</v>
      </c>
      <c r="T548" s="25">
        <f t="shared" si="179"/>
        <v>0</v>
      </c>
      <c r="U548" s="25">
        <f t="shared" si="180"/>
        <v>0</v>
      </c>
      <c r="V548" s="25">
        <f t="shared" si="181"/>
        <v>0</v>
      </c>
      <c r="W548" s="25">
        <f t="shared" si="182"/>
        <v>0</v>
      </c>
      <c r="X548" s="64">
        <f t="shared" si="183"/>
        <v>0</v>
      </c>
      <c r="Y548" s="64">
        <f t="shared" si="184"/>
        <v>0</v>
      </c>
      <c r="Z548" s="64">
        <f t="shared" si="185"/>
        <v>0</v>
      </c>
      <c r="AA548" s="64">
        <f t="shared" si="186"/>
        <v>0</v>
      </c>
      <c r="AB548" s="64">
        <f t="shared" si="187"/>
        <v>0</v>
      </c>
      <c r="AC548" s="64">
        <f t="shared" si="188"/>
        <v>0</v>
      </c>
      <c r="AD548" s="64">
        <f t="shared" si="189"/>
        <v>0</v>
      </c>
      <c r="AE548" s="64">
        <f t="shared" si="190"/>
        <v>0</v>
      </c>
      <c r="AF548" s="64">
        <f t="shared" si="191"/>
        <v>0</v>
      </c>
      <c r="AG548" s="29">
        <f t="shared" si="192"/>
        <v>60.73</v>
      </c>
    </row>
    <row r="549" spans="1:33">
      <c r="A549" s="265">
        <v>23200001</v>
      </c>
      <c r="B549" s="265" t="s">
        <v>446</v>
      </c>
      <c r="C549" s="265" t="s">
        <v>455</v>
      </c>
      <c r="D549" s="265">
        <v>100000001</v>
      </c>
      <c r="E549" s="265" t="s">
        <v>51</v>
      </c>
      <c r="F549" s="265" t="s">
        <v>0</v>
      </c>
      <c r="G549" s="266">
        <v>34.909999999999997</v>
      </c>
      <c r="H549" s="266">
        <v>34.909999999999997</v>
      </c>
      <c r="I549" s="267"/>
      <c r="J549" s="267"/>
      <c r="K549" s="267"/>
      <c r="L549" s="224" t="str">
        <f t="shared" si="193"/>
        <v>23200001_AUD_100000001_NONGHYUP BANK SYDNEY BRANCH</v>
      </c>
      <c r="M549" s="221">
        <f t="shared" si="173"/>
        <v>34.909999999999997</v>
      </c>
      <c r="N549" s="24" t="str">
        <f>IF(OR(L549=$L$2,L549=$L$3),$M$10+1,IFERROR(VLOOKUP(A549,'Repricing Maturity Adj.'!$A$3:$C$170,3,0),(IF(K549&lt;$M$10,"Check",K549))))</f>
        <v>Non_sensitive</v>
      </c>
      <c r="O549" s="62" t="b">
        <f t="shared" si="174"/>
        <v>1</v>
      </c>
      <c r="P549" s="63" t="str">
        <f t="shared" si="175"/>
        <v>Liability</v>
      </c>
      <c r="Q549" s="25">
        <f t="shared" si="176"/>
        <v>0</v>
      </c>
      <c r="R549" s="25">
        <f t="shared" si="177"/>
        <v>0</v>
      </c>
      <c r="S549" s="25">
        <f t="shared" si="178"/>
        <v>0</v>
      </c>
      <c r="T549" s="25">
        <f t="shared" si="179"/>
        <v>0</v>
      </c>
      <c r="U549" s="25">
        <f t="shared" si="180"/>
        <v>0</v>
      </c>
      <c r="V549" s="25">
        <f t="shared" si="181"/>
        <v>0</v>
      </c>
      <c r="W549" s="25">
        <f t="shared" si="182"/>
        <v>0</v>
      </c>
      <c r="X549" s="64">
        <f t="shared" si="183"/>
        <v>0</v>
      </c>
      <c r="Y549" s="64">
        <f t="shared" si="184"/>
        <v>0</v>
      </c>
      <c r="Z549" s="64">
        <f t="shared" si="185"/>
        <v>0</v>
      </c>
      <c r="AA549" s="64">
        <f t="shared" si="186"/>
        <v>0</v>
      </c>
      <c r="AB549" s="64">
        <f t="shared" si="187"/>
        <v>0</v>
      </c>
      <c r="AC549" s="64">
        <f t="shared" si="188"/>
        <v>0</v>
      </c>
      <c r="AD549" s="64">
        <f t="shared" si="189"/>
        <v>0</v>
      </c>
      <c r="AE549" s="64">
        <f t="shared" si="190"/>
        <v>0</v>
      </c>
      <c r="AF549" s="64">
        <f t="shared" si="191"/>
        <v>0</v>
      </c>
      <c r="AG549" s="29">
        <f t="shared" si="192"/>
        <v>34.909999999999997</v>
      </c>
    </row>
    <row r="550" spans="1:33">
      <c r="A550" s="265">
        <v>23200001</v>
      </c>
      <c r="B550" s="265" t="s">
        <v>446</v>
      </c>
      <c r="C550" s="265" t="s">
        <v>456</v>
      </c>
      <c r="D550" s="265">
        <v>100000001</v>
      </c>
      <c r="E550" s="265" t="s">
        <v>51</v>
      </c>
      <c r="F550" s="265" t="s">
        <v>0</v>
      </c>
      <c r="G550" s="266">
        <v>48.59</v>
      </c>
      <c r="H550" s="266">
        <v>48.59</v>
      </c>
      <c r="I550" s="267"/>
      <c r="J550" s="267"/>
      <c r="K550" s="267"/>
      <c r="L550" s="224" t="str">
        <f t="shared" si="193"/>
        <v>23200001_AUD_100000001_NONGHYUP BANK SYDNEY BRANCH</v>
      </c>
      <c r="M550" s="221">
        <f t="shared" si="173"/>
        <v>48.59</v>
      </c>
      <c r="N550" s="24" t="str">
        <f>IF(OR(L550=$L$2,L550=$L$3),$M$10+1,IFERROR(VLOOKUP(A550,'Repricing Maturity Adj.'!$A$3:$C$170,3,0),(IF(K550&lt;$M$10,"Check",K550))))</f>
        <v>Non_sensitive</v>
      </c>
      <c r="O550" s="62" t="b">
        <f t="shared" si="174"/>
        <v>1</v>
      </c>
      <c r="P550" s="63" t="str">
        <f t="shared" si="175"/>
        <v>Liability</v>
      </c>
      <c r="Q550" s="25">
        <f t="shared" si="176"/>
        <v>0</v>
      </c>
      <c r="R550" s="25">
        <f t="shared" si="177"/>
        <v>0</v>
      </c>
      <c r="S550" s="25">
        <f t="shared" si="178"/>
        <v>0</v>
      </c>
      <c r="T550" s="25">
        <f t="shared" si="179"/>
        <v>0</v>
      </c>
      <c r="U550" s="25">
        <f t="shared" si="180"/>
        <v>0</v>
      </c>
      <c r="V550" s="25">
        <f t="shared" si="181"/>
        <v>0</v>
      </c>
      <c r="W550" s="25">
        <f t="shared" si="182"/>
        <v>0</v>
      </c>
      <c r="X550" s="64">
        <f t="shared" si="183"/>
        <v>0</v>
      </c>
      <c r="Y550" s="64">
        <f t="shared" si="184"/>
        <v>0</v>
      </c>
      <c r="Z550" s="64">
        <f t="shared" si="185"/>
        <v>0</v>
      </c>
      <c r="AA550" s="64">
        <f t="shared" si="186"/>
        <v>0</v>
      </c>
      <c r="AB550" s="64">
        <f t="shared" si="187"/>
        <v>0</v>
      </c>
      <c r="AC550" s="64">
        <f t="shared" si="188"/>
        <v>0</v>
      </c>
      <c r="AD550" s="64">
        <f t="shared" si="189"/>
        <v>0</v>
      </c>
      <c r="AE550" s="64">
        <f t="shared" si="190"/>
        <v>0</v>
      </c>
      <c r="AF550" s="64">
        <f t="shared" si="191"/>
        <v>0</v>
      </c>
      <c r="AG550" s="29">
        <f t="shared" si="192"/>
        <v>48.59</v>
      </c>
    </row>
    <row r="551" spans="1:33">
      <c r="A551" s="265">
        <v>23200001</v>
      </c>
      <c r="B551" s="265" t="s">
        <v>446</v>
      </c>
      <c r="C551" s="265" t="s">
        <v>457</v>
      </c>
      <c r="D551" s="265">
        <v>100000001</v>
      </c>
      <c r="E551" s="265" t="s">
        <v>51</v>
      </c>
      <c r="F551" s="265" t="s">
        <v>0</v>
      </c>
      <c r="G551" s="266">
        <v>57.06</v>
      </c>
      <c r="H551" s="266">
        <v>57.06</v>
      </c>
      <c r="I551" s="267"/>
      <c r="J551" s="267"/>
      <c r="K551" s="267"/>
      <c r="L551" s="224" t="str">
        <f t="shared" si="193"/>
        <v>23200001_AUD_100000001_NONGHYUP BANK SYDNEY BRANCH</v>
      </c>
      <c r="M551" s="221">
        <f t="shared" si="173"/>
        <v>57.06</v>
      </c>
      <c r="N551" s="24" t="str">
        <f>IF(OR(L551=$L$2,L551=$L$3),$M$10+1,IFERROR(VLOOKUP(A551,'Repricing Maturity Adj.'!$A$3:$C$170,3,0),(IF(K551&lt;$M$10,"Check",K551))))</f>
        <v>Non_sensitive</v>
      </c>
      <c r="O551" s="62" t="b">
        <f t="shared" si="174"/>
        <v>1</v>
      </c>
      <c r="P551" s="63" t="str">
        <f t="shared" si="175"/>
        <v>Liability</v>
      </c>
      <c r="Q551" s="25">
        <f t="shared" si="176"/>
        <v>0</v>
      </c>
      <c r="R551" s="25">
        <f t="shared" si="177"/>
        <v>0</v>
      </c>
      <c r="S551" s="25">
        <f t="shared" si="178"/>
        <v>0</v>
      </c>
      <c r="T551" s="25">
        <f t="shared" si="179"/>
        <v>0</v>
      </c>
      <c r="U551" s="25">
        <f t="shared" si="180"/>
        <v>0</v>
      </c>
      <c r="V551" s="25">
        <f t="shared" si="181"/>
        <v>0</v>
      </c>
      <c r="W551" s="25">
        <f t="shared" si="182"/>
        <v>0</v>
      </c>
      <c r="X551" s="64">
        <f t="shared" si="183"/>
        <v>0</v>
      </c>
      <c r="Y551" s="64">
        <f t="shared" si="184"/>
        <v>0</v>
      </c>
      <c r="Z551" s="64">
        <f t="shared" si="185"/>
        <v>0</v>
      </c>
      <c r="AA551" s="64">
        <f t="shared" si="186"/>
        <v>0</v>
      </c>
      <c r="AB551" s="64">
        <f t="shared" si="187"/>
        <v>0</v>
      </c>
      <c r="AC551" s="64">
        <f t="shared" si="188"/>
        <v>0</v>
      </c>
      <c r="AD551" s="64">
        <f t="shared" si="189"/>
        <v>0</v>
      </c>
      <c r="AE551" s="64">
        <f t="shared" si="190"/>
        <v>0</v>
      </c>
      <c r="AF551" s="64">
        <f t="shared" si="191"/>
        <v>0</v>
      </c>
      <c r="AG551" s="29">
        <f t="shared" si="192"/>
        <v>57.06</v>
      </c>
    </row>
    <row r="552" spans="1:33">
      <c r="A552" s="265">
        <v>23200001</v>
      </c>
      <c r="B552" s="265" t="s">
        <v>446</v>
      </c>
      <c r="C552" s="265" t="s">
        <v>458</v>
      </c>
      <c r="D552" s="265">
        <v>100000001</v>
      </c>
      <c r="E552" s="265" t="s">
        <v>51</v>
      </c>
      <c r="F552" s="265" t="s">
        <v>0</v>
      </c>
      <c r="G552" s="266">
        <v>52.76</v>
      </c>
      <c r="H552" s="266">
        <v>52.76</v>
      </c>
      <c r="I552" s="267"/>
      <c r="J552" s="267"/>
      <c r="K552" s="267"/>
      <c r="L552" s="224" t="str">
        <f t="shared" si="193"/>
        <v>23200001_AUD_100000001_NONGHYUP BANK SYDNEY BRANCH</v>
      </c>
      <c r="M552" s="221">
        <f t="shared" si="173"/>
        <v>52.76</v>
      </c>
      <c r="N552" s="24" t="str">
        <f>IF(OR(L552=$L$2,L552=$L$3),$M$10+1,IFERROR(VLOOKUP(A552,'Repricing Maturity Adj.'!$A$3:$C$170,3,0),(IF(K552&lt;$M$10,"Check",K552))))</f>
        <v>Non_sensitive</v>
      </c>
      <c r="O552" s="62" t="b">
        <f t="shared" si="174"/>
        <v>1</v>
      </c>
      <c r="P552" s="63" t="str">
        <f t="shared" si="175"/>
        <v>Liability</v>
      </c>
      <c r="Q552" s="25">
        <f t="shared" si="176"/>
        <v>0</v>
      </c>
      <c r="R552" s="25">
        <f t="shared" si="177"/>
        <v>0</v>
      </c>
      <c r="S552" s="25">
        <f t="shared" si="178"/>
        <v>0</v>
      </c>
      <c r="T552" s="25">
        <f t="shared" si="179"/>
        <v>0</v>
      </c>
      <c r="U552" s="25">
        <f t="shared" si="180"/>
        <v>0</v>
      </c>
      <c r="V552" s="25">
        <f t="shared" si="181"/>
        <v>0</v>
      </c>
      <c r="W552" s="25">
        <f t="shared" si="182"/>
        <v>0</v>
      </c>
      <c r="X552" s="64">
        <f t="shared" si="183"/>
        <v>0</v>
      </c>
      <c r="Y552" s="64">
        <f t="shared" si="184"/>
        <v>0</v>
      </c>
      <c r="Z552" s="64">
        <f t="shared" si="185"/>
        <v>0</v>
      </c>
      <c r="AA552" s="64">
        <f t="shared" si="186"/>
        <v>0</v>
      </c>
      <c r="AB552" s="64">
        <f t="shared" si="187"/>
        <v>0</v>
      </c>
      <c r="AC552" s="64">
        <f t="shared" si="188"/>
        <v>0</v>
      </c>
      <c r="AD552" s="64">
        <f t="shared" si="189"/>
        <v>0</v>
      </c>
      <c r="AE552" s="64">
        <f t="shared" si="190"/>
        <v>0</v>
      </c>
      <c r="AF552" s="64">
        <f t="shared" si="191"/>
        <v>0</v>
      </c>
      <c r="AG552" s="29">
        <f t="shared" si="192"/>
        <v>52.76</v>
      </c>
    </row>
    <row r="553" spans="1:33">
      <c r="A553" s="265">
        <v>23200001</v>
      </c>
      <c r="B553" s="265" t="s">
        <v>446</v>
      </c>
      <c r="C553" s="265" t="s">
        <v>459</v>
      </c>
      <c r="D553" s="265">
        <v>100000001</v>
      </c>
      <c r="E553" s="265" t="s">
        <v>51</v>
      </c>
      <c r="F553" s="265" t="s">
        <v>0</v>
      </c>
      <c r="G553" s="266">
        <v>28.17</v>
      </c>
      <c r="H553" s="266">
        <v>28.17</v>
      </c>
      <c r="I553" s="267"/>
      <c r="J553" s="267"/>
      <c r="K553" s="267"/>
      <c r="L553" s="224" t="str">
        <f t="shared" si="193"/>
        <v>23200001_AUD_100000001_NONGHYUP BANK SYDNEY BRANCH</v>
      </c>
      <c r="M553" s="221">
        <f t="shared" si="173"/>
        <v>28.17</v>
      </c>
      <c r="N553" s="24" t="str">
        <f>IF(OR(L553=$L$2,L553=$L$3),$M$10+1,IFERROR(VLOOKUP(A553,'Repricing Maturity Adj.'!$A$3:$C$170,3,0),(IF(K553&lt;$M$10,"Check",K553))))</f>
        <v>Non_sensitive</v>
      </c>
      <c r="O553" s="62" t="b">
        <f t="shared" si="174"/>
        <v>1</v>
      </c>
      <c r="P553" s="63" t="str">
        <f t="shared" si="175"/>
        <v>Liability</v>
      </c>
      <c r="Q553" s="25">
        <f t="shared" si="176"/>
        <v>0</v>
      </c>
      <c r="R553" s="25">
        <f t="shared" si="177"/>
        <v>0</v>
      </c>
      <c r="S553" s="25">
        <f t="shared" si="178"/>
        <v>0</v>
      </c>
      <c r="T553" s="25">
        <f t="shared" si="179"/>
        <v>0</v>
      </c>
      <c r="U553" s="25">
        <f t="shared" si="180"/>
        <v>0</v>
      </c>
      <c r="V553" s="25">
        <f t="shared" si="181"/>
        <v>0</v>
      </c>
      <c r="W553" s="25">
        <f t="shared" si="182"/>
        <v>0</v>
      </c>
      <c r="X553" s="64">
        <f t="shared" si="183"/>
        <v>0</v>
      </c>
      <c r="Y553" s="64">
        <f t="shared" si="184"/>
        <v>0</v>
      </c>
      <c r="Z553" s="64">
        <f t="shared" si="185"/>
        <v>0</v>
      </c>
      <c r="AA553" s="64">
        <f t="shared" si="186"/>
        <v>0</v>
      </c>
      <c r="AB553" s="64">
        <f t="shared" si="187"/>
        <v>0</v>
      </c>
      <c r="AC553" s="64">
        <f t="shared" si="188"/>
        <v>0</v>
      </c>
      <c r="AD553" s="64">
        <f t="shared" si="189"/>
        <v>0</v>
      </c>
      <c r="AE553" s="64">
        <f t="shared" si="190"/>
        <v>0</v>
      </c>
      <c r="AF553" s="64">
        <f t="shared" si="191"/>
        <v>0</v>
      </c>
      <c r="AG553" s="29">
        <f t="shared" si="192"/>
        <v>28.17</v>
      </c>
    </row>
    <row r="554" spans="1:33">
      <c r="A554" s="265">
        <v>23200001</v>
      </c>
      <c r="B554" s="265" t="s">
        <v>446</v>
      </c>
      <c r="C554" s="265" t="s">
        <v>460</v>
      </c>
      <c r="D554" s="265">
        <v>100000001</v>
      </c>
      <c r="E554" s="265" t="s">
        <v>51</v>
      </c>
      <c r="F554" s="265" t="s">
        <v>0</v>
      </c>
      <c r="G554" s="266">
        <v>41.18</v>
      </c>
      <c r="H554" s="266">
        <v>41.18</v>
      </c>
      <c r="I554" s="267"/>
      <c r="J554" s="267"/>
      <c r="K554" s="267"/>
      <c r="L554" s="224" t="str">
        <f t="shared" si="193"/>
        <v>23200001_AUD_100000001_NONGHYUP BANK SYDNEY BRANCH</v>
      </c>
      <c r="M554" s="221">
        <f t="shared" si="173"/>
        <v>41.18</v>
      </c>
      <c r="N554" s="24" t="str">
        <f>IF(OR(L554=$L$2,L554=$L$3),$M$10+1,IFERROR(VLOOKUP(A554,'Repricing Maturity Adj.'!$A$3:$C$170,3,0),(IF(K554&lt;$M$10,"Check",K554))))</f>
        <v>Non_sensitive</v>
      </c>
      <c r="O554" s="62" t="b">
        <f t="shared" si="174"/>
        <v>1</v>
      </c>
      <c r="P554" s="63" t="str">
        <f t="shared" si="175"/>
        <v>Liability</v>
      </c>
      <c r="Q554" s="25">
        <f t="shared" si="176"/>
        <v>0</v>
      </c>
      <c r="R554" s="25">
        <f t="shared" si="177"/>
        <v>0</v>
      </c>
      <c r="S554" s="25">
        <f t="shared" si="178"/>
        <v>0</v>
      </c>
      <c r="T554" s="25">
        <f t="shared" si="179"/>
        <v>0</v>
      </c>
      <c r="U554" s="25">
        <f t="shared" si="180"/>
        <v>0</v>
      </c>
      <c r="V554" s="25">
        <f t="shared" si="181"/>
        <v>0</v>
      </c>
      <c r="W554" s="25">
        <f t="shared" si="182"/>
        <v>0</v>
      </c>
      <c r="X554" s="64">
        <f t="shared" si="183"/>
        <v>0</v>
      </c>
      <c r="Y554" s="64">
        <f t="shared" si="184"/>
        <v>0</v>
      </c>
      <c r="Z554" s="64">
        <f t="shared" si="185"/>
        <v>0</v>
      </c>
      <c r="AA554" s="64">
        <f t="shared" si="186"/>
        <v>0</v>
      </c>
      <c r="AB554" s="64">
        <f t="shared" si="187"/>
        <v>0</v>
      </c>
      <c r="AC554" s="64">
        <f t="shared" si="188"/>
        <v>0</v>
      </c>
      <c r="AD554" s="64">
        <f t="shared" si="189"/>
        <v>0</v>
      </c>
      <c r="AE554" s="64">
        <f t="shared" si="190"/>
        <v>0</v>
      </c>
      <c r="AF554" s="64">
        <f t="shared" si="191"/>
        <v>0</v>
      </c>
      <c r="AG554" s="29">
        <f t="shared" si="192"/>
        <v>41.18</v>
      </c>
    </row>
    <row r="555" spans="1:33">
      <c r="A555" s="265">
        <v>23200001</v>
      </c>
      <c r="B555" s="265" t="s">
        <v>446</v>
      </c>
      <c r="C555" s="265" t="s">
        <v>461</v>
      </c>
      <c r="D555" s="265">
        <v>100000001</v>
      </c>
      <c r="E555" s="265" t="s">
        <v>51</v>
      </c>
      <c r="F555" s="265" t="s">
        <v>0</v>
      </c>
      <c r="G555" s="266">
        <v>6700.56</v>
      </c>
      <c r="H555" s="266">
        <v>6700.56</v>
      </c>
      <c r="I555" s="267"/>
      <c r="J555" s="267"/>
      <c r="K555" s="267"/>
      <c r="L555" s="224" t="str">
        <f t="shared" si="193"/>
        <v>23200001_AUD_100000001_NONGHYUP BANK SYDNEY BRANCH</v>
      </c>
      <c r="M555" s="221">
        <f t="shared" si="173"/>
        <v>6700.56</v>
      </c>
      <c r="N555" s="24" t="str">
        <f>IF(OR(L555=$L$2,L555=$L$3),$M$10+1,IFERROR(VLOOKUP(A555,'Repricing Maturity Adj.'!$A$3:$C$170,3,0),(IF(K555&lt;$M$10,"Check",K555))))</f>
        <v>Non_sensitive</v>
      </c>
      <c r="O555" s="62" t="b">
        <f t="shared" si="174"/>
        <v>1</v>
      </c>
      <c r="P555" s="63" t="str">
        <f t="shared" si="175"/>
        <v>Liability</v>
      </c>
      <c r="Q555" s="25">
        <f t="shared" si="176"/>
        <v>0</v>
      </c>
      <c r="R555" s="25">
        <f t="shared" si="177"/>
        <v>0</v>
      </c>
      <c r="S555" s="25">
        <f t="shared" si="178"/>
        <v>0</v>
      </c>
      <c r="T555" s="25">
        <f t="shared" si="179"/>
        <v>0</v>
      </c>
      <c r="U555" s="25">
        <f t="shared" si="180"/>
        <v>0</v>
      </c>
      <c r="V555" s="25">
        <f t="shared" si="181"/>
        <v>0</v>
      </c>
      <c r="W555" s="25">
        <f t="shared" si="182"/>
        <v>0</v>
      </c>
      <c r="X555" s="64">
        <f t="shared" si="183"/>
        <v>0</v>
      </c>
      <c r="Y555" s="64">
        <f t="shared" si="184"/>
        <v>0</v>
      </c>
      <c r="Z555" s="64">
        <f t="shared" si="185"/>
        <v>0</v>
      </c>
      <c r="AA555" s="64">
        <f t="shared" si="186"/>
        <v>0</v>
      </c>
      <c r="AB555" s="64">
        <f t="shared" si="187"/>
        <v>0</v>
      </c>
      <c r="AC555" s="64">
        <f t="shared" si="188"/>
        <v>0</v>
      </c>
      <c r="AD555" s="64">
        <f t="shared" si="189"/>
        <v>0</v>
      </c>
      <c r="AE555" s="64">
        <f t="shared" si="190"/>
        <v>0</v>
      </c>
      <c r="AF555" s="64">
        <f t="shared" si="191"/>
        <v>0</v>
      </c>
      <c r="AG555" s="29">
        <f t="shared" si="192"/>
        <v>6700.56</v>
      </c>
    </row>
    <row r="556" spans="1:33">
      <c r="A556" s="265">
        <v>23200001</v>
      </c>
      <c r="B556" s="265" t="s">
        <v>446</v>
      </c>
      <c r="C556" s="265" t="s">
        <v>462</v>
      </c>
      <c r="D556" s="265">
        <v>100000001</v>
      </c>
      <c r="E556" s="265" t="s">
        <v>51</v>
      </c>
      <c r="F556" s="265" t="s">
        <v>0</v>
      </c>
      <c r="G556" s="266">
        <v>6851.1</v>
      </c>
      <c r="H556" s="266">
        <v>6851.1</v>
      </c>
      <c r="I556" s="267"/>
      <c r="J556" s="267"/>
      <c r="K556" s="267"/>
      <c r="L556" s="224" t="str">
        <f t="shared" si="193"/>
        <v>23200001_AUD_100000001_NONGHYUP BANK SYDNEY BRANCH</v>
      </c>
      <c r="M556" s="221">
        <f t="shared" si="173"/>
        <v>6851.1</v>
      </c>
      <c r="N556" s="24" t="str">
        <f>IF(OR(L556=$L$2,L556=$L$3),$M$10+1,IFERROR(VLOOKUP(A556,'Repricing Maturity Adj.'!$A$3:$C$170,3,0),(IF(K556&lt;$M$10,"Check",K556))))</f>
        <v>Non_sensitive</v>
      </c>
      <c r="O556" s="62" t="b">
        <f t="shared" si="174"/>
        <v>1</v>
      </c>
      <c r="P556" s="63" t="str">
        <f t="shared" si="175"/>
        <v>Liability</v>
      </c>
      <c r="Q556" s="25">
        <f t="shared" si="176"/>
        <v>0</v>
      </c>
      <c r="R556" s="25">
        <f t="shared" si="177"/>
        <v>0</v>
      </c>
      <c r="S556" s="25">
        <f t="shared" si="178"/>
        <v>0</v>
      </c>
      <c r="T556" s="25">
        <f t="shared" si="179"/>
        <v>0</v>
      </c>
      <c r="U556" s="25">
        <f t="shared" si="180"/>
        <v>0</v>
      </c>
      <c r="V556" s="25">
        <f t="shared" si="181"/>
        <v>0</v>
      </c>
      <c r="W556" s="25">
        <f t="shared" si="182"/>
        <v>0</v>
      </c>
      <c r="X556" s="64">
        <f t="shared" si="183"/>
        <v>0</v>
      </c>
      <c r="Y556" s="64">
        <f t="shared" si="184"/>
        <v>0</v>
      </c>
      <c r="Z556" s="64">
        <f t="shared" si="185"/>
        <v>0</v>
      </c>
      <c r="AA556" s="64">
        <f t="shared" si="186"/>
        <v>0</v>
      </c>
      <c r="AB556" s="64">
        <f t="shared" si="187"/>
        <v>0</v>
      </c>
      <c r="AC556" s="64">
        <f t="shared" si="188"/>
        <v>0</v>
      </c>
      <c r="AD556" s="64">
        <f t="shared" si="189"/>
        <v>0</v>
      </c>
      <c r="AE556" s="64">
        <f t="shared" si="190"/>
        <v>0</v>
      </c>
      <c r="AF556" s="64">
        <f t="shared" si="191"/>
        <v>0</v>
      </c>
      <c r="AG556" s="29">
        <f t="shared" si="192"/>
        <v>6851.1</v>
      </c>
    </row>
    <row r="557" spans="1:33">
      <c r="A557" s="265">
        <v>23200001</v>
      </c>
      <c r="B557" s="265" t="s">
        <v>446</v>
      </c>
      <c r="C557" s="265" t="s">
        <v>463</v>
      </c>
      <c r="D557" s="265">
        <v>100000001</v>
      </c>
      <c r="E557" s="265" t="s">
        <v>51</v>
      </c>
      <c r="F557" s="265" t="s">
        <v>0</v>
      </c>
      <c r="G557" s="266">
        <v>51.67</v>
      </c>
      <c r="H557" s="266">
        <v>51.67</v>
      </c>
      <c r="I557" s="267"/>
      <c r="J557" s="267"/>
      <c r="K557" s="267"/>
      <c r="L557" s="224" t="str">
        <f t="shared" si="193"/>
        <v>23200001_AUD_100000001_NONGHYUP BANK SYDNEY BRANCH</v>
      </c>
      <c r="M557" s="221">
        <f t="shared" si="173"/>
        <v>51.67</v>
      </c>
      <c r="N557" s="24" t="str">
        <f>IF(OR(L557=$L$2,L557=$L$3),$M$10+1,IFERROR(VLOOKUP(A557,'Repricing Maturity Adj.'!$A$3:$C$170,3,0),(IF(K557&lt;$M$10,"Check",K557))))</f>
        <v>Non_sensitive</v>
      </c>
      <c r="O557" s="62" t="b">
        <f t="shared" si="174"/>
        <v>1</v>
      </c>
      <c r="P557" s="63" t="str">
        <f t="shared" si="175"/>
        <v>Liability</v>
      </c>
      <c r="Q557" s="25">
        <f t="shared" si="176"/>
        <v>0</v>
      </c>
      <c r="R557" s="25">
        <f t="shared" si="177"/>
        <v>0</v>
      </c>
      <c r="S557" s="25">
        <f t="shared" si="178"/>
        <v>0</v>
      </c>
      <c r="T557" s="25">
        <f t="shared" si="179"/>
        <v>0</v>
      </c>
      <c r="U557" s="25">
        <f t="shared" si="180"/>
        <v>0</v>
      </c>
      <c r="V557" s="25">
        <f t="shared" si="181"/>
        <v>0</v>
      </c>
      <c r="W557" s="25">
        <f t="shared" si="182"/>
        <v>0</v>
      </c>
      <c r="X557" s="64">
        <f t="shared" si="183"/>
        <v>0</v>
      </c>
      <c r="Y557" s="64">
        <f t="shared" si="184"/>
        <v>0</v>
      </c>
      <c r="Z557" s="64">
        <f t="shared" si="185"/>
        <v>0</v>
      </c>
      <c r="AA557" s="64">
        <f t="shared" si="186"/>
        <v>0</v>
      </c>
      <c r="AB557" s="64">
        <f t="shared" si="187"/>
        <v>0</v>
      </c>
      <c r="AC557" s="64">
        <f t="shared" si="188"/>
        <v>0</v>
      </c>
      <c r="AD557" s="64">
        <f t="shared" si="189"/>
        <v>0</v>
      </c>
      <c r="AE557" s="64">
        <f t="shared" si="190"/>
        <v>0</v>
      </c>
      <c r="AF557" s="64">
        <f t="shared" si="191"/>
        <v>0</v>
      </c>
      <c r="AG557" s="29">
        <f t="shared" si="192"/>
        <v>51.67</v>
      </c>
    </row>
    <row r="558" spans="1:33">
      <c r="A558" s="265">
        <v>23200001</v>
      </c>
      <c r="B558" s="265" t="s">
        <v>446</v>
      </c>
      <c r="C558" s="265" t="s">
        <v>464</v>
      </c>
      <c r="D558" s="265">
        <v>100000001</v>
      </c>
      <c r="E558" s="265" t="s">
        <v>51</v>
      </c>
      <c r="F558" s="265" t="s">
        <v>0</v>
      </c>
      <c r="G558" s="266">
        <v>48.32</v>
      </c>
      <c r="H558" s="266">
        <v>48.32</v>
      </c>
      <c r="I558" s="267"/>
      <c r="J558" s="267"/>
      <c r="K558" s="267"/>
      <c r="L558" s="224" t="str">
        <f t="shared" si="193"/>
        <v>23200001_AUD_100000001_NONGHYUP BANK SYDNEY BRANCH</v>
      </c>
      <c r="M558" s="221">
        <f t="shared" si="173"/>
        <v>48.32</v>
      </c>
      <c r="N558" s="24" t="str">
        <f>IF(OR(L558=$L$2,L558=$L$3),$M$10+1,IFERROR(VLOOKUP(A558,'Repricing Maturity Adj.'!$A$3:$C$170,3,0),(IF(K558&lt;$M$10,"Check",K558))))</f>
        <v>Non_sensitive</v>
      </c>
      <c r="O558" s="62" t="b">
        <f t="shared" si="174"/>
        <v>1</v>
      </c>
      <c r="P558" s="63" t="str">
        <f t="shared" si="175"/>
        <v>Liability</v>
      </c>
      <c r="Q558" s="25">
        <f t="shared" si="176"/>
        <v>0</v>
      </c>
      <c r="R558" s="25">
        <f t="shared" si="177"/>
        <v>0</v>
      </c>
      <c r="S558" s="25">
        <f t="shared" si="178"/>
        <v>0</v>
      </c>
      <c r="T558" s="25">
        <f t="shared" si="179"/>
        <v>0</v>
      </c>
      <c r="U558" s="25">
        <f t="shared" si="180"/>
        <v>0</v>
      </c>
      <c r="V558" s="25">
        <f t="shared" si="181"/>
        <v>0</v>
      </c>
      <c r="W558" s="25">
        <f t="shared" si="182"/>
        <v>0</v>
      </c>
      <c r="X558" s="64">
        <f t="shared" si="183"/>
        <v>0</v>
      </c>
      <c r="Y558" s="64">
        <f t="shared" si="184"/>
        <v>0</v>
      </c>
      <c r="Z558" s="64">
        <f t="shared" si="185"/>
        <v>0</v>
      </c>
      <c r="AA558" s="64">
        <f t="shared" si="186"/>
        <v>0</v>
      </c>
      <c r="AB558" s="64">
        <f t="shared" si="187"/>
        <v>0</v>
      </c>
      <c r="AC558" s="64">
        <f t="shared" si="188"/>
        <v>0</v>
      </c>
      <c r="AD558" s="64">
        <f t="shared" si="189"/>
        <v>0</v>
      </c>
      <c r="AE558" s="64">
        <f t="shared" si="190"/>
        <v>0</v>
      </c>
      <c r="AF558" s="64">
        <f t="shared" si="191"/>
        <v>0</v>
      </c>
      <c r="AG558" s="29">
        <f t="shared" si="192"/>
        <v>48.32</v>
      </c>
    </row>
    <row r="559" spans="1:33">
      <c r="A559" s="265">
        <v>23200001</v>
      </c>
      <c r="B559" s="265" t="s">
        <v>446</v>
      </c>
      <c r="C559" s="265" t="s">
        <v>465</v>
      </c>
      <c r="D559" s="265">
        <v>100000001</v>
      </c>
      <c r="E559" s="265" t="s">
        <v>51</v>
      </c>
      <c r="F559" s="265" t="s">
        <v>0</v>
      </c>
      <c r="G559" s="266">
        <v>23.31</v>
      </c>
      <c r="H559" s="266">
        <v>23.31</v>
      </c>
      <c r="I559" s="267"/>
      <c r="J559" s="267"/>
      <c r="K559" s="267"/>
      <c r="L559" s="224" t="str">
        <f t="shared" si="193"/>
        <v>23200001_AUD_100000001_NONGHYUP BANK SYDNEY BRANCH</v>
      </c>
      <c r="M559" s="221">
        <f t="shared" si="173"/>
        <v>23.31</v>
      </c>
      <c r="N559" s="24" t="str">
        <f>IF(OR(L559=$L$2,L559=$L$3),$M$10+1,IFERROR(VLOOKUP(A559,'Repricing Maturity Adj.'!$A$3:$C$170,3,0),(IF(K559&lt;$M$10,"Check",K559))))</f>
        <v>Non_sensitive</v>
      </c>
      <c r="O559" s="62" t="b">
        <f t="shared" si="174"/>
        <v>1</v>
      </c>
      <c r="P559" s="63" t="str">
        <f t="shared" si="175"/>
        <v>Liability</v>
      </c>
      <c r="Q559" s="25">
        <f t="shared" si="176"/>
        <v>0</v>
      </c>
      <c r="R559" s="25">
        <f t="shared" si="177"/>
        <v>0</v>
      </c>
      <c r="S559" s="25">
        <f t="shared" si="178"/>
        <v>0</v>
      </c>
      <c r="T559" s="25">
        <f t="shared" si="179"/>
        <v>0</v>
      </c>
      <c r="U559" s="25">
        <f t="shared" si="180"/>
        <v>0</v>
      </c>
      <c r="V559" s="25">
        <f t="shared" si="181"/>
        <v>0</v>
      </c>
      <c r="W559" s="25">
        <f t="shared" si="182"/>
        <v>0</v>
      </c>
      <c r="X559" s="64">
        <f t="shared" si="183"/>
        <v>0</v>
      </c>
      <c r="Y559" s="64">
        <f t="shared" si="184"/>
        <v>0</v>
      </c>
      <c r="Z559" s="64">
        <f t="shared" si="185"/>
        <v>0</v>
      </c>
      <c r="AA559" s="64">
        <f t="shared" si="186"/>
        <v>0</v>
      </c>
      <c r="AB559" s="64">
        <f t="shared" si="187"/>
        <v>0</v>
      </c>
      <c r="AC559" s="64">
        <f t="shared" si="188"/>
        <v>0</v>
      </c>
      <c r="AD559" s="64">
        <f t="shared" si="189"/>
        <v>0</v>
      </c>
      <c r="AE559" s="64">
        <f t="shared" si="190"/>
        <v>0</v>
      </c>
      <c r="AF559" s="64">
        <f t="shared" si="191"/>
        <v>0</v>
      </c>
      <c r="AG559" s="29">
        <f t="shared" si="192"/>
        <v>23.31</v>
      </c>
    </row>
    <row r="560" spans="1:33">
      <c r="A560" s="265">
        <v>23200001</v>
      </c>
      <c r="B560" s="265" t="s">
        <v>446</v>
      </c>
      <c r="C560" s="265" t="s">
        <v>466</v>
      </c>
      <c r="D560" s="265">
        <v>100000001</v>
      </c>
      <c r="E560" s="265" t="s">
        <v>51</v>
      </c>
      <c r="F560" s="265" t="s">
        <v>0</v>
      </c>
      <c r="G560" s="266">
        <v>36.5</v>
      </c>
      <c r="H560" s="266">
        <v>36.5</v>
      </c>
      <c r="I560" s="267"/>
      <c r="J560" s="267"/>
      <c r="K560" s="267"/>
      <c r="L560" s="224" t="str">
        <f t="shared" si="193"/>
        <v>23200001_AUD_100000001_NONGHYUP BANK SYDNEY BRANCH</v>
      </c>
      <c r="M560" s="221">
        <f t="shared" si="173"/>
        <v>36.5</v>
      </c>
      <c r="N560" s="24" t="str">
        <f>IF(OR(L560=$L$2,L560=$L$3),$M$10+1,IFERROR(VLOOKUP(A560,'Repricing Maturity Adj.'!$A$3:$C$170,3,0),(IF(K560&lt;$M$10,"Check",K560))))</f>
        <v>Non_sensitive</v>
      </c>
      <c r="O560" s="62" t="b">
        <f t="shared" si="174"/>
        <v>1</v>
      </c>
      <c r="P560" s="63" t="str">
        <f t="shared" si="175"/>
        <v>Liability</v>
      </c>
      <c r="Q560" s="25">
        <f t="shared" si="176"/>
        <v>0</v>
      </c>
      <c r="R560" s="25">
        <f t="shared" si="177"/>
        <v>0</v>
      </c>
      <c r="S560" s="25">
        <f t="shared" si="178"/>
        <v>0</v>
      </c>
      <c r="T560" s="25">
        <f t="shared" si="179"/>
        <v>0</v>
      </c>
      <c r="U560" s="25">
        <f t="shared" si="180"/>
        <v>0</v>
      </c>
      <c r="V560" s="25">
        <f t="shared" si="181"/>
        <v>0</v>
      </c>
      <c r="W560" s="25">
        <f t="shared" si="182"/>
        <v>0</v>
      </c>
      <c r="X560" s="64">
        <f t="shared" si="183"/>
        <v>0</v>
      </c>
      <c r="Y560" s="64">
        <f t="shared" si="184"/>
        <v>0</v>
      </c>
      <c r="Z560" s="64">
        <f t="shared" si="185"/>
        <v>0</v>
      </c>
      <c r="AA560" s="64">
        <f t="shared" si="186"/>
        <v>0</v>
      </c>
      <c r="AB560" s="64">
        <f t="shared" si="187"/>
        <v>0</v>
      </c>
      <c r="AC560" s="64">
        <f t="shared" si="188"/>
        <v>0</v>
      </c>
      <c r="AD560" s="64">
        <f t="shared" si="189"/>
        <v>0</v>
      </c>
      <c r="AE560" s="64">
        <f t="shared" si="190"/>
        <v>0</v>
      </c>
      <c r="AF560" s="64">
        <f t="shared" si="191"/>
        <v>0</v>
      </c>
      <c r="AG560" s="29">
        <f t="shared" si="192"/>
        <v>36.5</v>
      </c>
    </row>
    <row r="561" spans="1:33">
      <c r="A561" s="265">
        <v>23200001</v>
      </c>
      <c r="B561" s="265" t="s">
        <v>446</v>
      </c>
      <c r="C561" s="265" t="s">
        <v>467</v>
      </c>
      <c r="D561" s="265">
        <v>100000001</v>
      </c>
      <c r="E561" s="265" t="s">
        <v>51</v>
      </c>
      <c r="F561" s="265" t="s">
        <v>0</v>
      </c>
      <c r="G561" s="266">
        <v>83.49</v>
      </c>
      <c r="H561" s="266">
        <v>83.49</v>
      </c>
      <c r="I561" s="267"/>
      <c r="J561" s="267"/>
      <c r="K561" s="267"/>
      <c r="L561" s="224" t="str">
        <f t="shared" si="193"/>
        <v>23200001_AUD_100000001_NONGHYUP BANK SYDNEY BRANCH</v>
      </c>
      <c r="M561" s="221">
        <f t="shared" si="173"/>
        <v>83.49</v>
      </c>
      <c r="N561" s="24" t="str">
        <f>IF(OR(L561=$L$2,L561=$L$3),$M$10+1,IFERROR(VLOOKUP(A561,'Repricing Maturity Adj.'!$A$3:$C$170,3,0),(IF(K561&lt;$M$10,"Check",K561))))</f>
        <v>Non_sensitive</v>
      </c>
      <c r="O561" s="62" t="b">
        <f t="shared" si="174"/>
        <v>1</v>
      </c>
      <c r="P561" s="63" t="str">
        <f t="shared" si="175"/>
        <v>Liability</v>
      </c>
      <c r="Q561" s="25">
        <f t="shared" si="176"/>
        <v>0</v>
      </c>
      <c r="R561" s="25">
        <f t="shared" si="177"/>
        <v>0</v>
      </c>
      <c r="S561" s="25">
        <f t="shared" si="178"/>
        <v>0</v>
      </c>
      <c r="T561" s="25">
        <f t="shared" si="179"/>
        <v>0</v>
      </c>
      <c r="U561" s="25">
        <f t="shared" si="180"/>
        <v>0</v>
      </c>
      <c r="V561" s="25">
        <f t="shared" si="181"/>
        <v>0</v>
      </c>
      <c r="W561" s="25">
        <f t="shared" si="182"/>
        <v>0</v>
      </c>
      <c r="X561" s="64">
        <f t="shared" si="183"/>
        <v>0</v>
      </c>
      <c r="Y561" s="64">
        <f t="shared" si="184"/>
        <v>0</v>
      </c>
      <c r="Z561" s="64">
        <f t="shared" si="185"/>
        <v>0</v>
      </c>
      <c r="AA561" s="64">
        <f t="shared" si="186"/>
        <v>0</v>
      </c>
      <c r="AB561" s="64">
        <f t="shared" si="187"/>
        <v>0</v>
      </c>
      <c r="AC561" s="64">
        <f t="shared" si="188"/>
        <v>0</v>
      </c>
      <c r="AD561" s="64">
        <f t="shared" si="189"/>
        <v>0</v>
      </c>
      <c r="AE561" s="64">
        <f t="shared" si="190"/>
        <v>0</v>
      </c>
      <c r="AF561" s="64">
        <f t="shared" si="191"/>
        <v>0</v>
      </c>
      <c r="AG561" s="29">
        <f t="shared" si="192"/>
        <v>83.49</v>
      </c>
    </row>
    <row r="562" spans="1:33">
      <c r="A562" s="265">
        <v>23200001</v>
      </c>
      <c r="B562" s="265" t="s">
        <v>446</v>
      </c>
      <c r="C562" s="265" t="s">
        <v>468</v>
      </c>
      <c r="D562" s="265">
        <v>100000001</v>
      </c>
      <c r="E562" s="265" t="s">
        <v>51</v>
      </c>
      <c r="F562" s="265" t="s">
        <v>0</v>
      </c>
      <c r="G562" s="266">
        <v>6774.23</v>
      </c>
      <c r="H562" s="266">
        <v>6774.23</v>
      </c>
      <c r="I562" s="267"/>
      <c r="J562" s="267"/>
      <c r="K562" s="267"/>
      <c r="L562" s="224" t="str">
        <f t="shared" si="193"/>
        <v>23200001_AUD_100000001_NONGHYUP BANK SYDNEY BRANCH</v>
      </c>
      <c r="M562" s="221">
        <f t="shared" si="173"/>
        <v>6774.23</v>
      </c>
      <c r="N562" s="24" t="str">
        <f>IF(OR(L562=$L$2,L562=$L$3),$M$10+1,IFERROR(VLOOKUP(A562,'Repricing Maturity Adj.'!$A$3:$C$170,3,0),(IF(K562&lt;$M$10,"Check",K562))))</f>
        <v>Non_sensitive</v>
      </c>
      <c r="O562" s="62" t="b">
        <f t="shared" si="174"/>
        <v>1</v>
      </c>
      <c r="P562" s="63" t="str">
        <f t="shared" si="175"/>
        <v>Liability</v>
      </c>
      <c r="Q562" s="25">
        <f t="shared" si="176"/>
        <v>0</v>
      </c>
      <c r="R562" s="25">
        <f t="shared" si="177"/>
        <v>0</v>
      </c>
      <c r="S562" s="25">
        <f t="shared" si="178"/>
        <v>0</v>
      </c>
      <c r="T562" s="25">
        <f t="shared" si="179"/>
        <v>0</v>
      </c>
      <c r="U562" s="25">
        <f t="shared" si="180"/>
        <v>0</v>
      </c>
      <c r="V562" s="25">
        <f t="shared" si="181"/>
        <v>0</v>
      </c>
      <c r="W562" s="25">
        <f t="shared" si="182"/>
        <v>0</v>
      </c>
      <c r="X562" s="64">
        <f t="shared" si="183"/>
        <v>0</v>
      </c>
      <c r="Y562" s="64">
        <f t="shared" si="184"/>
        <v>0</v>
      </c>
      <c r="Z562" s="64">
        <f t="shared" si="185"/>
        <v>0</v>
      </c>
      <c r="AA562" s="64">
        <f t="shared" si="186"/>
        <v>0</v>
      </c>
      <c r="AB562" s="64">
        <f t="shared" si="187"/>
        <v>0</v>
      </c>
      <c r="AC562" s="64">
        <f t="shared" si="188"/>
        <v>0</v>
      </c>
      <c r="AD562" s="64">
        <f t="shared" si="189"/>
        <v>0</v>
      </c>
      <c r="AE562" s="64">
        <f t="shared" si="190"/>
        <v>0</v>
      </c>
      <c r="AF562" s="64">
        <f t="shared" si="191"/>
        <v>0</v>
      </c>
      <c r="AG562" s="29">
        <f t="shared" si="192"/>
        <v>6774.23</v>
      </c>
    </row>
    <row r="563" spans="1:33">
      <c r="A563" s="265">
        <v>23200001</v>
      </c>
      <c r="B563" s="265" t="s">
        <v>446</v>
      </c>
      <c r="C563" s="265" t="s">
        <v>469</v>
      </c>
      <c r="D563" s="265">
        <v>100000001</v>
      </c>
      <c r="E563" s="265" t="s">
        <v>51</v>
      </c>
      <c r="F563" s="265" t="s">
        <v>0</v>
      </c>
      <c r="G563" s="266">
        <v>137.44</v>
      </c>
      <c r="H563" s="266">
        <v>137.44</v>
      </c>
      <c r="I563" s="267"/>
      <c r="J563" s="267"/>
      <c r="K563" s="267"/>
      <c r="L563" s="224" t="str">
        <f t="shared" si="193"/>
        <v>23200001_AUD_100000001_NONGHYUP BANK SYDNEY BRANCH</v>
      </c>
      <c r="M563" s="221">
        <f t="shared" si="173"/>
        <v>137.44</v>
      </c>
      <c r="N563" s="24" t="str">
        <f>IF(OR(L563=$L$2,L563=$L$3),$M$10+1,IFERROR(VLOOKUP(A563,'Repricing Maturity Adj.'!$A$3:$C$170,3,0),(IF(K563&lt;$M$10,"Check",K563))))</f>
        <v>Non_sensitive</v>
      </c>
      <c r="O563" s="62" t="b">
        <f t="shared" si="174"/>
        <v>1</v>
      </c>
      <c r="P563" s="63" t="str">
        <f t="shared" si="175"/>
        <v>Liability</v>
      </c>
      <c r="Q563" s="25">
        <f t="shared" si="176"/>
        <v>0</v>
      </c>
      <c r="R563" s="25">
        <f t="shared" si="177"/>
        <v>0</v>
      </c>
      <c r="S563" s="25">
        <f t="shared" si="178"/>
        <v>0</v>
      </c>
      <c r="T563" s="25">
        <f t="shared" si="179"/>
        <v>0</v>
      </c>
      <c r="U563" s="25">
        <f t="shared" si="180"/>
        <v>0</v>
      </c>
      <c r="V563" s="25">
        <f t="shared" si="181"/>
        <v>0</v>
      </c>
      <c r="W563" s="25">
        <f t="shared" si="182"/>
        <v>0</v>
      </c>
      <c r="X563" s="64">
        <f t="shared" si="183"/>
        <v>0</v>
      </c>
      <c r="Y563" s="64">
        <f t="shared" si="184"/>
        <v>0</v>
      </c>
      <c r="Z563" s="64">
        <f t="shared" si="185"/>
        <v>0</v>
      </c>
      <c r="AA563" s="64">
        <f t="shared" si="186"/>
        <v>0</v>
      </c>
      <c r="AB563" s="64">
        <f t="shared" si="187"/>
        <v>0</v>
      </c>
      <c r="AC563" s="64">
        <f t="shared" si="188"/>
        <v>0</v>
      </c>
      <c r="AD563" s="64">
        <f t="shared" si="189"/>
        <v>0</v>
      </c>
      <c r="AE563" s="64">
        <f t="shared" si="190"/>
        <v>0</v>
      </c>
      <c r="AF563" s="64">
        <f t="shared" si="191"/>
        <v>0</v>
      </c>
      <c r="AG563" s="29">
        <f t="shared" si="192"/>
        <v>137.44</v>
      </c>
    </row>
    <row r="564" spans="1:33">
      <c r="A564" s="265">
        <v>23200001</v>
      </c>
      <c r="B564" s="265" t="s">
        <v>446</v>
      </c>
      <c r="C564" s="265" t="s">
        <v>470</v>
      </c>
      <c r="D564" s="265">
        <v>100000001</v>
      </c>
      <c r="E564" s="265" t="s">
        <v>51</v>
      </c>
      <c r="F564" s="265" t="s">
        <v>0</v>
      </c>
      <c r="G564" s="266">
        <v>44.38</v>
      </c>
      <c r="H564" s="266">
        <v>44.38</v>
      </c>
      <c r="I564" s="267"/>
      <c r="J564" s="267"/>
      <c r="K564" s="267"/>
      <c r="L564" s="224" t="str">
        <f t="shared" si="193"/>
        <v>23200001_AUD_100000001_NONGHYUP BANK SYDNEY BRANCH</v>
      </c>
      <c r="M564" s="221">
        <f t="shared" si="173"/>
        <v>44.38</v>
      </c>
      <c r="N564" s="24" t="str">
        <f>IF(OR(L564=$L$2,L564=$L$3),$M$10+1,IFERROR(VLOOKUP(A564,'Repricing Maturity Adj.'!$A$3:$C$170,3,0),(IF(K564&lt;$M$10,"Check",K564))))</f>
        <v>Non_sensitive</v>
      </c>
      <c r="O564" s="62" t="b">
        <f t="shared" si="174"/>
        <v>1</v>
      </c>
      <c r="P564" s="63" t="str">
        <f t="shared" si="175"/>
        <v>Liability</v>
      </c>
      <c r="Q564" s="25">
        <f t="shared" si="176"/>
        <v>0</v>
      </c>
      <c r="R564" s="25">
        <f t="shared" si="177"/>
        <v>0</v>
      </c>
      <c r="S564" s="25">
        <f t="shared" si="178"/>
        <v>0</v>
      </c>
      <c r="T564" s="25">
        <f t="shared" si="179"/>
        <v>0</v>
      </c>
      <c r="U564" s="25">
        <f t="shared" si="180"/>
        <v>0</v>
      </c>
      <c r="V564" s="25">
        <f t="shared" si="181"/>
        <v>0</v>
      </c>
      <c r="W564" s="25">
        <f t="shared" si="182"/>
        <v>0</v>
      </c>
      <c r="X564" s="64">
        <f t="shared" si="183"/>
        <v>0</v>
      </c>
      <c r="Y564" s="64">
        <f t="shared" si="184"/>
        <v>0</v>
      </c>
      <c r="Z564" s="64">
        <f t="shared" si="185"/>
        <v>0</v>
      </c>
      <c r="AA564" s="64">
        <f t="shared" si="186"/>
        <v>0</v>
      </c>
      <c r="AB564" s="64">
        <f t="shared" si="187"/>
        <v>0</v>
      </c>
      <c r="AC564" s="64">
        <f t="shared" si="188"/>
        <v>0</v>
      </c>
      <c r="AD564" s="64">
        <f t="shared" si="189"/>
        <v>0</v>
      </c>
      <c r="AE564" s="64">
        <f t="shared" si="190"/>
        <v>0</v>
      </c>
      <c r="AF564" s="64">
        <f t="shared" si="191"/>
        <v>0</v>
      </c>
      <c r="AG564" s="29">
        <f t="shared" si="192"/>
        <v>44.38</v>
      </c>
    </row>
    <row r="565" spans="1:33">
      <c r="A565" s="265">
        <v>23200001</v>
      </c>
      <c r="B565" s="265" t="s">
        <v>446</v>
      </c>
      <c r="C565" s="265" t="s">
        <v>471</v>
      </c>
      <c r="D565" s="265">
        <v>100000001</v>
      </c>
      <c r="E565" s="265" t="s">
        <v>51</v>
      </c>
      <c r="F565" s="265" t="s">
        <v>0</v>
      </c>
      <c r="G565" s="266">
        <v>42.01</v>
      </c>
      <c r="H565" s="266">
        <v>42.01</v>
      </c>
      <c r="I565" s="267"/>
      <c r="J565" s="267"/>
      <c r="K565" s="267"/>
      <c r="L565" s="224" t="str">
        <f t="shared" si="193"/>
        <v>23200001_AUD_100000001_NONGHYUP BANK SYDNEY BRANCH</v>
      </c>
      <c r="M565" s="221">
        <f t="shared" si="173"/>
        <v>42.01</v>
      </c>
      <c r="N565" s="24" t="str">
        <f>IF(OR(L565=$L$2,L565=$L$3),$M$10+1,IFERROR(VLOOKUP(A565,'Repricing Maturity Adj.'!$A$3:$C$170,3,0),(IF(K565&lt;$M$10,"Check",K565))))</f>
        <v>Non_sensitive</v>
      </c>
      <c r="O565" s="62" t="b">
        <f t="shared" si="174"/>
        <v>1</v>
      </c>
      <c r="P565" s="63" t="str">
        <f t="shared" si="175"/>
        <v>Liability</v>
      </c>
      <c r="Q565" s="25">
        <f t="shared" si="176"/>
        <v>0</v>
      </c>
      <c r="R565" s="25">
        <f t="shared" si="177"/>
        <v>0</v>
      </c>
      <c r="S565" s="25">
        <f t="shared" si="178"/>
        <v>0</v>
      </c>
      <c r="T565" s="25">
        <f t="shared" si="179"/>
        <v>0</v>
      </c>
      <c r="U565" s="25">
        <f t="shared" si="180"/>
        <v>0</v>
      </c>
      <c r="V565" s="25">
        <f t="shared" si="181"/>
        <v>0</v>
      </c>
      <c r="W565" s="25">
        <f t="shared" si="182"/>
        <v>0</v>
      </c>
      <c r="X565" s="64">
        <f t="shared" si="183"/>
        <v>0</v>
      </c>
      <c r="Y565" s="64">
        <f t="shared" si="184"/>
        <v>0</v>
      </c>
      <c r="Z565" s="64">
        <f t="shared" si="185"/>
        <v>0</v>
      </c>
      <c r="AA565" s="64">
        <f t="shared" si="186"/>
        <v>0</v>
      </c>
      <c r="AB565" s="64">
        <f t="shared" si="187"/>
        <v>0</v>
      </c>
      <c r="AC565" s="64">
        <f t="shared" si="188"/>
        <v>0</v>
      </c>
      <c r="AD565" s="64">
        <f t="shared" si="189"/>
        <v>0</v>
      </c>
      <c r="AE565" s="64">
        <f t="shared" si="190"/>
        <v>0</v>
      </c>
      <c r="AF565" s="64">
        <f t="shared" si="191"/>
        <v>0</v>
      </c>
      <c r="AG565" s="29">
        <f t="shared" si="192"/>
        <v>42.01</v>
      </c>
    </row>
    <row r="566" spans="1:33">
      <c r="A566" s="265">
        <v>23200001</v>
      </c>
      <c r="B566" s="265" t="s">
        <v>446</v>
      </c>
      <c r="C566" s="265" t="s">
        <v>472</v>
      </c>
      <c r="D566" s="265">
        <v>100000001</v>
      </c>
      <c r="E566" s="265" t="s">
        <v>51</v>
      </c>
      <c r="F566" s="265" t="s">
        <v>0</v>
      </c>
      <c r="G566" s="266">
        <v>17.489999999999998</v>
      </c>
      <c r="H566" s="266">
        <v>17.489999999999998</v>
      </c>
      <c r="I566" s="267"/>
      <c r="J566" s="267"/>
      <c r="K566" s="267"/>
      <c r="L566" s="224" t="str">
        <f t="shared" si="193"/>
        <v>23200001_AUD_100000001_NONGHYUP BANK SYDNEY BRANCH</v>
      </c>
      <c r="M566" s="221">
        <f t="shared" si="173"/>
        <v>17.489999999999998</v>
      </c>
      <c r="N566" s="24" t="str">
        <f>IF(OR(L566=$L$2,L566=$L$3),$M$10+1,IFERROR(VLOOKUP(A566,'Repricing Maturity Adj.'!$A$3:$C$170,3,0),(IF(K566&lt;$M$10,"Check",K566))))</f>
        <v>Non_sensitive</v>
      </c>
      <c r="O566" s="62" t="b">
        <f t="shared" si="174"/>
        <v>1</v>
      </c>
      <c r="P566" s="63" t="str">
        <f t="shared" si="175"/>
        <v>Liability</v>
      </c>
      <c r="Q566" s="25">
        <f t="shared" si="176"/>
        <v>0</v>
      </c>
      <c r="R566" s="25">
        <f t="shared" si="177"/>
        <v>0</v>
      </c>
      <c r="S566" s="25">
        <f t="shared" si="178"/>
        <v>0</v>
      </c>
      <c r="T566" s="25">
        <f t="shared" si="179"/>
        <v>0</v>
      </c>
      <c r="U566" s="25">
        <f t="shared" si="180"/>
        <v>0</v>
      </c>
      <c r="V566" s="25">
        <f t="shared" si="181"/>
        <v>0</v>
      </c>
      <c r="W566" s="25">
        <f t="shared" si="182"/>
        <v>0</v>
      </c>
      <c r="X566" s="64">
        <f t="shared" si="183"/>
        <v>0</v>
      </c>
      <c r="Y566" s="64">
        <f t="shared" si="184"/>
        <v>0</v>
      </c>
      <c r="Z566" s="64">
        <f t="shared" si="185"/>
        <v>0</v>
      </c>
      <c r="AA566" s="64">
        <f t="shared" si="186"/>
        <v>0</v>
      </c>
      <c r="AB566" s="64">
        <f t="shared" si="187"/>
        <v>0</v>
      </c>
      <c r="AC566" s="64">
        <f t="shared" si="188"/>
        <v>0</v>
      </c>
      <c r="AD566" s="64">
        <f t="shared" si="189"/>
        <v>0</v>
      </c>
      <c r="AE566" s="64">
        <f t="shared" si="190"/>
        <v>0</v>
      </c>
      <c r="AF566" s="64">
        <f t="shared" si="191"/>
        <v>0</v>
      </c>
      <c r="AG566" s="29">
        <f t="shared" si="192"/>
        <v>17.489999999999998</v>
      </c>
    </row>
    <row r="567" spans="1:33">
      <c r="A567" s="265">
        <v>23200001</v>
      </c>
      <c r="B567" s="265" t="s">
        <v>446</v>
      </c>
      <c r="C567" s="265" t="s">
        <v>473</v>
      </c>
      <c r="D567" s="265">
        <v>100000001</v>
      </c>
      <c r="E567" s="265" t="s">
        <v>51</v>
      </c>
      <c r="F567" s="265" t="s">
        <v>0</v>
      </c>
      <c r="G567" s="266">
        <v>30.44</v>
      </c>
      <c r="H567" s="266">
        <v>30.44</v>
      </c>
      <c r="I567" s="267"/>
      <c r="J567" s="267"/>
      <c r="K567" s="267"/>
      <c r="L567" s="224" t="str">
        <f t="shared" si="193"/>
        <v>23200001_AUD_100000001_NONGHYUP BANK SYDNEY BRANCH</v>
      </c>
      <c r="M567" s="221">
        <f t="shared" si="173"/>
        <v>30.44</v>
      </c>
      <c r="N567" s="24" t="str">
        <f>IF(OR(L567=$L$2,L567=$L$3),$M$10+1,IFERROR(VLOOKUP(A567,'Repricing Maturity Adj.'!$A$3:$C$170,3,0),(IF(K567&lt;$M$10,"Check",K567))))</f>
        <v>Non_sensitive</v>
      </c>
      <c r="O567" s="62" t="b">
        <f t="shared" si="174"/>
        <v>1</v>
      </c>
      <c r="P567" s="63" t="str">
        <f t="shared" si="175"/>
        <v>Liability</v>
      </c>
      <c r="Q567" s="25">
        <f t="shared" si="176"/>
        <v>0</v>
      </c>
      <c r="R567" s="25">
        <f t="shared" si="177"/>
        <v>0</v>
      </c>
      <c r="S567" s="25">
        <f t="shared" si="178"/>
        <v>0</v>
      </c>
      <c r="T567" s="25">
        <f t="shared" si="179"/>
        <v>0</v>
      </c>
      <c r="U567" s="25">
        <f t="shared" si="180"/>
        <v>0</v>
      </c>
      <c r="V567" s="25">
        <f t="shared" si="181"/>
        <v>0</v>
      </c>
      <c r="W567" s="25">
        <f t="shared" si="182"/>
        <v>0</v>
      </c>
      <c r="X567" s="64">
        <f t="shared" si="183"/>
        <v>0</v>
      </c>
      <c r="Y567" s="64">
        <f t="shared" si="184"/>
        <v>0</v>
      </c>
      <c r="Z567" s="64">
        <f t="shared" si="185"/>
        <v>0</v>
      </c>
      <c r="AA567" s="64">
        <f t="shared" si="186"/>
        <v>0</v>
      </c>
      <c r="AB567" s="64">
        <f t="shared" si="187"/>
        <v>0</v>
      </c>
      <c r="AC567" s="64">
        <f t="shared" si="188"/>
        <v>0</v>
      </c>
      <c r="AD567" s="64">
        <f t="shared" si="189"/>
        <v>0</v>
      </c>
      <c r="AE567" s="64">
        <f t="shared" si="190"/>
        <v>0</v>
      </c>
      <c r="AF567" s="64">
        <f t="shared" si="191"/>
        <v>0</v>
      </c>
      <c r="AG567" s="29">
        <f t="shared" si="192"/>
        <v>30.44</v>
      </c>
    </row>
    <row r="568" spans="1:33">
      <c r="A568" s="265">
        <v>23200001</v>
      </c>
      <c r="B568" s="265" t="s">
        <v>446</v>
      </c>
      <c r="C568" s="265" t="s">
        <v>474</v>
      </c>
      <c r="D568" s="265">
        <v>100000001</v>
      </c>
      <c r="E568" s="265" t="s">
        <v>51</v>
      </c>
      <c r="F568" s="265" t="s">
        <v>0</v>
      </c>
      <c r="G568" s="266">
        <v>2443.58</v>
      </c>
      <c r="H568" s="266">
        <v>2443.58</v>
      </c>
      <c r="I568" s="267"/>
      <c r="J568" s="267"/>
      <c r="K568" s="267"/>
      <c r="L568" s="224" t="str">
        <f t="shared" si="193"/>
        <v>23200001_AUD_100000001_NONGHYUP BANK SYDNEY BRANCH</v>
      </c>
      <c r="M568" s="221">
        <f t="shared" si="173"/>
        <v>2443.58</v>
      </c>
      <c r="N568" s="24" t="str">
        <f>IF(OR(L568=$L$2,L568=$L$3),$M$10+1,IFERROR(VLOOKUP(A568,'Repricing Maturity Adj.'!$A$3:$C$170,3,0),(IF(K568&lt;$M$10,"Check",K568))))</f>
        <v>Non_sensitive</v>
      </c>
      <c r="O568" s="62" t="b">
        <f t="shared" si="174"/>
        <v>1</v>
      </c>
      <c r="P568" s="63" t="str">
        <f t="shared" si="175"/>
        <v>Liability</v>
      </c>
      <c r="Q568" s="25">
        <f t="shared" si="176"/>
        <v>0</v>
      </c>
      <c r="R568" s="25">
        <f t="shared" si="177"/>
        <v>0</v>
      </c>
      <c r="S568" s="25">
        <f t="shared" si="178"/>
        <v>0</v>
      </c>
      <c r="T568" s="25">
        <f t="shared" si="179"/>
        <v>0</v>
      </c>
      <c r="U568" s="25">
        <f t="shared" si="180"/>
        <v>0</v>
      </c>
      <c r="V568" s="25">
        <f t="shared" si="181"/>
        <v>0</v>
      </c>
      <c r="W568" s="25">
        <f t="shared" si="182"/>
        <v>0</v>
      </c>
      <c r="X568" s="64">
        <f t="shared" si="183"/>
        <v>0</v>
      </c>
      <c r="Y568" s="64">
        <f t="shared" si="184"/>
        <v>0</v>
      </c>
      <c r="Z568" s="64">
        <f t="shared" si="185"/>
        <v>0</v>
      </c>
      <c r="AA568" s="64">
        <f t="shared" si="186"/>
        <v>0</v>
      </c>
      <c r="AB568" s="64">
        <f t="shared" si="187"/>
        <v>0</v>
      </c>
      <c r="AC568" s="64">
        <f t="shared" si="188"/>
        <v>0</v>
      </c>
      <c r="AD568" s="64">
        <f t="shared" si="189"/>
        <v>0</v>
      </c>
      <c r="AE568" s="64">
        <f t="shared" si="190"/>
        <v>0</v>
      </c>
      <c r="AF568" s="64">
        <f t="shared" si="191"/>
        <v>0</v>
      </c>
      <c r="AG568" s="29">
        <f t="shared" si="192"/>
        <v>2443.58</v>
      </c>
    </row>
    <row r="569" spans="1:33">
      <c r="A569" s="265">
        <v>23200001</v>
      </c>
      <c r="B569" s="265" t="s">
        <v>446</v>
      </c>
      <c r="C569" s="265" t="s">
        <v>475</v>
      </c>
      <c r="D569" s="265">
        <v>100000001</v>
      </c>
      <c r="E569" s="265" t="s">
        <v>51</v>
      </c>
      <c r="F569" s="265" t="s">
        <v>0</v>
      </c>
      <c r="G569" s="266">
        <v>137.72999999999999</v>
      </c>
      <c r="H569" s="266">
        <v>137.72999999999999</v>
      </c>
      <c r="I569" s="267"/>
      <c r="J569" s="267"/>
      <c r="K569" s="267"/>
      <c r="L569" s="224" t="str">
        <f t="shared" si="193"/>
        <v>23200001_AUD_100000001_NONGHYUP BANK SYDNEY BRANCH</v>
      </c>
      <c r="M569" s="221">
        <f t="shared" si="173"/>
        <v>137.72999999999999</v>
      </c>
      <c r="N569" s="24" t="str">
        <f>IF(OR(L569=$L$2,L569=$L$3),$M$10+1,IFERROR(VLOOKUP(A569,'Repricing Maturity Adj.'!$A$3:$C$170,3,0),(IF(K569&lt;$M$10,"Check",K569))))</f>
        <v>Non_sensitive</v>
      </c>
      <c r="O569" s="62" t="b">
        <f t="shared" si="174"/>
        <v>1</v>
      </c>
      <c r="P569" s="63" t="str">
        <f t="shared" si="175"/>
        <v>Liability</v>
      </c>
      <c r="Q569" s="25">
        <f t="shared" si="176"/>
        <v>0</v>
      </c>
      <c r="R569" s="25">
        <f t="shared" si="177"/>
        <v>0</v>
      </c>
      <c r="S569" s="25">
        <f t="shared" si="178"/>
        <v>0</v>
      </c>
      <c r="T569" s="25">
        <f t="shared" si="179"/>
        <v>0</v>
      </c>
      <c r="U569" s="25">
        <f t="shared" si="180"/>
        <v>0</v>
      </c>
      <c r="V569" s="25">
        <f t="shared" si="181"/>
        <v>0</v>
      </c>
      <c r="W569" s="25">
        <f t="shared" si="182"/>
        <v>0</v>
      </c>
      <c r="X569" s="64">
        <f t="shared" si="183"/>
        <v>0</v>
      </c>
      <c r="Y569" s="64">
        <f t="shared" si="184"/>
        <v>0</v>
      </c>
      <c r="Z569" s="64">
        <f t="shared" si="185"/>
        <v>0</v>
      </c>
      <c r="AA569" s="64">
        <f t="shared" si="186"/>
        <v>0</v>
      </c>
      <c r="AB569" s="64">
        <f t="shared" si="187"/>
        <v>0</v>
      </c>
      <c r="AC569" s="64">
        <f t="shared" si="188"/>
        <v>0</v>
      </c>
      <c r="AD569" s="64">
        <f t="shared" si="189"/>
        <v>0</v>
      </c>
      <c r="AE569" s="64">
        <f t="shared" si="190"/>
        <v>0</v>
      </c>
      <c r="AF569" s="64">
        <f t="shared" si="191"/>
        <v>0</v>
      </c>
      <c r="AG569" s="29">
        <f t="shared" si="192"/>
        <v>137.72999999999999</v>
      </c>
    </row>
    <row r="570" spans="1:33">
      <c r="A570" s="265">
        <v>23200001</v>
      </c>
      <c r="B570" s="265" t="s">
        <v>446</v>
      </c>
      <c r="C570" s="265" t="s">
        <v>476</v>
      </c>
      <c r="D570" s="265">
        <v>100000001</v>
      </c>
      <c r="E570" s="265" t="s">
        <v>51</v>
      </c>
      <c r="F570" s="265" t="s">
        <v>0</v>
      </c>
      <c r="G570" s="266">
        <v>36.24</v>
      </c>
      <c r="H570" s="266">
        <v>36.24</v>
      </c>
      <c r="I570" s="267"/>
      <c r="J570" s="267"/>
      <c r="K570" s="267"/>
      <c r="L570" s="224" t="str">
        <f t="shared" si="193"/>
        <v>23200001_AUD_100000001_NONGHYUP BANK SYDNEY BRANCH</v>
      </c>
      <c r="M570" s="221">
        <f t="shared" si="173"/>
        <v>36.24</v>
      </c>
      <c r="N570" s="24" t="str">
        <f>IF(OR(L570=$L$2,L570=$L$3),$M$10+1,IFERROR(VLOOKUP(A570,'Repricing Maturity Adj.'!$A$3:$C$170,3,0),(IF(K570&lt;$M$10,"Check",K570))))</f>
        <v>Non_sensitive</v>
      </c>
      <c r="O570" s="62" t="b">
        <f t="shared" si="174"/>
        <v>1</v>
      </c>
      <c r="P570" s="63" t="str">
        <f t="shared" si="175"/>
        <v>Liability</v>
      </c>
      <c r="Q570" s="25">
        <f t="shared" si="176"/>
        <v>0</v>
      </c>
      <c r="R570" s="25">
        <f t="shared" si="177"/>
        <v>0</v>
      </c>
      <c r="S570" s="25">
        <f t="shared" si="178"/>
        <v>0</v>
      </c>
      <c r="T570" s="25">
        <f t="shared" si="179"/>
        <v>0</v>
      </c>
      <c r="U570" s="25">
        <f t="shared" si="180"/>
        <v>0</v>
      </c>
      <c r="V570" s="25">
        <f t="shared" si="181"/>
        <v>0</v>
      </c>
      <c r="W570" s="25">
        <f t="shared" si="182"/>
        <v>0</v>
      </c>
      <c r="X570" s="64">
        <f t="shared" si="183"/>
        <v>0</v>
      </c>
      <c r="Y570" s="64">
        <f t="shared" si="184"/>
        <v>0</v>
      </c>
      <c r="Z570" s="64">
        <f t="shared" si="185"/>
        <v>0</v>
      </c>
      <c r="AA570" s="64">
        <f t="shared" si="186"/>
        <v>0</v>
      </c>
      <c r="AB570" s="64">
        <f t="shared" si="187"/>
        <v>0</v>
      </c>
      <c r="AC570" s="64">
        <f t="shared" si="188"/>
        <v>0</v>
      </c>
      <c r="AD570" s="64">
        <f t="shared" si="189"/>
        <v>0</v>
      </c>
      <c r="AE570" s="64">
        <f t="shared" si="190"/>
        <v>0</v>
      </c>
      <c r="AF570" s="64">
        <f t="shared" si="191"/>
        <v>0</v>
      </c>
      <c r="AG570" s="29">
        <f t="shared" si="192"/>
        <v>36.24</v>
      </c>
    </row>
    <row r="571" spans="1:33">
      <c r="A571" s="265">
        <v>23200001</v>
      </c>
      <c r="B571" s="265" t="s">
        <v>446</v>
      </c>
      <c r="C571" s="265" t="s">
        <v>477</v>
      </c>
      <c r="D571" s="265">
        <v>100000001</v>
      </c>
      <c r="E571" s="265" t="s">
        <v>51</v>
      </c>
      <c r="F571" s="265" t="s">
        <v>0</v>
      </c>
      <c r="G571" s="266">
        <v>34.57</v>
      </c>
      <c r="H571" s="266">
        <v>34.57</v>
      </c>
      <c r="I571" s="267"/>
      <c r="J571" s="267"/>
      <c r="K571" s="267"/>
      <c r="L571" s="224" t="str">
        <f t="shared" si="193"/>
        <v>23200001_AUD_100000001_NONGHYUP BANK SYDNEY BRANCH</v>
      </c>
      <c r="M571" s="221">
        <f t="shared" si="173"/>
        <v>34.57</v>
      </c>
      <c r="N571" s="24" t="str">
        <f>IF(OR(L571=$L$2,L571=$L$3),$M$10+1,IFERROR(VLOOKUP(A571,'Repricing Maturity Adj.'!$A$3:$C$170,3,0),(IF(K571&lt;$M$10,"Check",K571))))</f>
        <v>Non_sensitive</v>
      </c>
      <c r="O571" s="62" t="b">
        <f t="shared" si="174"/>
        <v>1</v>
      </c>
      <c r="P571" s="63" t="str">
        <f t="shared" si="175"/>
        <v>Liability</v>
      </c>
      <c r="Q571" s="25">
        <f t="shared" si="176"/>
        <v>0</v>
      </c>
      <c r="R571" s="25">
        <f>IF(AND(N571&gt;$R$9,N571&lt;$R$10),M571,IF(N571=$R$10,M571,0))</f>
        <v>0</v>
      </c>
      <c r="S571" s="25">
        <f t="shared" si="178"/>
        <v>0</v>
      </c>
      <c r="T571" s="25">
        <f t="shared" si="179"/>
        <v>0</v>
      </c>
      <c r="U571" s="25">
        <f t="shared" si="180"/>
        <v>0</v>
      </c>
      <c r="V571" s="25">
        <f t="shared" si="181"/>
        <v>0</v>
      </c>
      <c r="W571" s="25">
        <f t="shared" si="182"/>
        <v>0</v>
      </c>
      <c r="X571" s="64">
        <f t="shared" si="183"/>
        <v>0</v>
      </c>
      <c r="Y571" s="64">
        <f t="shared" si="184"/>
        <v>0</v>
      </c>
      <c r="Z571" s="64">
        <f t="shared" si="185"/>
        <v>0</v>
      </c>
      <c r="AA571" s="64">
        <f t="shared" si="186"/>
        <v>0</v>
      </c>
      <c r="AB571" s="64">
        <f t="shared" si="187"/>
        <v>0</v>
      </c>
      <c r="AC571" s="64">
        <f t="shared" si="188"/>
        <v>0</v>
      </c>
      <c r="AD571" s="64">
        <f t="shared" si="189"/>
        <v>0</v>
      </c>
      <c r="AE571" s="64">
        <f t="shared" si="190"/>
        <v>0</v>
      </c>
      <c r="AF571" s="64">
        <f t="shared" si="191"/>
        <v>0</v>
      </c>
      <c r="AG571" s="29">
        <f t="shared" si="192"/>
        <v>34.57</v>
      </c>
    </row>
    <row r="572" spans="1:33">
      <c r="A572" s="265">
        <v>23200001</v>
      </c>
      <c r="B572" s="265" t="s">
        <v>446</v>
      </c>
      <c r="C572" s="265" t="s">
        <v>478</v>
      </c>
      <c r="D572" s="265">
        <v>100000001</v>
      </c>
      <c r="E572" s="265" t="s">
        <v>51</v>
      </c>
      <c r="F572" s="265" t="s">
        <v>0</v>
      </c>
      <c r="G572" s="266">
        <v>11.29</v>
      </c>
      <c r="H572" s="266">
        <v>11.29</v>
      </c>
      <c r="I572" s="267"/>
      <c r="J572" s="267"/>
      <c r="K572" s="267"/>
      <c r="L572" s="224" t="str">
        <f t="shared" si="193"/>
        <v>23200001_AUD_100000001_NONGHYUP BANK SYDNEY BRANCH</v>
      </c>
      <c r="M572" s="221">
        <f t="shared" si="173"/>
        <v>11.29</v>
      </c>
      <c r="N572" s="24" t="str">
        <f>IF(OR(L572=$L$2,L572=$L$3),$M$10+1,IFERROR(VLOOKUP(A572,'Repricing Maturity Adj.'!$A$3:$C$170,3,0),(IF(K572&lt;$M$10,"Check",K572))))</f>
        <v>Non_sensitive</v>
      </c>
      <c r="O572" s="62" t="b">
        <f t="shared" si="174"/>
        <v>1</v>
      </c>
      <c r="P572" s="63" t="str">
        <f t="shared" si="175"/>
        <v>Liability</v>
      </c>
      <c r="Q572" s="25">
        <f t="shared" si="176"/>
        <v>0</v>
      </c>
      <c r="R572" s="25">
        <f t="shared" si="177"/>
        <v>0</v>
      </c>
      <c r="S572" s="25">
        <f t="shared" si="178"/>
        <v>0</v>
      </c>
      <c r="T572" s="25">
        <f t="shared" si="179"/>
        <v>0</v>
      </c>
      <c r="U572" s="25">
        <f t="shared" si="180"/>
        <v>0</v>
      </c>
      <c r="V572" s="25">
        <f t="shared" si="181"/>
        <v>0</v>
      </c>
      <c r="W572" s="25">
        <f t="shared" si="182"/>
        <v>0</v>
      </c>
      <c r="X572" s="64">
        <f t="shared" si="183"/>
        <v>0</v>
      </c>
      <c r="Y572" s="64">
        <f t="shared" si="184"/>
        <v>0</v>
      </c>
      <c r="Z572" s="64">
        <f t="shared" si="185"/>
        <v>0</v>
      </c>
      <c r="AA572" s="64">
        <f t="shared" si="186"/>
        <v>0</v>
      </c>
      <c r="AB572" s="64">
        <f t="shared" si="187"/>
        <v>0</v>
      </c>
      <c r="AC572" s="64">
        <f t="shared" si="188"/>
        <v>0</v>
      </c>
      <c r="AD572" s="64">
        <f t="shared" si="189"/>
        <v>0</v>
      </c>
      <c r="AE572" s="64">
        <f t="shared" si="190"/>
        <v>0</v>
      </c>
      <c r="AF572" s="64">
        <f t="shared" si="191"/>
        <v>0</v>
      </c>
      <c r="AG572" s="29">
        <f t="shared" si="192"/>
        <v>11.29</v>
      </c>
    </row>
    <row r="573" spans="1:33">
      <c r="A573" s="265">
        <v>23200001</v>
      </c>
      <c r="B573" s="265" t="s">
        <v>446</v>
      </c>
      <c r="C573" s="265" t="s">
        <v>479</v>
      </c>
      <c r="D573" s="265">
        <v>100000001</v>
      </c>
      <c r="E573" s="265" t="s">
        <v>51</v>
      </c>
      <c r="F573" s="265" t="s">
        <v>0</v>
      </c>
      <c r="G573" s="266">
        <v>23.59</v>
      </c>
      <c r="H573" s="266">
        <v>23.59</v>
      </c>
      <c r="I573" s="267"/>
      <c r="J573" s="267"/>
      <c r="K573" s="267"/>
      <c r="L573" s="224" t="str">
        <f t="shared" ref="L573:L604" si="194">A573&amp;"_"&amp;F573&amp;"_"&amp;D573&amp;"_"&amp;E573</f>
        <v>23200001_AUD_100000001_NONGHYUP BANK SYDNEY BRANCH</v>
      </c>
      <c r="M573" s="221">
        <f t="shared" ref="M573:M604" si="195">IF(COUNTIF($A$2:$A$8,A573)&gt;0,-H573,H573)</f>
        <v>23.59</v>
      </c>
      <c r="N573" s="24" t="str">
        <f>IF(OR(L573=$L$2,L573=$L$3),$M$10+1,IFERROR(VLOOKUP(A573,'Repricing Maturity Adj.'!$A$3:$C$170,3,0),(IF(K573&lt;$M$10,"Check",K573))))</f>
        <v>Non_sensitive</v>
      </c>
      <c r="O573" s="62" t="b">
        <f t="shared" ref="O573:O604" si="196">M573=SUM(Q573:AG573)</f>
        <v>1</v>
      </c>
      <c r="P573" s="63" t="str">
        <f t="shared" ref="P573:P604" si="197">IF(A573="","N/A",IF(COUNTIF($A$2:$A$7,A573)&gt;0,"Liability",IF(COUNTIF($A$8,A573)&gt;0,"Asset",IF(A573&lt;20000000,"Asset",IF(AND(A573&gt;20000000,A573&lt;28800000),"Liability",IF(A573&gt;28800000,"Equity",""))))))</f>
        <v>Liability</v>
      </c>
      <c r="Q573" s="25">
        <f t="shared" ref="Q573:Q604" si="198">IF(AND(N573&gt;$Q$9,N573&lt;$Q$10),M573,IF(N573=$Q$10,M573,0))</f>
        <v>0</v>
      </c>
      <c r="R573" s="25">
        <f t="shared" ref="R573:R604" si="199">IF(AND(N573&gt;$R$9,N573&lt;$R$10),M573,IF(N573=$R$10,M573,0))</f>
        <v>0</v>
      </c>
      <c r="S573" s="25">
        <f t="shared" ref="S573:S604" si="200">IF(AND(N573&gt;$S$9,N573&lt;$S$10),M573,IF(N573=$S$10,M573,0))</f>
        <v>0</v>
      </c>
      <c r="T573" s="25">
        <f t="shared" ref="T573:T604" si="201">IF(AND(N573&gt;$T$9,N573&lt;$T$10),M573,IF(N573=$T$10,M573,0))</f>
        <v>0</v>
      </c>
      <c r="U573" s="25">
        <f t="shared" ref="U573:U604" si="202">IF(AND(N573&gt;$U$9,N573&lt;$U$10),M573,IF(N573=$U$10,M573,0))</f>
        <v>0</v>
      </c>
      <c r="V573" s="25">
        <f t="shared" ref="V573:V604" si="203">IF(AND(N573&gt;$V$9,N573&lt;$V$10),M573,IF(N573=$V$10,M573,0))</f>
        <v>0</v>
      </c>
      <c r="W573" s="25">
        <f t="shared" ref="W573:W604" si="204">IF(AND(N573&gt;$W$9,N573&lt;$W$10),M573,IF(N573=$W$10,M573,0))</f>
        <v>0</v>
      </c>
      <c r="X573" s="64">
        <f t="shared" ref="X573:X604" si="205">IF(AND(N573&gt;$X$9,N573&lt;$X$10),M573,IF(N573=$X$10,M573,0))</f>
        <v>0</v>
      </c>
      <c r="Y573" s="64">
        <f t="shared" ref="Y573:Y604" si="206">IF(AND(N573&gt;$Y$9,N573&lt;$Y$10),M573,IF(N573=$Y$10,M573,0))</f>
        <v>0</v>
      </c>
      <c r="Z573" s="64">
        <f t="shared" ref="Z573:Z604" si="207">IF(AND(N573&gt;$Z$9,N573&lt;$Z$10),M573,IF(N573=$Z$10,M573,0))</f>
        <v>0</v>
      </c>
      <c r="AA573" s="64">
        <f t="shared" ref="AA573:AA604" si="208">IF(AND(N573&gt;$AA$9,N573&lt;$AA$10),M573,IF(N573=$AA$10,M573,0))</f>
        <v>0</v>
      </c>
      <c r="AB573" s="64">
        <f t="shared" ref="AB573:AB604" si="209">IF(AND(N573&gt;$AB$9,N573&lt;$AB$10),M573,IF(N573=$AB$10,M573,0))</f>
        <v>0</v>
      </c>
      <c r="AC573" s="64">
        <f t="shared" ref="AC573:AC604" si="210">IF(AND(N573&gt;$AC$9,N573&lt;$AC$10),M573,IF(N573=$AC$10,M573,0))</f>
        <v>0</v>
      </c>
      <c r="AD573" s="64">
        <f t="shared" ref="AD573:AD604" si="211">IF(AND(N573&gt;$AD$9,N573&lt;$AD$10),M573,IF(N573=$AD$10,M573,0))</f>
        <v>0</v>
      </c>
      <c r="AE573" s="64">
        <f t="shared" ref="AE573:AE604" si="212">IF(AND(N573&gt;$AE$9,N573&lt;$AE$10),M573,IF(N573=$AE$10,M573,0))</f>
        <v>0</v>
      </c>
      <c r="AF573" s="64">
        <f t="shared" ref="AF573:AF604" si="213">IF(AND(N573&gt;$AF$9,N573&lt;$AF$10),M573,IF(N573=$AF$10,M573,0))</f>
        <v>0</v>
      </c>
      <c r="AG573" s="29">
        <f t="shared" ref="AG573:AG604" si="214">IF(N573=$AG$9,M573,0)</f>
        <v>23.59</v>
      </c>
    </row>
    <row r="574" spans="1:33">
      <c r="A574" s="265">
        <v>23200001</v>
      </c>
      <c r="B574" s="265" t="s">
        <v>446</v>
      </c>
      <c r="C574" s="265" t="s">
        <v>480</v>
      </c>
      <c r="D574" s="265">
        <v>100000001</v>
      </c>
      <c r="E574" s="265" t="s">
        <v>51</v>
      </c>
      <c r="F574" s="265" t="s">
        <v>0</v>
      </c>
      <c r="G574" s="266">
        <v>5698.02</v>
      </c>
      <c r="H574" s="266">
        <v>5698.02</v>
      </c>
      <c r="I574" s="267"/>
      <c r="J574" s="267"/>
      <c r="K574" s="267"/>
      <c r="L574" s="224" t="str">
        <f t="shared" si="194"/>
        <v>23200001_AUD_100000001_NONGHYUP BANK SYDNEY BRANCH</v>
      </c>
      <c r="M574" s="221">
        <f t="shared" si="195"/>
        <v>5698.02</v>
      </c>
      <c r="N574" s="24" t="str">
        <f>IF(OR(L574=$L$2,L574=$L$3),$M$10+1,IFERROR(VLOOKUP(A574,'Repricing Maturity Adj.'!$A$3:$C$170,3,0),(IF(K574&lt;$M$10,"Check",K574))))</f>
        <v>Non_sensitive</v>
      </c>
      <c r="O574" s="62" t="b">
        <f t="shared" si="196"/>
        <v>1</v>
      </c>
      <c r="P574" s="63" t="str">
        <f t="shared" si="197"/>
        <v>Liability</v>
      </c>
      <c r="Q574" s="25">
        <f t="shared" si="198"/>
        <v>0</v>
      </c>
      <c r="R574" s="25">
        <f t="shared" si="199"/>
        <v>0</v>
      </c>
      <c r="S574" s="25">
        <f t="shared" si="200"/>
        <v>0</v>
      </c>
      <c r="T574" s="25">
        <f t="shared" si="201"/>
        <v>0</v>
      </c>
      <c r="U574" s="25">
        <f t="shared" si="202"/>
        <v>0</v>
      </c>
      <c r="V574" s="25">
        <f t="shared" si="203"/>
        <v>0</v>
      </c>
      <c r="W574" s="25">
        <f t="shared" si="204"/>
        <v>0</v>
      </c>
      <c r="X574" s="64">
        <f t="shared" si="205"/>
        <v>0</v>
      </c>
      <c r="Y574" s="64">
        <f t="shared" si="206"/>
        <v>0</v>
      </c>
      <c r="Z574" s="64">
        <f t="shared" si="207"/>
        <v>0</v>
      </c>
      <c r="AA574" s="64">
        <f t="shared" si="208"/>
        <v>0</v>
      </c>
      <c r="AB574" s="64">
        <f t="shared" si="209"/>
        <v>0</v>
      </c>
      <c r="AC574" s="64">
        <f t="shared" si="210"/>
        <v>0</v>
      </c>
      <c r="AD574" s="64">
        <f t="shared" si="211"/>
        <v>0</v>
      </c>
      <c r="AE574" s="64">
        <f t="shared" si="212"/>
        <v>0</v>
      </c>
      <c r="AF574" s="64">
        <f t="shared" si="213"/>
        <v>0</v>
      </c>
      <c r="AG574" s="29">
        <f t="shared" si="214"/>
        <v>5698.02</v>
      </c>
    </row>
    <row r="575" spans="1:33">
      <c r="A575" s="265">
        <v>23200001</v>
      </c>
      <c r="B575" s="265" t="s">
        <v>446</v>
      </c>
      <c r="C575" s="265" t="s">
        <v>481</v>
      </c>
      <c r="D575" s="265">
        <v>100000001</v>
      </c>
      <c r="E575" s="265" t="s">
        <v>51</v>
      </c>
      <c r="F575" s="265" t="s">
        <v>0</v>
      </c>
      <c r="G575" s="266">
        <v>5.84</v>
      </c>
      <c r="H575" s="266">
        <v>5.84</v>
      </c>
      <c r="I575" s="267"/>
      <c r="J575" s="267"/>
      <c r="K575" s="267"/>
      <c r="L575" s="224" t="str">
        <f t="shared" si="194"/>
        <v>23200001_AUD_100000001_NONGHYUP BANK SYDNEY BRANCH</v>
      </c>
      <c r="M575" s="221">
        <f t="shared" si="195"/>
        <v>5.84</v>
      </c>
      <c r="N575" s="24" t="str">
        <f>IF(OR(L575=$L$2,L575=$L$3),$M$10+1,IFERROR(VLOOKUP(A575,'Repricing Maturity Adj.'!$A$3:$C$170,3,0),(IF(K575&lt;$M$10,"Check",K575))))</f>
        <v>Non_sensitive</v>
      </c>
      <c r="O575" s="62" t="b">
        <f t="shared" si="196"/>
        <v>1</v>
      </c>
      <c r="P575" s="63" t="str">
        <f t="shared" si="197"/>
        <v>Liability</v>
      </c>
      <c r="Q575" s="25">
        <f t="shared" si="198"/>
        <v>0</v>
      </c>
      <c r="R575" s="25">
        <f t="shared" si="199"/>
        <v>0</v>
      </c>
      <c r="S575" s="25">
        <f t="shared" si="200"/>
        <v>0</v>
      </c>
      <c r="T575" s="25">
        <f t="shared" si="201"/>
        <v>0</v>
      </c>
      <c r="U575" s="25">
        <f t="shared" si="202"/>
        <v>0</v>
      </c>
      <c r="V575" s="25">
        <f t="shared" si="203"/>
        <v>0</v>
      </c>
      <c r="W575" s="25">
        <f t="shared" si="204"/>
        <v>0</v>
      </c>
      <c r="X575" s="64">
        <f t="shared" si="205"/>
        <v>0</v>
      </c>
      <c r="Y575" s="64">
        <f t="shared" si="206"/>
        <v>0</v>
      </c>
      <c r="Z575" s="64">
        <f t="shared" si="207"/>
        <v>0</v>
      </c>
      <c r="AA575" s="64">
        <f t="shared" si="208"/>
        <v>0</v>
      </c>
      <c r="AB575" s="64">
        <f t="shared" si="209"/>
        <v>0</v>
      </c>
      <c r="AC575" s="64">
        <f t="shared" si="210"/>
        <v>0</v>
      </c>
      <c r="AD575" s="64">
        <f t="shared" si="211"/>
        <v>0</v>
      </c>
      <c r="AE575" s="64">
        <f t="shared" si="212"/>
        <v>0</v>
      </c>
      <c r="AF575" s="64">
        <f t="shared" si="213"/>
        <v>0</v>
      </c>
      <c r="AG575" s="29">
        <f t="shared" si="214"/>
        <v>5.84</v>
      </c>
    </row>
    <row r="576" spans="1:33">
      <c r="A576" s="265">
        <v>23200001</v>
      </c>
      <c r="B576" s="265" t="s">
        <v>446</v>
      </c>
      <c r="C576" s="265" t="s">
        <v>482</v>
      </c>
      <c r="D576" s="265">
        <v>100000001</v>
      </c>
      <c r="E576" s="265" t="s">
        <v>51</v>
      </c>
      <c r="F576" s="265" t="s">
        <v>0</v>
      </c>
      <c r="G576" s="266">
        <v>18.29</v>
      </c>
      <c r="H576" s="266">
        <v>18.29</v>
      </c>
      <c r="I576" s="267"/>
      <c r="J576" s="267"/>
      <c r="K576" s="267"/>
      <c r="L576" s="224" t="str">
        <f t="shared" si="194"/>
        <v>23200001_AUD_100000001_NONGHYUP BANK SYDNEY BRANCH</v>
      </c>
      <c r="M576" s="221">
        <f t="shared" si="195"/>
        <v>18.29</v>
      </c>
      <c r="N576" s="24" t="str">
        <f>IF(OR(L576=$L$2,L576=$L$3),$M$10+1,IFERROR(VLOOKUP(A576,'Repricing Maturity Adj.'!$A$3:$C$170,3,0),(IF(K576&lt;$M$10,"Check",K576))))</f>
        <v>Non_sensitive</v>
      </c>
      <c r="O576" s="62" t="b">
        <f t="shared" si="196"/>
        <v>1</v>
      </c>
      <c r="P576" s="63" t="str">
        <f t="shared" si="197"/>
        <v>Liability</v>
      </c>
      <c r="Q576" s="25">
        <f t="shared" si="198"/>
        <v>0</v>
      </c>
      <c r="R576" s="25">
        <f t="shared" si="199"/>
        <v>0</v>
      </c>
      <c r="S576" s="25">
        <f t="shared" si="200"/>
        <v>0</v>
      </c>
      <c r="T576" s="25">
        <f t="shared" si="201"/>
        <v>0</v>
      </c>
      <c r="U576" s="25">
        <f t="shared" si="202"/>
        <v>0</v>
      </c>
      <c r="V576" s="25">
        <f t="shared" si="203"/>
        <v>0</v>
      </c>
      <c r="W576" s="25">
        <f t="shared" si="204"/>
        <v>0</v>
      </c>
      <c r="X576" s="64">
        <f t="shared" si="205"/>
        <v>0</v>
      </c>
      <c r="Y576" s="64">
        <f t="shared" si="206"/>
        <v>0</v>
      </c>
      <c r="Z576" s="64">
        <f t="shared" si="207"/>
        <v>0</v>
      </c>
      <c r="AA576" s="64">
        <f t="shared" si="208"/>
        <v>0</v>
      </c>
      <c r="AB576" s="64">
        <f t="shared" si="209"/>
        <v>0</v>
      </c>
      <c r="AC576" s="64">
        <f t="shared" si="210"/>
        <v>0</v>
      </c>
      <c r="AD576" s="64">
        <f t="shared" si="211"/>
        <v>0</v>
      </c>
      <c r="AE576" s="64">
        <f t="shared" si="212"/>
        <v>0</v>
      </c>
      <c r="AF576" s="64">
        <f t="shared" si="213"/>
        <v>0</v>
      </c>
      <c r="AG576" s="29">
        <f t="shared" si="214"/>
        <v>18.29</v>
      </c>
    </row>
    <row r="577" spans="1:33">
      <c r="A577" s="265">
        <v>23200001</v>
      </c>
      <c r="B577" s="265" t="s">
        <v>446</v>
      </c>
      <c r="C577" s="265" t="s">
        <v>483</v>
      </c>
      <c r="D577" s="265">
        <v>100000001</v>
      </c>
      <c r="E577" s="265" t="s">
        <v>51</v>
      </c>
      <c r="F577" s="265" t="s">
        <v>0</v>
      </c>
      <c r="G577" s="266">
        <v>78.37</v>
      </c>
      <c r="H577" s="266">
        <v>78.37</v>
      </c>
      <c r="I577" s="267"/>
      <c r="J577" s="267"/>
      <c r="K577" s="267"/>
      <c r="L577" s="224" t="str">
        <f t="shared" si="194"/>
        <v>23200001_AUD_100000001_NONGHYUP BANK SYDNEY BRANCH</v>
      </c>
      <c r="M577" s="221">
        <f t="shared" si="195"/>
        <v>78.37</v>
      </c>
      <c r="N577" s="24" t="str">
        <f>IF(OR(L577=$L$2,L577=$L$3),$M$10+1,IFERROR(VLOOKUP(A577,'Repricing Maturity Adj.'!$A$3:$C$170,3,0),(IF(K577&lt;$M$10,"Check",K577))))</f>
        <v>Non_sensitive</v>
      </c>
      <c r="O577" s="62" t="b">
        <f t="shared" si="196"/>
        <v>1</v>
      </c>
      <c r="P577" s="63" t="str">
        <f t="shared" si="197"/>
        <v>Liability</v>
      </c>
      <c r="Q577" s="25">
        <f t="shared" si="198"/>
        <v>0</v>
      </c>
      <c r="R577" s="25">
        <f t="shared" si="199"/>
        <v>0</v>
      </c>
      <c r="S577" s="25">
        <f t="shared" si="200"/>
        <v>0</v>
      </c>
      <c r="T577" s="25">
        <f t="shared" si="201"/>
        <v>0</v>
      </c>
      <c r="U577" s="25">
        <f t="shared" si="202"/>
        <v>0</v>
      </c>
      <c r="V577" s="25">
        <f t="shared" si="203"/>
        <v>0</v>
      </c>
      <c r="W577" s="25">
        <f t="shared" si="204"/>
        <v>0</v>
      </c>
      <c r="X577" s="64">
        <f t="shared" si="205"/>
        <v>0</v>
      </c>
      <c r="Y577" s="64">
        <f t="shared" si="206"/>
        <v>0</v>
      </c>
      <c r="Z577" s="64">
        <f t="shared" si="207"/>
        <v>0</v>
      </c>
      <c r="AA577" s="64">
        <f t="shared" si="208"/>
        <v>0</v>
      </c>
      <c r="AB577" s="64">
        <f t="shared" si="209"/>
        <v>0</v>
      </c>
      <c r="AC577" s="64">
        <f t="shared" si="210"/>
        <v>0</v>
      </c>
      <c r="AD577" s="64">
        <f t="shared" si="211"/>
        <v>0</v>
      </c>
      <c r="AE577" s="64">
        <f t="shared" si="212"/>
        <v>0</v>
      </c>
      <c r="AF577" s="64">
        <f t="shared" si="213"/>
        <v>0</v>
      </c>
      <c r="AG577" s="29">
        <f t="shared" si="214"/>
        <v>78.37</v>
      </c>
    </row>
    <row r="578" spans="1:33">
      <c r="A578" s="265">
        <v>23200001</v>
      </c>
      <c r="B578" s="265" t="s">
        <v>446</v>
      </c>
      <c r="C578" s="265" t="s">
        <v>484</v>
      </c>
      <c r="D578" s="265">
        <v>100000001</v>
      </c>
      <c r="E578" s="265" t="s">
        <v>51</v>
      </c>
      <c r="F578" s="265" t="s">
        <v>0</v>
      </c>
      <c r="G578" s="266">
        <v>44.44</v>
      </c>
      <c r="H578" s="266">
        <v>44.44</v>
      </c>
      <c r="I578" s="267"/>
      <c r="J578" s="267"/>
      <c r="K578" s="267"/>
      <c r="L578" s="224" t="str">
        <f t="shared" si="194"/>
        <v>23200001_AUD_100000001_NONGHYUP BANK SYDNEY BRANCH</v>
      </c>
      <c r="M578" s="221">
        <f t="shared" si="195"/>
        <v>44.44</v>
      </c>
      <c r="N578" s="24" t="str">
        <f>IF(OR(L578=$L$2,L578=$L$3),$M$10+1,IFERROR(VLOOKUP(A578,'Repricing Maturity Adj.'!$A$3:$C$170,3,0),(IF(K578&lt;$M$10,"Check",K578))))</f>
        <v>Non_sensitive</v>
      </c>
      <c r="O578" s="62" t="b">
        <f t="shared" si="196"/>
        <v>1</v>
      </c>
      <c r="P578" s="63" t="str">
        <f t="shared" si="197"/>
        <v>Liability</v>
      </c>
      <c r="Q578" s="25">
        <f t="shared" si="198"/>
        <v>0</v>
      </c>
      <c r="R578" s="25">
        <f t="shared" si="199"/>
        <v>0</v>
      </c>
      <c r="S578" s="25">
        <f t="shared" si="200"/>
        <v>0</v>
      </c>
      <c r="T578" s="25">
        <f t="shared" si="201"/>
        <v>0</v>
      </c>
      <c r="U578" s="25">
        <f t="shared" si="202"/>
        <v>0</v>
      </c>
      <c r="V578" s="25">
        <f t="shared" si="203"/>
        <v>0</v>
      </c>
      <c r="W578" s="25">
        <f t="shared" si="204"/>
        <v>0</v>
      </c>
      <c r="X578" s="64">
        <f t="shared" si="205"/>
        <v>0</v>
      </c>
      <c r="Y578" s="64">
        <f t="shared" si="206"/>
        <v>0</v>
      </c>
      <c r="Z578" s="64">
        <f t="shared" si="207"/>
        <v>0</v>
      </c>
      <c r="AA578" s="64">
        <f t="shared" si="208"/>
        <v>0</v>
      </c>
      <c r="AB578" s="64">
        <f t="shared" si="209"/>
        <v>0</v>
      </c>
      <c r="AC578" s="64">
        <f t="shared" si="210"/>
        <v>0</v>
      </c>
      <c r="AD578" s="64">
        <f t="shared" si="211"/>
        <v>0</v>
      </c>
      <c r="AE578" s="64">
        <f t="shared" si="212"/>
        <v>0</v>
      </c>
      <c r="AF578" s="64">
        <f t="shared" si="213"/>
        <v>0</v>
      </c>
      <c r="AG578" s="29">
        <f t="shared" si="214"/>
        <v>44.44</v>
      </c>
    </row>
    <row r="579" spans="1:33">
      <c r="A579" s="265">
        <v>23200001</v>
      </c>
      <c r="B579" s="265" t="s">
        <v>446</v>
      </c>
      <c r="C579" s="265" t="s">
        <v>485</v>
      </c>
      <c r="D579" s="265">
        <v>100000001</v>
      </c>
      <c r="E579" s="265" t="s">
        <v>51</v>
      </c>
      <c r="F579" s="265" t="s">
        <v>0</v>
      </c>
      <c r="G579" s="266">
        <v>131.41999999999999</v>
      </c>
      <c r="H579" s="266">
        <v>131.41999999999999</v>
      </c>
      <c r="I579" s="267"/>
      <c r="J579" s="267"/>
      <c r="K579" s="267"/>
      <c r="L579" s="224" t="str">
        <f t="shared" si="194"/>
        <v>23200001_AUD_100000001_NONGHYUP BANK SYDNEY BRANCH</v>
      </c>
      <c r="M579" s="221">
        <f t="shared" si="195"/>
        <v>131.41999999999999</v>
      </c>
      <c r="N579" s="24" t="str">
        <f>IF(OR(L579=$L$2,L579=$L$3),$M$10+1,IFERROR(VLOOKUP(A579,'Repricing Maturity Adj.'!$A$3:$C$170,3,0),(IF(K579&lt;$M$10,"Check",K579))))</f>
        <v>Non_sensitive</v>
      </c>
      <c r="O579" s="62" t="b">
        <f t="shared" si="196"/>
        <v>1</v>
      </c>
      <c r="P579" s="63" t="str">
        <f t="shared" si="197"/>
        <v>Liability</v>
      </c>
      <c r="Q579" s="25">
        <f t="shared" si="198"/>
        <v>0</v>
      </c>
      <c r="R579" s="25">
        <f t="shared" si="199"/>
        <v>0</v>
      </c>
      <c r="S579" s="25">
        <f t="shared" si="200"/>
        <v>0</v>
      </c>
      <c r="T579" s="25">
        <f t="shared" si="201"/>
        <v>0</v>
      </c>
      <c r="U579" s="25">
        <f t="shared" si="202"/>
        <v>0</v>
      </c>
      <c r="V579" s="25">
        <f t="shared" si="203"/>
        <v>0</v>
      </c>
      <c r="W579" s="25">
        <f t="shared" si="204"/>
        <v>0</v>
      </c>
      <c r="X579" s="64">
        <f t="shared" si="205"/>
        <v>0</v>
      </c>
      <c r="Y579" s="64">
        <f t="shared" si="206"/>
        <v>0</v>
      </c>
      <c r="Z579" s="64">
        <f t="shared" si="207"/>
        <v>0</v>
      </c>
      <c r="AA579" s="64">
        <f t="shared" si="208"/>
        <v>0</v>
      </c>
      <c r="AB579" s="64">
        <f t="shared" si="209"/>
        <v>0</v>
      </c>
      <c r="AC579" s="64">
        <f t="shared" si="210"/>
        <v>0</v>
      </c>
      <c r="AD579" s="64">
        <f t="shared" si="211"/>
        <v>0</v>
      </c>
      <c r="AE579" s="64">
        <f t="shared" si="212"/>
        <v>0</v>
      </c>
      <c r="AF579" s="64">
        <f t="shared" si="213"/>
        <v>0</v>
      </c>
      <c r="AG579" s="29">
        <f t="shared" si="214"/>
        <v>131.41999999999999</v>
      </c>
    </row>
    <row r="580" spans="1:33">
      <c r="A580" s="265">
        <v>23200001</v>
      </c>
      <c r="B580" s="265" t="s">
        <v>446</v>
      </c>
      <c r="C580" s="265" t="s">
        <v>486</v>
      </c>
      <c r="D580" s="265">
        <v>100000001</v>
      </c>
      <c r="E580" s="265" t="s">
        <v>51</v>
      </c>
      <c r="F580" s="265" t="s">
        <v>0</v>
      </c>
      <c r="G580" s="266">
        <v>-48277</v>
      </c>
      <c r="H580" s="266">
        <v>-48277</v>
      </c>
      <c r="I580" s="267"/>
      <c r="J580" s="267"/>
      <c r="K580" s="267"/>
      <c r="L580" s="224" t="str">
        <f t="shared" si="194"/>
        <v>23200001_AUD_100000001_NONGHYUP BANK SYDNEY BRANCH</v>
      </c>
      <c r="M580" s="221">
        <f t="shared" si="195"/>
        <v>-48277</v>
      </c>
      <c r="N580" s="24" t="str">
        <f>IF(OR(L580=$L$2,L580=$L$3),$M$10+1,IFERROR(VLOOKUP(A580,'Repricing Maturity Adj.'!$A$3:$C$170,3,0),(IF(K580&lt;$M$10,"Check",K580))))</f>
        <v>Non_sensitive</v>
      </c>
      <c r="O580" s="62" t="b">
        <f t="shared" si="196"/>
        <v>1</v>
      </c>
      <c r="P580" s="63" t="str">
        <f t="shared" si="197"/>
        <v>Liability</v>
      </c>
      <c r="Q580" s="25">
        <f t="shared" si="198"/>
        <v>0</v>
      </c>
      <c r="R580" s="25">
        <f t="shared" si="199"/>
        <v>0</v>
      </c>
      <c r="S580" s="25">
        <f t="shared" si="200"/>
        <v>0</v>
      </c>
      <c r="T580" s="25">
        <f t="shared" si="201"/>
        <v>0</v>
      </c>
      <c r="U580" s="25">
        <f t="shared" si="202"/>
        <v>0</v>
      </c>
      <c r="V580" s="25">
        <f t="shared" si="203"/>
        <v>0</v>
      </c>
      <c r="W580" s="25">
        <f t="shared" si="204"/>
        <v>0</v>
      </c>
      <c r="X580" s="64">
        <f t="shared" si="205"/>
        <v>0</v>
      </c>
      <c r="Y580" s="64">
        <f t="shared" si="206"/>
        <v>0</v>
      </c>
      <c r="Z580" s="64">
        <f t="shared" si="207"/>
        <v>0</v>
      </c>
      <c r="AA580" s="64">
        <f t="shared" si="208"/>
        <v>0</v>
      </c>
      <c r="AB580" s="64">
        <f t="shared" si="209"/>
        <v>0</v>
      </c>
      <c r="AC580" s="64">
        <f t="shared" si="210"/>
        <v>0</v>
      </c>
      <c r="AD580" s="64">
        <f t="shared" si="211"/>
        <v>0</v>
      </c>
      <c r="AE580" s="64">
        <f t="shared" si="212"/>
        <v>0</v>
      </c>
      <c r="AF580" s="64">
        <f t="shared" si="213"/>
        <v>0</v>
      </c>
      <c r="AG580" s="29">
        <f t="shared" si="214"/>
        <v>-48277</v>
      </c>
    </row>
    <row r="581" spans="1:33">
      <c r="A581" s="265">
        <v>23200001</v>
      </c>
      <c r="B581" s="265" t="s">
        <v>446</v>
      </c>
      <c r="C581" s="265" t="s">
        <v>487</v>
      </c>
      <c r="D581" s="265">
        <v>100000001</v>
      </c>
      <c r="E581" s="265" t="s">
        <v>51</v>
      </c>
      <c r="F581" s="265" t="s">
        <v>0</v>
      </c>
      <c r="G581" s="266">
        <v>-160.4</v>
      </c>
      <c r="H581" s="266">
        <v>-160.4</v>
      </c>
      <c r="I581" s="267"/>
      <c r="J581" s="267"/>
      <c r="K581" s="267"/>
      <c r="L581" s="224" t="str">
        <f t="shared" si="194"/>
        <v>23200001_AUD_100000001_NONGHYUP BANK SYDNEY BRANCH</v>
      </c>
      <c r="M581" s="221">
        <f t="shared" si="195"/>
        <v>-160.4</v>
      </c>
      <c r="N581" s="24" t="str">
        <f>IF(OR(L581=$L$2,L581=$L$3),$M$10+1,IFERROR(VLOOKUP(A581,'Repricing Maturity Adj.'!$A$3:$C$170,3,0),(IF(K581&lt;$M$10,"Check",K581))))</f>
        <v>Non_sensitive</v>
      </c>
      <c r="O581" s="62" t="b">
        <f t="shared" si="196"/>
        <v>1</v>
      </c>
      <c r="P581" s="63" t="str">
        <f t="shared" si="197"/>
        <v>Liability</v>
      </c>
      <c r="Q581" s="25">
        <f t="shared" si="198"/>
        <v>0</v>
      </c>
      <c r="R581" s="25">
        <f t="shared" si="199"/>
        <v>0</v>
      </c>
      <c r="S581" s="25">
        <f t="shared" si="200"/>
        <v>0</v>
      </c>
      <c r="T581" s="25">
        <f t="shared" si="201"/>
        <v>0</v>
      </c>
      <c r="U581" s="25">
        <f t="shared" si="202"/>
        <v>0</v>
      </c>
      <c r="V581" s="25">
        <f t="shared" si="203"/>
        <v>0</v>
      </c>
      <c r="W581" s="25">
        <f t="shared" si="204"/>
        <v>0</v>
      </c>
      <c r="X581" s="64">
        <f t="shared" si="205"/>
        <v>0</v>
      </c>
      <c r="Y581" s="64">
        <f t="shared" si="206"/>
        <v>0</v>
      </c>
      <c r="Z581" s="64">
        <f t="shared" si="207"/>
        <v>0</v>
      </c>
      <c r="AA581" s="64">
        <f t="shared" si="208"/>
        <v>0</v>
      </c>
      <c r="AB581" s="64">
        <f t="shared" si="209"/>
        <v>0</v>
      </c>
      <c r="AC581" s="64">
        <f t="shared" si="210"/>
        <v>0</v>
      </c>
      <c r="AD581" s="64">
        <f t="shared" si="211"/>
        <v>0</v>
      </c>
      <c r="AE581" s="64">
        <f t="shared" si="212"/>
        <v>0</v>
      </c>
      <c r="AF581" s="64">
        <f t="shared" si="213"/>
        <v>0</v>
      </c>
      <c r="AG581" s="29">
        <f t="shared" si="214"/>
        <v>-160.4</v>
      </c>
    </row>
    <row r="582" spans="1:33">
      <c r="A582" s="265">
        <v>23200001</v>
      </c>
      <c r="B582" s="265" t="s">
        <v>446</v>
      </c>
      <c r="C582" s="265" t="s">
        <v>488</v>
      </c>
      <c r="D582" s="265">
        <v>100000001</v>
      </c>
      <c r="E582" s="265" t="s">
        <v>51</v>
      </c>
      <c r="F582" s="265" t="s">
        <v>0</v>
      </c>
      <c r="G582" s="266">
        <v>-251.45</v>
      </c>
      <c r="H582" s="266">
        <v>-251.45</v>
      </c>
      <c r="I582" s="267"/>
      <c r="J582" s="267"/>
      <c r="K582" s="267"/>
      <c r="L582" s="224" t="str">
        <f t="shared" si="194"/>
        <v>23200001_AUD_100000001_NONGHYUP BANK SYDNEY BRANCH</v>
      </c>
      <c r="M582" s="221">
        <f t="shared" si="195"/>
        <v>-251.45</v>
      </c>
      <c r="N582" s="24" t="str">
        <f>IF(OR(L582=$L$2,L582=$L$3),$M$10+1,IFERROR(VLOOKUP(A582,'Repricing Maturity Adj.'!$A$3:$C$170,3,0),(IF(K582&lt;$M$10,"Check",K582))))</f>
        <v>Non_sensitive</v>
      </c>
      <c r="O582" s="62" t="b">
        <f t="shared" si="196"/>
        <v>1</v>
      </c>
      <c r="P582" s="63" t="str">
        <f t="shared" si="197"/>
        <v>Liability</v>
      </c>
      <c r="Q582" s="25">
        <f t="shared" si="198"/>
        <v>0</v>
      </c>
      <c r="R582" s="25">
        <f t="shared" si="199"/>
        <v>0</v>
      </c>
      <c r="S582" s="25">
        <f t="shared" si="200"/>
        <v>0</v>
      </c>
      <c r="T582" s="25">
        <f t="shared" si="201"/>
        <v>0</v>
      </c>
      <c r="U582" s="25">
        <f t="shared" si="202"/>
        <v>0</v>
      </c>
      <c r="V582" s="25">
        <f t="shared" si="203"/>
        <v>0</v>
      </c>
      <c r="W582" s="25">
        <f t="shared" si="204"/>
        <v>0</v>
      </c>
      <c r="X582" s="64">
        <f t="shared" si="205"/>
        <v>0</v>
      </c>
      <c r="Y582" s="64">
        <f t="shared" si="206"/>
        <v>0</v>
      </c>
      <c r="Z582" s="64">
        <f t="shared" si="207"/>
        <v>0</v>
      </c>
      <c r="AA582" s="64">
        <f t="shared" si="208"/>
        <v>0</v>
      </c>
      <c r="AB582" s="64">
        <f t="shared" si="209"/>
        <v>0</v>
      </c>
      <c r="AC582" s="64">
        <f t="shared" si="210"/>
        <v>0</v>
      </c>
      <c r="AD582" s="64">
        <f t="shared" si="211"/>
        <v>0</v>
      </c>
      <c r="AE582" s="64">
        <f t="shared" si="212"/>
        <v>0</v>
      </c>
      <c r="AF582" s="64">
        <f t="shared" si="213"/>
        <v>0</v>
      </c>
      <c r="AG582" s="29">
        <f t="shared" si="214"/>
        <v>-251.45</v>
      </c>
    </row>
    <row r="583" spans="1:33">
      <c r="A583" s="265">
        <v>23200001</v>
      </c>
      <c r="B583" s="265" t="s">
        <v>446</v>
      </c>
      <c r="C583" s="265" t="s">
        <v>489</v>
      </c>
      <c r="D583" s="265">
        <v>100000001</v>
      </c>
      <c r="E583" s="265" t="s">
        <v>51</v>
      </c>
      <c r="F583" s="265" t="s">
        <v>0</v>
      </c>
      <c r="G583" s="266">
        <v>-355.05</v>
      </c>
      <c r="H583" s="266">
        <v>-355.05</v>
      </c>
      <c r="I583" s="267"/>
      <c r="J583" s="267"/>
      <c r="K583" s="267"/>
      <c r="L583" s="224" t="str">
        <f t="shared" si="194"/>
        <v>23200001_AUD_100000001_NONGHYUP BANK SYDNEY BRANCH</v>
      </c>
      <c r="M583" s="221">
        <f t="shared" si="195"/>
        <v>-355.05</v>
      </c>
      <c r="N583" s="24" t="str">
        <f>IF(OR(L583=$L$2,L583=$L$3),$M$10+1,IFERROR(VLOOKUP(A583,'Repricing Maturity Adj.'!$A$3:$C$170,3,0),(IF(K583&lt;$M$10,"Check",K583))))</f>
        <v>Non_sensitive</v>
      </c>
      <c r="O583" s="62" t="b">
        <f t="shared" si="196"/>
        <v>1</v>
      </c>
      <c r="P583" s="63" t="str">
        <f t="shared" si="197"/>
        <v>Liability</v>
      </c>
      <c r="Q583" s="25">
        <f t="shared" si="198"/>
        <v>0</v>
      </c>
      <c r="R583" s="25">
        <f t="shared" si="199"/>
        <v>0</v>
      </c>
      <c r="S583" s="25">
        <f t="shared" si="200"/>
        <v>0</v>
      </c>
      <c r="T583" s="25">
        <f t="shared" si="201"/>
        <v>0</v>
      </c>
      <c r="U583" s="25">
        <f t="shared" si="202"/>
        <v>0</v>
      </c>
      <c r="V583" s="25">
        <f t="shared" si="203"/>
        <v>0</v>
      </c>
      <c r="W583" s="25">
        <f t="shared" si="204"/>
        <v>0</v>
      </c>
      <c r="X583" s="64">
        <f t="shared" si="205"/>
        <v>0</v>
      </c>
      <c r="Y583" s="64">
        <f t="shared" si="206"/>
        <v>0</v>
      </c>
      <c r="Z583" s="64">
        <f t="shared" si="207"/>
        <v>0</v>
      </c>
      <c r="AA583" s="64">
        <f t="shared" si="208"/>
        <v>0</v>
      </c>
      <c r="AB583" s="64">
        <f t="shared" si="209"/>
        <v>0</v>
      </c>
      <c r="AC583" s="64">
        <f t="shared" si="210"/>
        <v>0</v>
      </c>
      <c r="AD583" s="64">
        <f t="shared" si="211"/>
        <v>0</v>
      </c>
      <c r="AE583" s="64">
        <f t="shared" si="212"/>
        <v>0</v>
      </c>
      <c r="AF583" s="64">
        <f t="shared" si="213"/>
        <v>0</v>
      </c>
      <c r="AG583" s="29">
        <f t="shared" si="214"/>
        <v>-355.05</v>
      </c>
    </row>
    <row r="584" spans="1:33">
      <c r="A584" s="265">
        <v>23200001</v>
      </c>
      <c r="B584" s="265" t="s">
        <v>446</v>
      </c>
      <c r="C584" s="265" t="s">
        <v>490</v>
      </c>
      <c r="D584" s="265">
        <v>100000001</v>
      </c>
      <c r="E584" s="265" t="s">
        <v>51</v>
      </c>
      <c r="F584" s="265" t="s">
        <v>0</v>
      </c>
      <c r="G584" s="266">
        <v>-490.08</v>
      </c>
      <c r="H584" s="266">
        <v>-490.08</v>
      </c>
      <c r="I584" s="267"/>
      <c r="J584" s="267"/>
      <c r="K584" s="267"/>
      <c r="L584" s="224" t="str">
        <f t="shared" si="194"/>
        <v>23200001_AUD_100000001_NONGHYUP BANK SYDNEY BRANCH</v>
      </c>
      <c r="M584" s="221">
        <f t="shared" si="195"/>
        <v>-490.08</v>
      </c>
      <c r="N584" s="24" t="str">
        <f>IF(OR(L584=$L$2,L584=$L$3),$M$10+1,IFERROR(VLOOKUP(A584,'Repricing Maturity Adj.'!$A$3:$C$170,3,0),(IF(K584&lt;$M$10,"Check",K584))))</f>
        <v>Non_sensitive</v>
      </c>
      <c r="O584" s="62" t="b">
        <f t="shared" si="196"/>
        <v>1</v>
      </c>
      <c r="P584" s="63" t="str">
        <f t="shared" si="197"/>
        <v>Liability</v>
      </c>
      <c r="Q584" s="25">
        <f t="shared" si="198"/>
        <v>0</v>
      </c>
      <c r="R584" s="25">
        <f t="shared" si="199"/>
        <v>0</v>
      </c>
      <c r="S584" s="25">
        <f t="shared" si="200"/>
        <v>0</v>
      </c>
      <c r="T584" s="25">
        <f t="shared" si="201"/>
        <v>0</v>
      </c>
      <c r="U584" s="25">
        <f t="shared" si="202"/>
        <v>0</v>
      </c>
      <c r="V584" s="25">
        <f t="shared" si="203"/>
        <v>0</v>
      </c>
      <c r="W584" s="25">
        <f t="shared" si="204"/>
        <v>0</v>
      </c>
      <c r="X584" s="64">
        <f t="shared" si="205"/>
        <v>0</v>
      </c>
      <c r="Y584" s="64">
        <f t="shared" si="206"/>
        <v>0</v>
      </c>
      <c r="Z584" s="64">
        <f t="shared" si="207"/>
        <v>0</v>
      </c>
      <c r="AA584" s="64">
        <f t="shared" si="208"/>
        <v>0</v>
      </c>
      <c r="AB584" s="64">
        <f t="shared" si="209"/>
        <v>0</v>
      </c>
      <c r="AC584" s="64">
        <f t="shared" si="210"/>
        <v>0</v>
      </c>
      <c r="AD584" s="64">
        <f t="shared" si="211"/>
        <v>0</v>
      </c>
      <c r="AE584" s="64">
        <f t="shared" si="212"/>
        <v>0</v>
      </c>
      <c r="AF584" s="64">
        <f t="shared" si="213"/>
        <v>0</v>
      </c>
      <c r="AG584" s="29">
        <f t="shared" si="214"/>
        <v>-490.08</v>
      </c>
    </row>
    <row r="585" spans="1:33">
      <c r="A585" s="265">
        <v>23200001</v>
      </c>
      <c r="B585" s="265" t="s">
        <v>446</v>
      </c>
      <c r="C585" s="265" t="s">
        <v>491</v>
      </c>
      <c r="D585" s="265">
        <v>100000001</v>
      </c>
      <c r="E585" s="265" t="s">
        <v>51</v>
      </c>
      <c r="F585" s="265" t="s">
        <v>0</v>
      </c>
      <c r="G585" s="266">
        <v>-404.87</v>
      </c>
      <c r="H585" s="266">
        <v>-404.87</v>
      </c>
      <c r="I585" s="267"/>
      <c r="J585" s="267"/>
      <c r="K585" s="267"/>
      <c r="L585" s="224" t="str">
        <f t="shared" si="194"/>
        <v>23200001_AUD_100000001_NONGHYUP BANK SYDNEY BRANCH</v>
      </c>
      <c r="M585" s="221">
        <f t="shared" si="195"/>
        <v>-404.87</v>
      </c>
      <c r="N585" s="24" t="str">
        <f>IF(OR(L585=$L$2,L585=$L$3),$M$10+1,IFERROR(VLOOKUP(A585,'Repricing Maturity Adj.'!$A$3:$C$170,3,0),(IF(K585&lt;$M$10,"Check",K585))))</f>
        <v>Non_sensitive</v>
      </c>
      <c r="O585" s="62" t="b">
        <f t="shared" si="196"/>
        <v>1</v>
      </c>
      <c r="P585" s="63" t="str">
        <f t="shared" si="197"/>
        <v>Liability</v>
      </c>
      <c r="Q585" s="25">
        <f t="shared" si="198"/>
        <v>0</v>
      </c>
      <c r="R585" s="25">
        <f t="shared" si="199"/>
        <v>0</v>
      </c>
      <c r="S585" s="25">
        <f t="shared" si="200"/>
        <v>0</v>
      </c>
      <c r="T585" s="25">
        <f t="shared" si="201"/>
        <v>0</v>
      </c>
      <c r="U585" s="25">
        <f t="shared" si="202"/>
        <v>0</v>
      </c>
      <c r="V585" s="25">
        <f t="shared" si="203"/>
        <v>0</v>
      </c>
      <c r="W585" s="25">
        <f t="shared" si="204"/>
        <v>0</v>
      </c>
      <c r="X585" s="64">
        <f t="shared" si="205"/>
        <v>0</v>
      </c>
      <c r="Y585" s="64">
        <f t="shared" si="206"/>
        <v>0</v>
      </c>
      <c r="Z585" s="64">
        <f t="shared" si="207"/>
        <v>0</v>
      </c>
      <c r="AA585" s="64">
        <f t="shared" si="208"/>
        <v>0</v>
      </c>
      <c r="AB585" s="64">
        <f t="shared" si="209"/>
        <v>0</v>
      </c>
      <c r="AC585" s="64">
        <f t="shared" si="210"/>
        <v>0</v>
      </c>
      <c r="AD585" s="64">
        <f t="shared" si="211"/>
        <v>0</v>
      </c>
      <c r="AE585" s="64">
        <f t="shared" si="212"/>
        <v>0</v>
      </c>
      <c r="AF585" s="64">
        <f t="shared" si="213"/>
        <v>0</v>
      </c>
      <c r="AG585" s="29">
        <f t="shared" si="214"/>
        <v>-404.87</v>
      </c>
    </row>
    <row r="586" spans="1:33">
      <c r="A586" s="265">
        <v>23200001</v>
      </c>
      <c r="B586" s="265" t="s">
        <v>446</v>
      </c>
      <c r="C586" s="265" t="s">
        <v>492</v>
      </c>
      <c r="D586" s="265">
        <v>100000001</v>
      </c>
      <c r="E586" s="265" t="s">
        <v>51</v>
      </c>
      <c r="F586" s="265" t="s">
        <v>0</v>
      </c>
      <c r="G586" s="266">
        <v>-42309.11</v>
      </c>
      <c r="H586" s="266">
        <v>-42309.11</v>
      </c>
      <c r="I586" s="267"/>
      <c r="J586" s="267"/>
      <c r="K586" s="267"/>
      <c r="L586" s="224" t="str">
        <f t="shared" si="194"/>
        <v>23200001_AUD_100000001_NONGHYUP BANK SYDNEY BRANCH</v>
      </c>
      <c r="M586" s="221">
        <f t="shared" si="195"/>
        <v>-42309.11</v>
      </c>
      <c r="N586" s="24" t="str">
        <f>IF(OR(L586=$L$2,L586=$L$3),$M$10+1,IFERROR(VLOOKUP(A586,'Repricing Maturity Adj.'!$A$3:$C$170,3,0),(IF(K586&lt;$M$10,"Check",K586))))</f>
        <v>Non_sensitive</v>
      </c>
      <c r="O586" s="62" t="b">
        <f t="shared" si="196"/>
        <v>1</v>
      </c>
      <c r="P586" s="63" t="str">
        <f t="shared" si="197"/>
        <v>Liability</v>
      </c>
      <c r="Q586" s="25">
        <f t="shared" si="198"/>
        <v>0</v>
      </c>
      <c r="R586" s="25">
        <f t="shared" si="199"/>
        <v>0</v>
      </c>
      <c r="S586" s="25">
        <f t="shared" si="200"/>
        <v>0</v>
      </c>
      <c r="T586" s="25">
        <f t="shared" si="201"/>
        <v>0</v>
      </c>
      <c r="U586" s="25">
        <f t="shared" si="202"/>
        <v>0</v>
      </c>
      <c r="V586" s="25">
        <f t="shared" si="203"/>
        <v>0</v>
      </c>
      <c r="W586" s="25">
        <f t="shared" si="204"/>
        <v>0</v>
      </c>
      <c r="X586" s="64">
        <f t="shared" si="205"/>
        <v>0</v>
      </c>
      <c r="Y586" s="64">
        <f t="shared" si="206"/>
        <v>0</v>
      </c>
      <c r="Z586" s="64">
        <f t="shared" si="207"/>
        <v>0</v>
      </c>
      <c r="AA586" s="64">
        <f t="shared" si="208"/>
        <v>0</v>
      </c>
      <c r="AB586" s="64">
        <f t="shared" si="209"/>
        <v>0</v>
      </c>
      <c r="AC586" s="64">
        <f t="shared" si="210"/>
        <v>0</v>
      </c>
      <c r="AD586" s="64">
        <f t="shared" si="211"/>
        <v>0</v>
      </c>
      <c r="AE586" s="64">
        <f t="shared" si="212"/>
        <v>0</v>
      </c>
      <c r="AF586" s="64">
        <f t="shared" si="213"/>
        <v>0</v>
      </c>
      <c r="AG586" s="29">
        <f t="shared" si="214"/>
        <v>-42309.11</v>
      </c>
    </row>
    <row r="587" spans="1:33">
      <c r="A587" s="265">
        <v>23200001</v>
      </c>
      <c r="B587" s="265" t="s">
        <v>446</v>
      </c>
      <c r="C587" s="265" t="s">
        <v>493</v>
      </c>
      <c r="D587" s="265">
        <v>100000001</v>
      </c>
      <c r="E587" s="265" t="s">
        <v>51</v>
      </c>
      <c r="F587" s="265" t="s">
        <v>0</v>
      </c>
      <c r="G587" s="266">
        <v>-47.97</v>
      </c>
      <c r="H587" s="266">
        <v>-47.97</v>
      </c>
      <c r="I587" s="267"/>
      <c r="J587" s="267"/>
      <c r="K587" s="267"/>
      <c r="L587" s="224" t="str">
        <f t="shared" si="194"/>
        <v>23200001_AUD_100000001_NONGHYUP BANK SYDNEY BRANCH</v>
      </c>
      <c r="M587" s="221">
        <f t="shared" si="195"/>
        <v>-47.97</v>
      </c>
      <c r="N587" s="24" t="str">
        <f>IF(OR(L587=$L$2,L587=$L$3),$M$10+1,IFERROR(VLOOKUP(A587,'Repricing Maturity Adj.'!$A$3:$C$170,3,0),(IF(K587&lt;$M$10,"Check",K587))))</f>
        <v>Non_sensitive</v>
      </c>
      <c r="O587" s="62" t="b">
        <f t="shared" si="196"/>
        <v>1</v>
      </c>
      <c r="P587" s="63" t="str">
        <f t="shared" si="197"/>
        <v>Liability</v>
      </c>
      <c r="Q587" s="25">
        <f t="shared" si="198"/>
        <v>0</v>
      </c>
      <c r="R587" s="25">
        <f t="shared" si="199"/>
        <v>0</v>
      </c>
      <c r="S587" s="25">
        <f t="shared" si="200"/>
        <v>0</v>
      </c>
      <c r="T587" s="25">
        <f t="shared" si="201"/>
        <v>0</v>
      </c>
      <c r="U587" s="25">
        <f t="shared" si="202"/>
        <v>0</v>
      </c>
      <c r="V587" s="25">
        <f t="shared" si="203"/>
        <v>0</v>
      </c>
      <c r="W587" s="25">
        <f t="shared" si="204"/>
        <v>0</v>
      </c>
      <c r="X587" s="64">
        <f t="shared" si="205"/>
        <v>0</v>
      </c>
      <c r="Y587" s="64">
        <f t="shared" si="206"/>
        <v>0</v>
      </c>
      <c r="Z587" s="64">
        <f t="shared" si="207"/>
        <v>0</v>
      </c>
      <c r="AA587" s="64">
        <f t="shared" si="208"/>
        <v>0</v>
      </c>
      <c r="AB587" s="64">
        <f t="shared" si="209"/>
        <v>0</v>
      </c>
      <c r="AC587" s="64">
        <f t="shared" si="210"/>
        <v>0</v>
      </c>
      <c r="AD587" s="64">
        <f t="shared" si="211"/>
        <v>0</v>
      </c>
      <c r="AE587" s="64">
        <f t="shared" si="212"/>
        <v>0</v>
      </c>
      <c r="AF587" s="64">
        <f t="shared" si="213"/>
        <v>0</v>
      </c>
      <c r="AG587" s="29">
        <f t="shared" si="214"/>
        <v>-47.97</v>
      </c>
    </row>
    <row r="588" spans="1:33">
      <c r="A588" s="265">
        <v>23200001</v>
      </c>
      <c r="B588" s="265" t="s">
        <v>446</v>
      </c>
      <c r="C588" s="265" t="s">
        <v>494</v>
      </c>
      <c r="D588" s="265">
        <v>100000001</v>
      </c>
      <c r="E588" s="265" t="s">
        <v>51</v>
      </c>
      <c r="F588" s="265" t="s">
        <v>0</v>
      </c>
      <c r="G588" s="266">
        <v>47.97</v>
      </c>
      <c r="H588" s="266">
        <v>47.97</v>
      </c>
      <c r="I588" s="267"/>
      <c r="J588" s="267"/>
      <c r="K588" s="267"/>
      <c r="L588" s="224" t="str">
        <f t="shared" si="194"/>
        <v>23200001_AUD_100000001_NONGHYUP BANK SYDNEY BRANCH</v>
      </c>
      <c r="M588" s="221">
        <f t="shared" si="195"/>
        <v>47.97</v>
      </c>
      <c r="N588" s="24" t="str">
        <f>IF(OR(L588=$L$2,L588=$L$3),$M$10+1,IFERROR(VLOOKUP(A588,'Repricing Maturity Adj.'!$A$3:$C$170,3,0),(IF(K588&lt;$M$10,"Check",K588))))</f>
        <v>Non_sensitive</v>
      </c>
      <c r="O588" s="62" t="b">
        <f t="shared" si="196"/>
        <v>1</v>
      </c>
      <c r="P588" s="63" t="str">
        <f t="shared" si="197"/>
        <v>Liability</v>
      </c>
      <c r="Q588" s="25">
        <f t="shared" si="198"/>
        <v>0</v>
      </c>
      <c r="R588" s="25">
        <f t="shared" si="199"/>
        <v>0</v>
      </c>
      <c r="S588" s="25">
        <f t="shared" si="200"/>
        <v>0</v>
      </c>
      <c r="T588" s="25">
        <f t="shared" si="201"/>
        <v>0</v>
      </c>
      <c r="U588" s="25">
        <f t="shared" si="202"/>
        <v>0</v>
      </c>
      <c r="V588" s="25">
        <f t="shared" si="203"/>
        <v>0</v>
      </c>
      <c r="W588" s="25">
        <f t="shared" si="204"/>
        <v>0</v>
      </c>
      <c r="X588" s="64">
        <f t="shared" si="205"/>
        <v>0</v>
      </c>
      <c r="Y588" s="64">
        <f t="shared" si="206"/>
        <v>0</v>
      </c>
      <c r="Z588" s="64">
        <f t="shared" si="207"/>
        <v>0</v>
      </c>
      <c r="AA588" s="64">
        <f t="shared" si="208"/>
        <v>0</v>
      </c>
      <c r="AB588" s="64">
        <f t="shared" si="209"/>
        <v>0</v>
      </c>
      <c r="AC588" s="64">
        <f t="shared" si="210"/>
        <v>0</v>
      </c>
      <c r="AD588" s="64">
        <f t="shared" si="211"/>
        <v>0</v>
      </c>
      <c r="AE588" s="64">
        <f t="shared" si="212"/>
        <v>0</v>
      </c>
      <c r="AF588" s="64">
        <f t="shared" si="213"/>
        <v>0</v>
      </c>
      <c r="AG588" s="29">
        <f t="shared" si="214"/>
        <v>47.97</v>
      </c>
    </row>
    <row r="589" spans="1:33">
      <c r="A589" s="265">
        <v>25100001</v>
      </c>
      <c r="B589" s="265" t="s">
        <v>495</v>
      </c>
      <c r="C589" s="265" t="s">
        <v>288</v>
      </c>
      <c r="D589" s="265">
        <v>100000001</v>
      </c>
      <c r="E589" s="265" t="s">
        <v>51</v>
      </c>
      <c r="F589" s="265" t="s">
        <v>0</v>
      </c>
      <c r="G589" s="266">
        <v>5000000</v>
      </c>
      <c r="H589" s="266">
        <v>5000000</v>
      </c>
      <c r="I589" s="267"/>
      <c r="J589" s="267"/>
      <c r="K589" s="267"/>
      <c r="L589" s="224" t="str">
        <f t="shared" si="194"/>
        <v>25100001_AUD_100000001_NONGHYUP BANK SYDNEY BRANCH</v>
      </c>
      <c r="M589" s="221">
        <f t="shared" si="195"/>
        <v>5000000</v>
      </c>
      <c r="N589" s="24" t="str">
        <f>IF(OR(L589=$L$2,L589=$L$3),$M$10+1,IFERROR(VLOOKUP(A589,'Repricing Maturity Adj.'!$A$3:$C$170,3,0),(IF(K589&lt;$M$10,"Check",K589))))</f>
        <v>Non_sensitive</v>
      </c>
      <c r="O589" s="62" t="b">
        <f t="shared" si="196"/>
        <v>1</v>
      </c>
      <c r="P589" s="63" t="str">
        <f t="shared" si="197"/>
        <v>Liability</v>
      </c>
      <c r="Q589" s="25">
        <f t="shared" si="198"/>
        <v>0</v>
      </c>
      <c r="R589" s="25">
        <f t="shared" si="199"/>
        <v>0</v>
      </c>
      <c r="S589" s="25">
        <f t="shared" si="200"/>
        <v>0</v>
      </c>
      <c r="T589" s="25">
        <f t="shared" si="201"/>
        <v>0</v>
      </c>
      <c r="U589" s="25">
        <f t="shared" si="202"/>
        <v>0</v>
      </c>
      <c r="V589" s="25">
        <f t="shared" si="203"/>
        <v>0</v>
      </c>
      <c r="W589" s="25">
        <f t="shared" si="204"/>
        <v>0</v>
      </c>
      <c r="X589" s="64">
        <f t="shared" si="205"/>
        <v>0</v>
      </c>
      <c r="Y589" s="64">
        <f t="shared" si="206"/>
        <v>0</v>
      </c>
      <c r="Z589" s="64">
        <f t="shared" si="207"/>
        <v>0</v>
      </c>
      <c r="AA589" s="64">
        <f t="shared" si="208"/>
        <v>0</v>
      </c>
      <c r="AB589" s="64">
        <f t="shared" si="209"/>
        <v>0</v>
      </c>
      <c r="AC589" s="64">
        <f t="shared" si="210"/>
        <v>0</v>
      </c>
      <c r="AD589" s="64">
        <f t="shared" si="211"/>
        <v>0</v>
      </c>
      <c r="AE589" s="64">
        <f t="shared" si="212"/>
        <v>0</v>
      </c>
      <c r="AF589" s="64">
        <f t="shared" si="213"/>
        <v>0</v>
      </c>
      <c r="AG589" s="29">
        <f t="shared" si="214"/>
        <v>5000000</v>
      </c>
    </row>
    <row r="590" spans="1:33">
      <c r="A590" s="265">
        <v>25100001</v>
      </c>
      <c r="B590" s="265" t="s">
        <v>495</v>
      </c>
      <c r="C590" s="265" t="s">
        <v>289</v>
      </c>
      <c r="D590" s="265">
        <v>100000001</v>
      </c>
      <c r="E590" s="265" t="s">
        <v>51</v>
      </c>
      <c r="F590" s="265" t="s">
        <v>0</v>
      </c>
      <c r="G590" s="266">
        <v>25000000</v>
      </c>
      <c r="H590" s="266">
        <v>25000000</v>
      </c>
      <c r="I590" s="267"/>
      <c r="J590" s="267"/>
      <c r="K590" s="267"/>
      <c r="L590" s="224" t="str">
        <f t="shared" si="194"/>
        <v>25100001_AUD_100000001_NONGHYUP BANK SYDNEY BRANCH</v>
      </c>
      <c r="M590" s="221">
        <f t="shared" si="195"/>
        <v>25000000</v>
      </c>
      <c r="N590" s="24" t="str">
        <f>IF(OR(L590=$L$2,L590=$L$3),$M$10+1,IFERROR(VLOOKUP(A590,'Repricing Maturity Adj.'!$A$3:$C$170,3,0),(IF(K590&lt;$M$10,"Check",K590))))</f>
        <v>Non_sensitive</v>
      </c>
      <c r="O590" s="62" t="b">
        <f t="shared" si="196"/>
        <v>1</v>
      </c>
      <c r="P590" s="63" t="str">
        <f t="shared" si="197"/>
        <v>Liability</v>
      </c>
      <c r="Q590" s="25">
        <f t="shared" si="198"/>
        <v>0</v>
      </c>
      <c r="R590" s="25">
        <f t="shared" si="199"/>
        <v>0</v>
      </c>
      <c r="S590" s="25">
        <f t="shared" si="200"/>
        <v>0</v>
      </c>
      <c r="T590" s="25">
        <f t="shared" si="201"/>
        <v>0</v>
      </c>
      <c r="U590" s="25">
        <f t="shared" si="202"/>
        <v>0</v>
      </c>
      <c r="V590" s="25">
        <f t="shared" si="203"/>
        <v>0</v>
      </c>
      <c r="W590" s="25">
        <f t="shared" si="204"/>
        <v>0</v>
      </c>
      <c r="X590" s="64">
        <f t="shared" si="205"/>
        <v>0</v>
      </c>
      <c r="Y590" s="64">
        <f t="shared" si="206"/>
        <v>0</v>
      </c>
      <c r="Z590" s="64">
        <f t="shared" si="207"/>
        <v>0</v>
      </c>
      <c r="AA590" s="64">
        <f t="shared" si="208"/>
        <v>0</v>
      </c>
      <c r="AB590" s="64">
        <f t="shared" si="209"/>
        <v>0</v>
      </c>
      <c r="AC590" s="64">
        <f t="shared" si="210"/>
        <v>0</v>
      </c>
      <c r="AD590" s="64">
        <f t="shared" si="211"/>
        <v>0</v>
      </c>
      <c r="AE590" s="64">
        <f t="shared" si="212"/>
        <v>0</v>
      </c>
      <c r="AF590" s="64">
        <f t="shared" si="213"/>
        <v>0</v>
      </c>
      <c r="AG590" s="29">
        <f t="shared" si="214"/>
        <v>25000000</v>
      </c>
    </row>
    <row r="591" spans="1:33">
      <c r="A591" s="265">
        <v>25100001</v>
      </c>
      <c r="B591" s="265" t="s">
        <v>495</v>
      </c>
      <c r="C591" s="265" t="s">
        <v>290</v>
      </c>
      <c r="D591" s="265">
        <v>100000001</v>
      </c>
      <c r="E591" s="265" t="s">
        <v>51</v>
      </c>
      <c r="F591" s="265" t="s">
        <v>0</v>
      </c>
      <c r="G591" s="266">
        <v>20000000</v>
      </c>
      <c r="H591" s="266">
        <v>20000000</v>
      </c>
      <c r="I591" s="267"/>
      <c r="J591" s="267"/>
      <c r="K591" s="267"/>
      <c r="L591" s="224" t="str">
        <f t="shared" si="194"/>
        <v>25100001_AUD_100000001_NONGHYUP BANK SYDNEY BRANCH</v>
      </c>
      <c r="M591" s="221">
        <f t="shared" si="195"/>
        <v>20000000</v>
      </c>
      <c r="N591" s="24" t="str">
        <f>IF(OR(L591=$L$2,L591=$L$3),$M$10+1,IFERROR(VLOOKUP(A591,'Repricing Maturity Adj.'!$A$3:$C$170,3,0),(IF(K591&lt;$M$10,"Check",K591))))</f>
        <v>Non_sensitive</v>
      </c>
      <c r="O591" s="62" t="b">
        <f t="shared" si="196"/>
        <v>1</v>
      </c>
      <c r="P591" s="63" t="str">
        <f t="shared" si="197"/>
        <v>Liability</v>
      </c>
      <c r="Q591" s="25">
        <f t="shared" si="198"/>
        <v>0</v>
      </c>
      <c r="R591" s="25">
        <f t="shared" si="199"/>
        <v>0</v>
      </c>
      <c r="S591" s="25">
        <f t="shared" si="200"/>
        <v>0</v>
      </c>
      <c r="T591" s="25">
        <f t="shared" si="201"/>
        <v>0</v>
      </c>
      <c r="U591" s="25">
        <f t="shared" si="202"/>
        <v>0</v>
      </c>
      <c r="V591" s="25">
        <f t="shared" si="203"/>
        <v>0</v>
      </c>
      <c r="W591" s="25">
        <f t="shared" si="204"/>
        <v>0</v>
      </c>
      <c r="X591" s="64">
        <f t="shared" si="205"/>
        <v>0</v>
      </c>
      <c r="Y591" s="64">
        <f t="shared" si="206"/>
        <v>0</v>
      </c>
      <c r="Z591" s="64">
        <f t="shared" si="207"/>
        <v>0</v>
      </c>
      <c r="AA591" s="64">
        <f t="shared" si="208"/>
        <v>0</v>
      </c>
      <c r="AB591" s="64">
        <f t="shared" si="209"/>
        <v>0</v>
      </c>
      <c r="AC591" s="64">
        <f t="shared" si="210"/>
        <v>0</v>
      </c>
      <c r="AD591" s="64">
        <f t="shared" si="211"/>
        <v>0</v>
      </c>
      <c r="AE591" s="64">
        <f t="shared" si="212"/>
        <v>0</v>
      </c>
      <c r="AF591" s="64">
        <f t="shared" si="213"/>
        <v>0</v>
      </c>
      <c r="AG591" s="29">
        <f t="shared" si="214"/>
        <v>20000000</v>
      </c>
    </row>
    <row r="592" spans="1:33">
      <c r="A592" s="265">
        <v>25100003</v>
      </c>
      <c r="B592" s="265" t="s">
        <v>549</v>
      </c>
      <c r="C592" s="265" t="s">
        <v>840</v>
      </c>
      <c r="D592" s="265">
        <v>100000002</v>
      </c>
      <c r="E592" s="265" t="s">
        <v>50</v>
      </c>
      <c r="F592" s="265" t="s">
        <v>301</v>
      </c>
      <c r="G592" s="266">
        <v>10000000</v>
      </c>
      <c r="H592" s="266">
        <v>14289797.08</v>
      </c>
      <c r="I592" s="268">
        <v>45853</v>
      </c>
      <c r="J592" s="268">
        <v>46064</v>
      </c>
      <c r="K592" s="268">
        <v>46064</v>
      </c>
      <c r="L592" s="224" t="str">
        <f t="shared" si="194"/>
        <v>25100003_USD_100000002_NONGHYUP BANK</v>
      </c>
      <c r="M592" s="221">
        <f t="shared" si="195"/>
        <v>14289797.08</v>
      </c>
      <c r="N592" s="24">
        <f>IF(OR(L592=$L$2,L592=$L$3),$M$10+1,IFERROR(VLOOKUP(A592,'Repricing Maturity Adj.'!$A$3:$C$170,3,0),(IF(K592&lt;$M$10,"Check",K592))))</f>
        <v>46064</v>
      </c>
      <c r="O592" s="62" t="b">
        <f t="shared" si="196"/>
        <v>1</v>
      </c>
      <c r="P592" s="63" t="str">
        <f t="shared" si="197"/>
        <v>Liability</v>
      </c>
      <c r="Q592" s="25">
        <f t="shared" si="198"/>
        <v>0</v>
      </c>
      <c r="R592" s="25">
        <f t="shared" si="199"/>
        <v>14289797.08</v>
      </c>
      <c r="S592" s="25">
        <f t="shared" si="200"/>
        <v>0</v>
      </c>
      <c r="T592" s="25">
        <f t="shared" si="201"/>
        <v>0</v>
      </c>
      <c r="U592" s="25">
        <f t="shared" si="202"/>
        <v>0</v>
      </c>
      <c r="V592" s="25">
        <f t="shared" si="203"/>
        <v>0</v>
      </c>
      <c r="W592" s="25">
        <f t="shared" si="204"/>
        <v>0</v>
      </c>
      <c r="X592" s="64">
        <f t="shared" si="205"/>
        <v>0</v>
      </c>
      <c r="Y592" s="64">
        <f t="shared" si="206"/>
        <v>0</v>
      </c>
      <c r="Z592" s="64">
        <f t="shared" si="207"/>
        <v>0</v>
      </c>
      <c r="AA592" s="64">
        <f t="shared" si="208"/>
        <v>0</v>
      </c>
      <c r="AB592" s="64">
        <f t="shared" si="209"/>
        <v>0</v>
      </c>
      <c r="AC592" s="64">
        <f t="shared" si="210"/>
        <v>0</v>
      </c>
      <c r="AD592" s="64">
        <f t="shared" si="211"/>
        <v>0</v>
      </c>
      <c r="AE592" s="64">
        <f t="shared" si="212"/>
        <v>0</v>
      </c>
      <c r="AF592" s="64">
        <f t="shared" si="213"/>
        <v>0</v>
      </c>
      <c r="AG592" s="29">
        <f t="shared" si="214"/>
        <v>0</v>
      </c>
    </row>
    <row r="593" spans="1:33">
      <c r="A593" s="265">
        <v>25100003</v>
      </c>
      <c r="B593" s="265" t="s">
        <v>549</v>
      </c>
      <c r="C593" s="265" t="s">
        <v>841</v>
      </c>
      <c r="D593" s="265">
        <v>100000002</v>
      </c>
      <c r="E593" s="265" t="s">
        <v>50</v>
      </c>
      <c r="F593" s="265" t="s">
        <v>301</v>
      </c>
      <c r="G593" s="266">
        <v>5000000</v>
      </c>
      <c r="H593" s="266">
        <v>7144898.54</v>
      </c>
      <c r="I593" s="268">
        <v>45862</v>
      </c>
      <c r="J593" s="268">
        <v>46072</v>
      </c>
      <c r="K593" s="268">
        <v>46072</v>
      </c>
      <c r="L593" s="224" t="str">
        <f t="shared" si="194"/>
        <v>25100003_USD_100000002_NONGHYUP BANK</v>
      </c>
      <c r="M593" s="221">
        <f t="shared" si="195"/>
        <v>7144898.54</v>
      </c>
      <c r="N593" s="24">
        <f>IF(OR(L593=$L$2,L593=$L$3),$M$10+1,IFERROR(VLOOKUP(A593,'Repricing Maturity Adj.'!$A$3:$C$170,3,0),(IF(K593&lt;$M$10,"Check",K593))))</f>
        <v>46072</v>
      </c>
      <c r="O593" s="62" t="b">
        <f t="shared" si="196"/>
        <v>1</v>
      </c>
      <c r="P593" s="63" t="str">
        <f t="shared" si="197"/>
        <v>Liability</v>
      </c>
      <c r="Q593" s="25">
        <f t="shared" si="198"/>
        <v>0</v>
      </c>
      <c r="R593" s="25">
        <f t="shared" si="199"/>
        <v>7144898.54</v>
      </c>
      <c r="S593" s="25">
        <f t="shared" si="200"/>
        <v>0</v>
      </c>
      <c r="T593" s="25">
        <f t="shared" si="201"/>
        <v>0</v>
      </c>
      <c r="U593" s="25">
        <f t="shared" si="202"/>
        <v>0</v>
      </c>
      <c r="V593" s="25">
        <f t="shared" si="203"/>
        <v>0</v>
      </c>
      <c r="W593" s="25">
        <f t="shared" si="204"/>
        <v>0</v>
      </c>
      <c r="X593" s="64">
        <f t="shared" si="205"/>
        <v>0</v>
      </c>
      <c r="Y593" s="64">
        <f t="shared" si="206"/>
        <v>0</v>
      </c>
      <c r="Z593" s="64">
        <f t="shared" si="207"/>
        <v>0</v>
      </c>
      <c r="AA593" s="64">
        <f t="shared" si="208"/>
        <v>0</v>
      </c>
      <c r="AB593" s="64">
        <f t="shared" si="209"/>
        <v>0</v>
      </c>
      <c r="AC593" s="64">
        <f t="shared" si="210"/>
        <v>0</v>
      </c>
      <c r="AD593" s="64">
        <f t="shared" si="211"/>
        <v>0</v>
      </c>
      <c r="AE593" s="64">
        <f t="shared" si="212"/>
        <v>0</v>
      </c>
      <c r="AF593" s="64">
        <f t="shared" si="213"/>
        <v>0</v>
      </c>
      <c r="AG593" s="29">
        <f t="shared" si="214"/>
        <v>0</v>
      </c>
    </row>
    <row r="594" spans="1:33">
      <c r="A594" s="265">
        <v>25100003</v>
      </c>
      <c r="B594" s="265" t="s">
        <v>549</v>
      </c>
      <c r="C594" s="265" t="s">
        <v>842</v>
      </c>
      <c r="D594" s="265">
        <v>100000002</v>
      </c>
      <c r="E594" s="265" t="s">
        <v>50</v>
      </c>
      <c r="F594" s="265" t="s">
        <v>301</v>
      </c>
      <c r="G594" s="266">
        <v>10000000</v>
      </c>
      <c r="H594" s="266">
        <v>14289797.08</v>
      </c>
      <c r="I594" s="268">
        <v>45924</v>
      </c>
      <c r="J594" s="268">
        <v>46106</v>
      </c>
      <c r="K594" s="268">
        <v>46106</v>
      </c>
      <c r="L594" s="224" t="str">
        <f t="shared" si="194"/>
        <v>25100003_USD_100000002_NONGHYUP BANK</v>
      </c>
      <c r="M594" s="221">
        <f t="shared" si="195"/>
        <v>14289797.08</v>
      </c>
      <c r="N594" s="24">
        <f>IF(OR(L594=$L$2,L594=$L$3),$M$10+1,IFERROR(VLOOKUP(A594,'Repricing Maturity Adj.'!$A$3:$C$170,3,0),(IF(K594&lt;$M$10,"Check",K594))))</f>
        <v>46106</v>
      </c>
      <c r="O594" s="62" t="b">
        <f t="shared" si="196"/>
        <v>1</v>
      </c>
      <c r="P594" s="63" t="str">
        <f t="shared" si="197"/>
        <v>Liability</v>
      </c>
      <c r="Q594" s="25">
        <f t="shared" si="198"/>
        <v>0</v>
      </c>
      <c r="R594" s="25">
        <f t="shared" si="199"/>
        <v>14289797.08</v>
      </c>
      <c r="S594" s="25">
        <f t="shared" si="200"/>
        <v>0</v>
      </c>
      <c r="T594" s="25">
        <f t="shared" si="201"/>
        <v>0</v>
      </c>
      <c r="U594" s="25">
        <f t="shared" si="202"/>
        <v>0</v>
      </c>
      <c r="V594" s="25">
        <f t="shared" si="203"/>
        <v>0</v>
      </c>
      <c r="W594" s="25">
        <f t="shared" si="204"/>
        <v>0</v>
      </c>
      <c r="X594" s="64">
        <f t="shared" si="205"/>
        <v>0</v>
      </c>
      <c r="Y594" s="64">
        <f t="shared" si="206"/>
        <v>0</v>
      </c>
      <c r="Z594" s="64">
        <f t="shared" si="207"/>
        <v>0</v>
      </c>
      <c r="AA594" s="64">
        <f t="shared" si="208"/>
        <v>0</v>
      </c>
      <c r="AB594" s="64">
        <f t="shared" si="209"/>
        <v>0</v>
      </c>
      <c r="AC594" s="64">
        <f t="shared" si="210"/>
        <v>0</v>
      </c>
      <c r="AD594" s="64">
        <f t="shared" si="211"/>
        <v>0</v>
      </c>
      <c r="AE594" s="64">
        <f t="shared" si="212"/>
        <v>0</v>
      </c>
      <c r="AF594" s="64">
        <f t="shared" si="213"/>
        <v>0</v>
      </c>
      <c r="AG594" s="29">
        <f t="shared" si="214"/>
        <v>0</v>
      </c>
    </row>
    <row r="595" spans="1:33">
      <c r="A595" s="265">
        <v>25100003</v>
      </c>
      <c r="B595" s="265" t="s">
        <v>549</v>
      </c>
      <c r="C595" s="265" t="s">
        <v>855</v>
      </c>
      <c r="D595" s="265">
        <v>100000002</v>
      </c>
      <c r="E595" s="265" t="s">
        <v>50</v>
      </c>
      <c r="F595" s="265" t="s">
        <v>301</v>
      </c>
      <c r="G595" s="266">
        <v>17000000</v>
      </c>
      <c r="H595" s="266">
        <v>24292655.039999999</v>
      </c>
      <c r="I595" s="268">
        <v>45959</v>
      </c>
      <c r="J595" s="268">
        <v>46106</v>
      </c>
      <c r="K595" s="268">
        <v>46106</v>
      </c>
      <c r="L595" s="224" t="str">
        <f t="shared" si="194"/>
        <v>25100003_USD_100000002_NONGHYUP BANK</v>
      </c>
      <c r="M595" s="221">
        <f t="shared" si="195"/>
        <v>24292655.039999999</v>
      </c>
      <c r="N595" s="24">
        <f>IF(OR(L595=$L$2,L595=$L$3),$M$10+1,IFERROR(VLOOKUP(A595,'Repricing Maturity Adj.'!$A$3:$C$170,3,0),(IF(K595&lt;$M$10,"Check",K595))))</f>
        <v>46106</v>
      </c>
      <c r="O595" s="62" t="b">
        <f t="shared" si="196"/>
        <v>1</v>
      </c>
      <c r="P595" s="63" t="str">
        <f t="shared" si="197"/>
        <v>Liability</v>
      </c>
      <c r="Q595" s="25">
        <f t="shared" si="198"/>
        <v>0</v>
      </c>
      <c r="R595" s="25">
        <f t="shared" si="199"/>
        <v>24292655.039999999</v>
      </c>
      <c r="S595" s="25">
        <f t="shared" si="200"/>
        <v>0</v>
      </c>
      <c r="T595" s="25">
        <f t="shared" si="201"/>
        <v>0</v>
      </c>
      <c r="U595" s="25">
        <f t="shared" si="202"/>
        <v>0</v>
      </c>
      <c r="V595" s="25">
        <f t="shared" si="203"/>
        <v>0</v>
      </c>
      <c r="W595" s="25">
        <f t="shared" si="204"/>
        <v>0</v>
      </c>
      <c r="X595" s="64">
        <f t="shared" si="205"/>
        <v>0</v>
      </c>
      <c r="Y595" s="64">
        <f t="shared" si="206"/>
        <v>0</v>
      </c>
      <c r="Z595" s="64">
        <f t="shared" si="207"/>
        <v>0</v>
      </c>
      <c r="AA595" s="64">
        <f t="shared" si="208"/>
        <v>0</v>
      </c>
      <c r="AB595" s="64">
        <f t="shared" si="209"/>
        <v>0</v>
      </c>
      <c r="AC595" s="64">
        <f t="shared" si="210"/>
        <v>0</v>
      </c>
      <c r="AD595" s="64">
        <f t="shared" si="211"/>
        <v>0</v>
      </c>
      <c r="AE595" s="64">
        <f t="shared" si="212"/>
        <v>0</v>
      </c>
      <c r="AF595" s="64">
        <f t="shared" si="213"/>
        <v>0</v>
      </c>
      <c r="AG595" s="29">
        <f t="shared" si="214"/>
        <v>0</v>
      </c>
    </row>
    <row r="596" spans="1:33">
      <c r="A596" s="265">
        <v>25100003</v>
      </c>
      <c r="B596" s="265" t="s">
        <v>549</v>
      </c>
      <c r="C596" s="265" t="s">
        <v>870</v>
      </c>
      <c r="D596" s="265">
        <v>100000002</v>
      </c>
      <c r="E596" s="265" t="s">
        <v>50</v>
      </c>
      <c r="F596" s="265" t="s">
        <v>301</v>
      </c>
      <c r="G596" s="266">
        <v>10000000</v>
      </c>
      <c r="H596" s="266">
        <v>14289797.08</v>
      </c>
      <c r="I596" s="268">
        <v>45974</v>
      </c>
      <c r="J596" s="268">
        <v>46155</v>
      </c>
      <c r="K596" s="268">
        <v>46155</v>
      </c>
      <c r="L596" s="224" t="str">
        <f t="shared" si="194"/>
        <v>25100003_USD_100000002_NONGHYUP BANK</v>
      </c>
      <c r="M596" s="221">
        <f t="shared" si="195"/>
        <v>14289797.08</v>
      </c>
      <c r="N596" s="24">
        <f>IF(OR(L596=$L$2,L596=$L$3),$M$10+1,IFERROR(VLOOKUP(A596,'Repricing Maturity Adj.'!$A$3:$C$170,3,0),(IF(K596&lt;$M$10,"Check",K596))))</f>
        <v>46155</v>
      </c>
      <c r="O596" s="62" t="b">
        <f t="shared" si="196"/>
        <v>1</v>
      </c>
      <c r="P596" s="63" t="str">
        <f t="shared" si="197"/>
        <v>Liability</v>
      </c>
      <c r="Q596" s="25">
        <f t="shared" si="198"/>
        <v>0</v>
      </c>
      <c r="R596" s="25">
        <f t="shared" si="199"/>
        <v>0</v>
      </c>
      <c r="S596" s="25">
        <f t="shared" si="200"/>
        <v>0</v>
      </c>
      <c r="T596" s="25">
        <f t="shared" si="201"/>
        <v>14289797.08</v>
      </c>
      <c r="U596" s="25">
        <f t="shared" si="202"/>
        <v>0</v>
      </c>
      <c r="V596" s="25">
        <f t="shared" si="203"/>
        <v>0</v>
      </c>
      <c r="W596" s="25">
        <f t="shared" si="204"/>
        <v>0</v>
      </c>
      <c r="X596" s="64">
        <f t="shared" si="205"/>
        <v>0</v>
      </c>
      <c r="Y596" s="64">
        <f t="shared" si="206"/>
        <v>0</v>
      </c>
      <c r="Z596" s="64">
        <f t="shared" si="207"/>
        <v>0</v>
      </c>
      <c r="AA596" s="64">
        <f t="shared" si="208"/>
        <v>0</v>
      </c>
      <c r="AB596" s="64">
        <f t="shared" si="209"/>
        <v>0</v>
      </c>
      <c r="AC596" s="64">
        <f t="shared" si="210"/>
        <v>0</v>
      </c>
      <c r="AD596" s="64">
        <f t="shared" si="211"/>
        <v>0</v>
      </c>
      <c r="AE596" s="64">
        <f t="shared" si="212"/>
        <v>0</v>
      </c>
      <c r="AF596" s="64">
        <f t="shared" si="213"/>
        <v>0</v>
      </c>
      <c r="AG596" s="29">
        <f t="shared" si="214"/>
        <v>0</v>
      </c>
    </row>
    <row r="597" spans="1:33">
      <c r="A597" s="265">
        <v>25100003</v>
      </c>
      <c r="B597" s="265" t="s">
        <v>549</v>
      </c>
      <c r="C597" s="265" t="s">
        <v>878</v>
      </c>
      <c r="D597" s="265">
        <v>100000002</v>
      </c>
      <c r="E597" s="265" t="s">
        <v>50</v>
      </c>
      <c r="F597" s="265" t="s">
        <v>301</v>
      </c>
      <c r="G597" s="266">
        <v>7000000</v>
      </c>
      <c r="H597" s="266">
        <v>10002857.960000001</v>
      </c>
      <c r="I597" s="268">
        <v>46015</v>
      </c>
      <c r="J597" s="268">
        <v>46141</v>
      </c>
      <c r="K597" s="268">
        <v>46141</v>
      </c>
      <c r="L597" s="224" t="str">
        <f t="shared" si="194"/>
        <v>25100003_USD_100000002_NONGHYUP BANK</v>
      </c>
      <c r="M597" s="221">
        <f t="shared" si="195"/>
        <v>10002857.960000001</v>
      </c>
      <c r="N597" s="24">
        <f>IF(OR(L597=$L$2,L597=$L$3),$M$10+1,IFERROR(VLOOKUP(A597,'Repricing Maturity Adj.'!$A$3:$C$170,3,0),(IF(K597&lt;$M$10,"Check",K597))))</f>
        <v>46141</v>
      </c>
      <c r="O597" s="62" t="b">
        <f t="shared" si="196"/>
        <v>1</v>
      </c>
      <c r="P597" s="63" t="str">
        <f t="shared" si="197"/>
        <v>Liability</v>
      </c>
      <c r="Q597" s="25">
        <f t="shared" si="198"/>
        <v>0</v>
      </c>
      <c r="R597" s="25">
        <f t="shared" si="199"/>
        <v>0</v>
      </c>
      <c r="S597" s="25">
        <f t="shared" si="200"/>
        <v>10002857.960000001</v>
      </c>
      <c r="T597" s="25">
        <f t="shared" si="201"/>
        <v>0</v>
      </c>
      <c r="U597" s="25">
        <f t="shared" si="202"/>
        <v>0</v>
      </c>
      <c r="V597" s="25">
        <f t="shared" si="203"/>
        <v>0</v>
      </c>
      <c r="W597" s="25">
        <f t="shared" si="204"/>
        <v>0</v>
      </c>
      <c r="X597" s="64">
        <f t="shared" si="205"/>
        <v>0</v>
      </c>
      <c r="Y597" s="64">
        <f t="shared" si="206"/>
        <v>0</v>
      </c>
      <c r="Z597" s="64">
        <f t="shared" si="207"/>
        <v>0</v>
      </c>
      <c r="AA597" s="64">
        <f t="shared" si="208"/>
        <v>0</v>
      </c>
      <c r="AB597" s="64">
        <f t="shared" si="209"/>
        <v>0</v>
      </c>
      <c r="AC597" s="64">
        <f t="shared" si="210"/>
        <v>0</v>
      </c>
      <c r="AD597" s="64">
        <f t="shared" si="211"/>
        <v>0</v>
      </c>
      <c r="AE597" s="64">
        <f t="shared" si="212"/>
        <v>0</v>
      </c>
      <c r="AF597" s="64">
        <f t="shared" si="213"/>
        <v>0</v>
      </c>
      <c r="AG597" s="29">
        <f t="shared" si="214"/>
        <v>0</v>
      </c>
    </row>
    <row r="598" spans="1:33">
      <c r="A598" s="265">
        <v>25100003</v>
      </c>
      <c r="B598" s="265" t="s">
        <v>549</v>
      </c>
      <c r="C598" s="265" t="s">
        <v>879</v>
      </c>
      <c r="D598" s="265">
        <v>100000002</v>
      </c>
      <c r="E598" s="265" t="s">
        <v>50</v>
      </c>
      <c r="F598" s="265" t="s">
        <v>301</v>
      </c>
      <c r="G598" s="266">
        <v>5000000</v>
      </c>
      <c r="H598" s="266">
        <v>7144898.54</v>
      </c>
      <c r="I598" s="268">
        <v>46015</v>
      </c>
      <c r="J598" s="268">
        <v>46169</v>
      </c>
      <c r="K598" s="268">
        <v>46169</v>
      </c>
      <c r="L598" s="224" t="str">
        <f t="shared" si="194"/>
        <v>25100003_USD_100000002_NONGHYUP BANK</v>
      </c>
      <c r="M598" s="221">
        <f t="shared" si="195"/>
        <v>7144898.54</v>
      </c>
      <c r="N598" s="24">
        <f>IF(OR(L598=$L$2,L598=$L$3),$M$10+1,IFERROR(VLOOKUP(A598,'Repricing Maturity Adj.'!$A$3:$C$170,3,0),(IF(K598&lt;$M$10,"Check",K598))))</f>
        <v>46169</v>
      </c>
      <c r="O598" s="62" t="b">
        <f t="shared" si="196"/>
        <v>1</v>
      </c>
      <c r="P598" s="63" t="str">
        <f t="shared" si="197"/>
        <v>Liability</v>
      </c>
      <c r="Q598" s="25">
        <f t="shared" si="198"/>
        <v>0</v>
      </c>
      <c r="R598" s="25">
        <f t="shared" si="199"/>
        <v>0</v>
      </c>
      <c r="S598" s="25">
        <f t="shared" si="200"/>
        <v>0</v>
      </c>
      <c r="T598" s="25">
        <f t="shared" si="201"/>
        <v>7144898.54</v>
      </c>
      <c r="U598" s="25">
        <f t="shared" si="202"/>
        <v>0</v>
      </c>
      <c r="V598" s="25">
        <f t="shared" si="203"/>
        <v>0</v>
      </c>
      <c r="W598" s="25">
        <f t="shared" si="204"/>
        <v>0</v>
      </c>
      <c r="X598" s="64">
        <f t="shared" si="205"/>
        <v>0</v>
      </c>
      <c r="Y598" s="64">
        <f t="shared" si="206"/>
        <v>0</v>
      </c>
      <c r="Z598" s="64">
        <f t="shared" si="207"/>
        <v>0</v>
      </c>
      <c r="AA598" s="64">
        <f t="shared" si="208"/>
        <v>0</v>
      </c>
      <c r="AB598" s="64">
        <f t="shared" si="209"/>
        <v>0</v>
      </c>
      <c r="AC598" s="64">
        <f t="shared" si="210"/>
        <v>0</v>
      </c>
      <c r="AD598" s="64">
        <f t="shared" si="211"/>
        <v>0</v>
      </c>
      <c r="AE598" s="64">
        <f t="shared" si="212"/>
        <v>0</v>
      </c>
      <c r="AF598" s="64">
        <f t="shared" si="213"/>
        <v>0</v>
      </c>
      <c r="AG598" s="29">
        <f t="shared" si="214"/>
        <v>0</v>
      </c>
    </row>
    <row r="599" spans="1:33">
      <c r="A599" s="265">
        <v>25100003</v>
      </c>
      <c r="B599" s="265" t="s">
        <v>549</v>
      </c>
      <c r="C599" s="265" t="s">
        <v>887</v>
      </c>
      <c r="D599" s="265">
        <v>100000002</v>
      </c>
      <c r="E599" s="265" t="s">
        <v>50</v>
      </c>
      <c r="F599" s="265" t="s">
        <v>301</v>
      </c>
      <c r="G599" s="266">
        <v>7000000</v>
      </c>
      <c r="H599" s="266">
        <v>10002857.960000001</v>
      </c>
      <c r="I599" s="268">
        <v>46029</v>
      </c>
      <c r="J599" s="268">
        <v>46155</v>
      </c>
      <c r="K599" s="268">
        <v>46155</v>
      </c>
      <c r="L599" s="224" t="str">
        <f t="shared" si="194"/>
        <v>25100003_USD_100000002_NONGHYUP BANK</v>
      </c>
      <c r="M599" s="221">
        <f t="shared" si="195"/>
        <v>10002857.960000001</v>
      </c>
      <c r="N599" s="24">
        <f>IF(OR(L599=$L$2,L599=$L$3),$M$10+1,IFERROR(VLOOKUP(A599,'Repricing Maturity Adj.'!$A$3:$C$170,3,0),(IF(K599&lt;$M$10,"Check",K599))))</f>
        <v>46155</v>
      </c>
      <c r="O599" s="62" t="b">
        <f t="shared" si="196"/>
        <v>1</v>
      </c>
      <c r="P599" s="63" t="str">
        <f t="shared" si="197"/>
        <v>Liability</v>
      </c>
      <c r="Q599" s="25">
        <f t="shared" si="198"/>
        <v>0</v>
      </c>
      <c r="R599" s="25">
        <f t="shared" si="199"/>
        <v>0</v>
      </c>
      <c r="S599" s="25">
        <f t="shared" si="200"/>
        <v>0</v>
      </c>
      <c r="T599" s="25">
        <f t="shared" si="201"/>
        <v>10002857.960000001</v>
      </c>
      <c r="U599" s="25">
        <f t="shared" si="202"/>
        <v>0</v>
      </c>
      <c r="V599" s="25">
        <f t="shared" si="203"/>
        <v>0</v>
      </c>
      <c r="W599" s="25">
        <f t="shared" si="204"/>
        <v>0</v>
      </c>
      <c r="X599" s="64">
        <f t="shared" si="205"/>
        <v>0</v>
      </c>
      <c r="Y599" s="64">
        <f t="shared" si="206"/>
        <v>0</v>
      </c>
      <c r="Z599" s="64">
        <f t="shared" si="207"/>
        <v>0</v>
      </c>
      <c r="AA599" s="64">
        <f t="shared" si="208"/>
        <v>0</v>
      </c>
      <c r="AB599" s="64">
        <f t="shared" si="209"/>
        <v>0</v>
      </c>
      <c r="AC599" s="64">
        <f t="shared" si="210"/>
        <v>0</v>
      </c>
      <c r="AD599" s="64">
        <f t="shared" si="211"/>
        <v>0</v>
      </c>
      <c r="AE599" s="64">
        <f t="shared" si="212"/>
        <v>0</v>
      </c>
      <c r="AF599" s="64">
        <f t="shared" si="213"/>
        <v>0</v>
      </c>
      <c r="AG599" s="29">
        <f t="shared" si="214"/>
        <v>0</v>
      </c>
    </row>
    <row r="600" spans="1:33">
      <c r="A600" s="265">
        <v>25100003</v>
      </c>
      <c r="B600" s="265" t="s">
        <v>549</v>
      </c>
      <c r="C600" s="265" t="s">
        <v>934</v>
      </c>
      <c r="D600" s="265">
        <v>100000002</v>
      </c>
      <c r="E600" s="265" t="s">
        <v>50</v>
      </c>
      <c r="F600" s="265" t="s">
        <v>301</v>
      </c>
      <c r="G600" s="266">
        <v>9000000</v>
      </c>
      <c r="H600" s="266">
        <v>12860817.380000001</v>
      </c>
      <c r="I600" s="268">
        <v>46058</v>
      </c>
      <c r="J600" s="268">
        <v>46253</v>
      </c>
      <c r="K600" s="268">
        <v>46253</v>
      </c>
      <c r="L600" s="224" t="str">
        <f t="shared" si="194"/>
        <v>25100003_USD_100000002_NONGHYUP BANK</v>
      </c>
      <c r="M600" s="221">
        <f t="shared" si="195"/>
        <v>12860817.380000001</v>
      </c>
      <c r="N600" s="24">
        <f>IF(OR(L600=$L$2,L600=$L$3),$M$10+1,IFERROR(VLOOKUP(A600,'Repricing Maturity Adj.'!$A$3:$C$170,3,0),(IF(K600&lt;$M$10,"Check",K600))))</f>
        <v>46253</v>
      </c>
      <c r="O600" s="62" t="b">
        <f t="shared" si="196"/>
        <v>1</v>
      </c>
      <c r="P600" s="63" t="str">
        <f t="shared" si="197"/>
        <v>Liability</v>
      </c>
      <c r="Q600" s="25">
        <f t="shared" si="198"/>
        <v>0</v>
      </c>
      <c r="R600" s="25">
        <f t="shared" si="199"/>
        <v>0</v>
      </c>
      <c r="S600" s="25">
        <f t="shared" si="200"/>
        <v>0</v>
      </c>
      <c r="T600" s="25">
        <f t="shared" si="201"/>
        <v>0</v>
      </c>
      <c r="U600" s="25">
        <f t="shared" si="202"/>
        <v>12860817.380000001</v>
      </c>
      <c r="V600" s="25">
        <f t="shared" si="203"/>
        <v>0</v>
      </c>
      <c r="W600" s="25">
        <f t="shared" si="204"/>
        <v>0</v>
      </c>
      <c r="X600" s="64">
        <f t="shared" si="205"/>
        <v>0</v>
      </c>
      <c r="Y600" s="64">
        <f t="shared" si="206"/>
        <v>0</v>
      </c>
      <c r="Z600" s="64">
        <f t="shared" si="207"/>
        <v>0</v>
      </c>
      <c r="AA600" s="64">
        <f t="shared" si="208"/>
        <v>0</v>
      </c>
      <c r="AB600" s="64">
        <f t="shared" si="209"/>
        <v>0</v>
      </c>
      <c r="AC600" s="64">
        <f t="shared" si="210"/>
        <v>0</v>
      </c>
      <c r="AD600" s="64">
        <f t="shared" si="211"/>
        <v>0</v>
      </c>
      <c r="AE600" s="64">
        <f t="shared" si="212"/>
        <v>0</v>
      </c>
      <c r="AF600" s="64">
        <f t="shared" si="213"/>
        <v>0</v>
      </c>
      <c r="AG600" s="29">
        <f t="shared" si="214"/>
        <v>0</v>
      </c>
    </row>
    <row r="601" spans="1:33">
      <c r="A601" s="265">
        <v>25100003</v>
      </c>
      <c r="B601" s="265" t="s">
        <v>549</v>
      </c>
      <c r="C601" s="265" t="s">
        <v>935</v>
      </c>
      <c r="D601" s="265">
        <v>100000002</v>
      </c>
      <c r="E601" s="265" t="s">
        <v>50</v>
      </c>
      <c r="F601" s="265" t="s">
        <v>301</v>
      </c>
      <c r="G601" s="266">
        <v>2000000</v>
      </c>
      <c r="H601" s="266">
        <v>2857959.42</v>
      </c>
      <c r="I601" s="268">
        <v>46058</v>
      </c>
      <c r="J601" s="268">
        <v>46253</v>
      </c>
      <c r="K601" s="268">
        <v>46253</v>
      </c>
      <c r="L601" s="224" t="str">
        <f t="shared" si="194"/>
        <v>25100003_USD_100000002_NONGHYUP BANK</v>
      </c>
      <c r="M601" s="221">
        <f t="shared" si="195"/>
        <v>2857959.42</v>
      </c>
      <c r="N601" s="24">
        <f>IF(OR(L601=$L$2,L601=$L$3),$M$10+1,IFERROR(VLOOKUP(A601,'Repricing Maturity Adj.'!$A$3:$C$170,3,0),(IF(K601&lt;$M$10,"Check",K601))))</f>
        <v>46253</v>
      </c>
      <c r="O601" s="62" t="b">
        <f t="shared" si="196"/>
        <v>1</v>
      </c>
      <c r="P601" s="63" t="str">
        <f t="shared" si="197"/>
        <v>Liability</v>
      </c>
      <c r="Q601" s="25">
        <f t="shared" si="198"/>
        <v>0</v>
      </c>
      <c r="R601" s="25">
        <f t="shared" si="199"/>
        <v>0</v>
      </c>
      <c r="S601" s="25">
        <f t="shared" si="200"/>
        <v>0</v>
      </c>
      <c r="T601" s="25">
        <f t="shared" si="201"/>
        <v>0</v>
      </c>
      <c r="U601" s="25">
        <f t="shared" si="202"/>
        <v>2857959.42</v>
      </c>
      <c r="V601" s="25">
        <f t="shared" si="203"/>
        <v>0</v>
      </c>
      <c r="W601" s="25">
        <f t="shared" si="204"/>
        <v>0</v>
      </c>
      <c r="X601" s="64">
        <f t="shared" si="205"/>
        <v>0</v>
      </c>
      <c r="Y601" s="64">
        <f t="shared" si="206"/>
        <v>0</v>
      </c>
      <c r="Z601" s="64">
        <f t="shared" si="207"/>
        <v>0</v>
      </c>
      <c r="AA601" s="64">
        <f t="shared" si="208"/>
        <v>0</v>
      </c>
      <c r="AB601" s="64">
        <f t="shared" si="209"/>
        <v>0</v>
      </c>
      <c r="AC601" s="64">
        <f t="shared" si="210"/>
        <v>0</v>
      </c>
      <c r="AD601" s="64">
        <f t="shared" si="211"/>
        <v>0</v>
      </c>
      <c r="AE601" s="64">
        <f t="shared" si="212"/>
        <v>0</v>
      </c>
      <c r="AF601" s="64">
        <f t="shared" si="213"/>
        <v>0</v>
      </c>
      <c r="AG601" s="29">
        <f t="shared" si="214"/>
        <v>0</v>
      </c>
    </row>
    <row r="602" spans="1:33">
      <c r="A602" s="265">
        <v>28810002</v>
      </c>
      <c r="B602" s="265" t="s">
        <v>629</v>
      </c>
      <c r="C602" s="265" t="s">
        <v>907</v>
      </c>
      <c r="D602" s="265">
        <v>100000001</v>
      </c>
      <c r="E602" s="265" t="s">
        <v>51</v>
      </c>
      <c r="F602" s="265" t="s">
        <v>301</v>
      </c>
      <c r="G602" s="266">
        <v>312515.98</v>
      </c>
      <c r="H602" s="266">
        <v>446578.99</v>
      </c>
      <c r="I602" s="267"/>
      <c r="J602" s="267"/>
      <c r="K602" s="267"/>
      <c r="L602" s="224" t="str">
        <f t="shared" si="194"/>
        <v>28810002_USD_100000001_NONGHYUP BANK SYDNEY BRANCH</v>
      </c>
      <c r="M602" s="221">
        <f t="shared" si="195"/>
        <v>446578.99</v>
      </c>
      <c r="N602" s="24" t="str">
        <f>IF(OR(L602=$L$2,L602=$L$3),$M$10+1,IFERROR(VLOOKUP(A602,'Repricing Maturity Adj.'!$A$3:$C$170,3,0),(IF(K602&lt;$M$10,"Check",K602))))</f>
        <v>Non_sensitive</v>
      </c>
      <c r="O602" s="62" t="b">
        <f t="shared" si="196"/>
        <v>1</v>
      </c>
      <c r="P602" s="63" t="str">
        <f t="shared" si="197"/>
        <v>Equity</v>
      </c>
      <c r="Q602" s="25">
        <f t="shared" si="198"/>
        <v>0</v>
      </c>
      <c r="R602" s="25">
        <f t="shared" si="199"/>
        <v>0</v>
      </c>
      <c r="S602" s="25">
        <f t="shared" si="200"/>
        <v>0</v>
      </c>
      <c r="T602" s="25">
        <f t="shared" si="201"/>
        <v>0</v>
      </c>
      <c r="U602" s="25">
        <f t="shared" si="202"/>
        <v>0</v>
      </c>
      <c r="V602" s="25">
        <f t="shared" si="203"/>
        <v>0</v>
      </c>
      <c r="W602" s="25">
        <f t="shared" si="204"/>
        <v>0</v>
      </c>
      <c r="X602" s="64">
        <f t="shared" si="205"/>
        <v>0</v>
      </c>
      <c r="Y602" s="64">
        <f t="shared" si="206"/>
        <v>0</v>
      </c>
      <c r="Z602" s="64">
        <f t="shared" si="207"/>
        <v>0</v>
      </c>
      <c r="AA602" s="64">
        <f t="shared" si="208"/>
        <v>0</v>
      </c>
      <c r="AB602" s="64">
        <f t="shared" si="209"/>
        <v>0</v>
      </c>
      <c r="AC602" s="64">
        <f t="shared" si="210"/>
        <v>0</v>
      </c>
      <c r="AD602" s="64">
        <f t="shared" si="211"/>
        <v>0</v>
      </c>
      <c r="AE602" s="64">
        <f t="shared" si="212"/>
        <v>0</v>
      </c>
      <c r="AF602" s="64">
        <f t="shared" si="213"/>
        <v>0</v>
      </c>
      <c r="AG602" s="29">
        <f t="shared" si="214"/>
        <v>446578.99</v>
      </c>
    </row>
    <row r="603" spans="1:33">
      <c r="A603" s="265">
        <v>28810002</v>
      </c>
      <c r="B603" s="265" t="s">
        <v>629</v>
      </c>
      <c r="C603" s="265" t="s">
        <v>908</v>
      </c>
      <c r="D603" s="265">
        <v>100000001</v>
      </c>
      <c r="E603" s="265" t="s">
        <v>51</v>
      </c>
      <c r="F603" s="265" t="s">
        <v>301</v>
      </c>
      <c r="G603" s="266">
        <v>3808572.39</v>
      </c>
      <c r="H603" s="266">
        <v>5442372.6600000001</v>
      </c>
      <c r="I603" s="267"/>
      <c r="J603" s="267"/>
      <c r="K603" s="267"/>
      <c r="L603" s="224" t="str">
        <f t="shared" si="194"/>
        <v>28810002_USD_100000001_NONGHYUP BANK SYDNEY BRANCH</v>
      </c>
      <c r="M603" s="221">
        <f t="shared" si="195"/>
        <v>5442372.6600000001</v>
      </c>
      <c r="N603" s="24" t="str">
        <f>IF(OR(L603=$L$2,L603=$L$3),$M$10+1,IFERROR(VLOOKUP(A603,'Repricing Maturity Adj.'!$A$3:$C$170,3,0),(IF(K603&lt;$M$10,"Check",K603))))</f>
        <v>Non_sensitive</v>
      </c>
      <c r="O603" s="62" t="b">
        <f t="shared" si="196"/>
        <v>1</v>
      </c>
      <c r="P603" s="63" t="str">
        <f t="shared" si="197"/>
        <v>Equity</v>
      </c>
      <c r="Q603" s="25">
        <f t="shared" si="198"/>
        <v>0</v>
      </c>
      <c r="R603" s="25">
        <f t="shared" si="199"/>
        <v>0</v>
      </c>
      <c r="S603" s="25">
        <f t="shared" si="200"/>
        <v>0</v>
      </c>
      <c r="T603" s="25">
        <f t="shared" si="201"/>
        <v>0</v>
      </c>
      <c r="U603" s="25">
        <f t="shared" si="202"/>
        <v>0</v>
      </c>
      <c r="V603" s="25">
        <f t="shared" si="203"/>
        <v>0</v>
      </c>
      <c r="W603" s="25">
        <f t="shared" si="204"/>
        <v>0</v>
      </c>
      <c r="X603" s="64">
        <f t="shared" si="205"/>
        <v>0</v>
      </c>
      <c r="Y603" s="64">
        <f t="shared" si="206"/>
        <v>0</v>
      </c>
      <c r="Z603" s="64">
        <f t="shared" si="207"/>
        <v>0</v>
      </c>
      <c r="AA603" s="64">
        <f t="shared" si="208"/>
        <v>0</v>
      </c>
      <c r="AB603" s="64">
        <f t="shared" si="209"/>
        <v>0</v>
      </c>
      <c r="AC603" s="64">
        <f t="shared" si="210"/>
        <v>0</v>
      </c>
      <c r="AD603" s="64">
        <f t="shared" si="211"/>
        <v>0</v>
      </c>
      <c r="AE603" s="64">
        <f t="shared" si="212"/>
        <v>0</v>
      </c>
      <c r="AF603" s="64">
        <f t="shared" si="213"/>
        <v>0</v>
      </c>
      <c r="AG603" s="29">
        <f t="shared" si="214"/>
        <v>5442372.6600000001</v>
      </c>
    </row>
    <row r="604" spans="1:33">
      <c r="A604" s="265">
        <v>28810002</v>
      </c>
      <c r="B604" s="265" t="s">
        <v>629</v>
      </c>
      <c r="C604" s="265" t="s">
        <v>909</v>
      </c>
      <c r="D604" s="265">
        <v>100000001</v>
      </c>
      <c r="E604" s="265" t="s">
        <v>51</v>
      </c>
      <c r="F604" s="265" t="s">
        <v>0</v>
      </c>
      <c r="G604" s="266">
        <v>215804.71</v>
      </c>
      <c r="H604" s="266">
        <v>215804.71</v>
      </c>
      <c r="I604" s="267"/>
      <c r="J604" s="267"/>
      <c r="K604" s="267"/>
      <c r="L604" s="224" t="str">
        <f t="shared" si="194"/>
        <v>28810002_AUD_100000001_NONGHYUP BANK SYDNEY BRANCH</v>
      </c>
      <c r="M604" s="221">
        <f t="shared" si="195"/>
        <v>215804.71</v>
      </c>
      <c r="N604" s="24" t="str">
        <f>IF(OR(L604=$L$2,L604=$L$3),$M$10+1,IFERROR(VLOOKUP(A604,'Repricing Maturity Adj.'!$A$3:$C$170,3,0),(IF(K604&lt;$M$10,"Check",K604))))</f>
        <v>Non_sensitive</v>
      </c>
      <c r="O604" s="62" t="b">
        <f t="shared" si="196"/>
        <v>1</v>
      </c>
      <c r="P604" s="63" t="str">
        <f t="shared" si="197"/>
        <v>Equity</v>
      </c>
      <c r="Q604" s="25">
        <f t="shared" si="198"/>
        <v>0</v>
      </c>
      <c r="R604" s="25">
        <f t="shared" si="199"/>
        <v>0</v>
      </c>
      <c r="S604" s="25">
        <f t="shared" si="200"/>
        <v>0</v>
      </c>
      <c r="T604" s="25">
        <f t="shared" si="201"/>
        <v>0</v>
      </c>
      <c r="U604" s="25">
        <f t="shared" si="202"/>
        <v>0</v>
      </c>
      <c r="V604" s="25">
        <f t="shared" si="203"/>
        <v>0</v>
      </c>
      <c r="W604" s="25">
        <f t="shared" si="204"/>
        <v>0</v>
      </c>
      <c r="X604" s="64">
        <f t="shared" si="205"/>
        <v>0</v>
      </c>
      <c r="Y604" s="64">
        <f t="shared" si="206"/>
        <v>0</v>
      </c>
      <c r="Z604" s="64">
        <f t="shared" si="207"/>
        <v>0</v>
      </c>
      <c r="AA604" s="64">
        <f t="shared" si="208"/>
        <v>0</v>
      </c>
      <c r="AB604" s="64">
        <f t="shared" si="209"/>
        <v>0</v>
      </c>
      <c r="AC604" s="64">
        <f t="shared" si="210"/>
        <v>0</v>
      </c>
      <c r="AD604" s="64">
        <f t="shared" si="211"/>
        <v>0</v>
      </c>
      <c r="AE604" s="64">
        <f t="shared" si="212"/>
        <v>0</v>
      </c>
      <c r="AF604" s="64">
        <f t="shared" si="213"/>
        <v>0</v>
      </c>
      <c r="AG604" s="29">
        <f t="shared" si="214"/>
        <v>215804.71</v>
      </c>
    </row>
    <row r="605" spans="1:33">
      <c r="A605" s="265">
        <v>28810002</v>
      </c>
      <c r="B605" s="265" t="s">
        <v>629</v>
      </c>
      <c r="C605" s="265" t="s">
        <v>910</v>
      </c>
      <c r="D605" s="265">
        <v>100000001</v>
      </c>
      <c r="E605" s="265" t="s">
        <v>51</v>
      </c>
      <c r="F605" s="265" t="s">
        <v>301</v>
      </c>
      <c r="G605" s="266">
        <v>6423443.9500000002</v>
      </c>
      <c r="H605" s="266">
        <v>9178971.0600000005</v>
      </c>
      <c r="I605" s="267"/>
      <c r="J605" s="267"/>
      <c r="K605" s="267"/>
      <c r="L605" s="224" t="str">
        <f t="shared" ref="L605:L625" si="215">A605&amp;"_"&amp;F605&amp;"_"&amp;D605&amp;"_"&amp;E605</f>
        <v>28810002_USD_100000001_NONGHYUP BANK SYDNEY BRANCH</v>
      </c>
      <c r="M605" s="221">
        <f t="shared" ref="M605:M625" si="216">IF(COUNTIF($A$2:$A$8,A605)&gt;0,-H605,H605)</f>
        <v>9178971.0600000005</v>
      </c>
      <c r="N605" s="24" t="str">
        <f>IF(OR(L605=$L$2,L605=$L$3),$M$10+1,IFERROR(VLOOKUP(A605,'Repricing Maturity Adj.'!$A$3:$C$170,3,0),(IF(K605&lt;$M$10,"Check",K605))))</f>
        <v>Non_sensitive</v>
      </c>
      <c r="O605" s="62" t="b">
        <f t="shared" ref="O605:O625" si="217">M605=SUM(Q605:AG605)</f>
        <v>1</v>
      </c>
      <c r="P605" s="63" t="str">
        <f t="shared" ref="P605:P625" si="218">IF(A605="","N/A",IF(COUNTIF($A$2:$A$7,A605)&gt;0,"Liability",IF(COUNTIF($A$8,A605)&gt;0,"Asset",IF(A605&lt;20000000,"Asset",IF(AND(A605&gt;20000000,A605&lt;28800000),"Liability",IF(A605&gt;28800000,"Equity",""))))))</f>
        <v>Equity</v>
      </c>
      <c r="Q605" s="25">
        <f t="shared" ref="Q605:Q625" si="219">IF(AND(N605&gt;$Q$9,N605&lt;$Q$10),M605,IF(N605=$Q$10,M605,0))</f>
        <v>0</v>
      </c>
      <c r="R605" s="25">
        <f t="shared" ref="R605:R625" si="220">IF(AND(N605&gt;$R$9,N605&lt;$R$10),M605,IF(N605=$R$10,M605,0))</f>
        <v>0</v>
      </c>
      <c r="S605" s="25">
        <f t="shared" ref="S605:S625" si="221">IF(AND(N605&gt;$S$9,N605&lt;$S$10),M605,IF(N605=$S$10,M605,0))</f>
        <v>0</v>
      </c>
      <c r="T605" s="25">
        <f t="shared" ref="T605:T625" si="222">IF(AND(N605&gt;$T$9,N605&lt;$T$10),M605,IF(N605=$T$10,M605,0))</f>
        <v>0</v>
      </c>
      <c r="U605" s="25">
        <f t="shared" ref="U605:U625" si="223">IF(AND(N605&gt;$U$9,N605&lt;$U$10),M605,IF(N605=$U$10,M605,0))</f>
        <v>0</v>
      </c>
      <c r="V605" s="25">
        <f t="shared" ref="V605:V625" si="224">IF(AND(N605&gt;$V$9,N605&lt;$V$10),M605,IF(N605=$V$10,M605,0))</f>
        <v>0</v>
      </c>
      <c r="W605" s="25">
        <f t="shared" ref="W605:W625" si="225">IF(AND(N605&gt;$W$9,N605&lt;$W$10),M605,IF(N605=$W$10,M605,0))</f>
        <v>0</v>
      </c>
      <c r="X605" s="64">
        <f t="shared" ref="X605:X625" si="226">IF(AND(N605&gt;$X$9,N605&lt;$X$10),M605,IF(N605=$X$10,M605,0))</f>
        <v>0</v>
      </c>
      <c r="Y605" s="64">
        <f t="shared" ref="Y605:Y625" si="227">IF(AND(N605&gt;$Y$9,N605&lt;$Y$10),M605,IF(N605=$Y$10,M605,0))</f>
        <v>0</v>
      </c>
      <c r="Z605" s="64">
        <f t="shared" ref="Z605:Z625" si="228">IF(AND(N605&gt;$Z$9,N605&lt;$Z$10),M605,IF(N605=$Z$10,M605,0))</f>
        <v>0</v>
      </c>
      <c r="AA605" s="64">
        <f t="shared" ref="AA605:AA625" si="229">IF(AND(N605&gt;$AA$9,N605&lt;$AA$10),M605,IF(N605=$AA$10,M605,0))</f>
        <v>0</v>
      </c>
      <c r="AB605" s="64">
        <f t="shared" ref="AB605:AB625" si="230">IF(AND(N605&gt;$AB$9,N605&lt;$AB$10),M605,IF(N605=$AB$10,M605,0))</f>
        <v>0</v>
      </c>
      <c r="AC605" s="64">
        <f t="shared" ref="AC605:AC625" si="231">IF(AND(N605&gt;$AC$9,N605&lt;$AC$10),M605,IF(N605=$AC$10,M605,0))</f>
        <v>0</v>
      </c>
      <c r="AD605" s="64">
        <f t="shared" ref="AD605:AD625" si="232">IF(AND(N605&gt;$AD$9,N605&lt;$AD$10),M605,IF(N605=$AD$10,M605,0))</f>
        <v>0</v>
      </c>
      <c r="AE605" s="64">
        <f t="shared" ref="AE605:AE625" si="233">IF(AND(N605&gt;$AE$9,N605&lt;$AE$10),M605,IF(N605=$AE$10,M605,0))</f>
        <v>0</v>
      </c>
      <c r="AF605" s="64">
        <f t="shared" ref="AF605:AF625" si="234">IF(AND(N605&gt;$AF$9,N605&lt;$AF$10),M605,IF(N605=$AF$10,M605,0))</f>
        <v>0</v>
      </c>
      <c r="AG605" s="29">
        <f t="shared" ref="AG605:AG625" si="235">IF(N605=$AG$9,M605,0)</f>
        <v>9178971.0600000005</v>
      </c>
    </row>
    <row r="606" spans="1:33">
      <c r="A606" s="265">
        <v>28810002</v>
      </c>
      <c r="B606" s="265" t="s">
        <v>629</v>
      </c>
      <c r="C606" s="265" t="s">
        <v>911</v>
      </c>
      <c r="D606" s="265">
        <v>100000001</v>
      </c>
      <c r="E606" s="265" t="s">
        <v>51</v>
      </c>
      <c r="F606" s="265" t="s">
        <v>0</v>
      </c>
      <c r="G606" s="266">
        <v>178.33</v>
      </c>
      <c r="H606" s="266">
        <v>178.33</v>
      </c>
      <c r="I606" s="267"/>
      <c r="J606" s="267"/>
      <c r="K606" s="267"/>
      <c r="L606" s="224" t="str">
        <f t="shared" si="215"/>
        <v>28810002_AUD_100000001_NONGHYUP BANK SYDNEY BRANCH</v>
      </c>
      <c r="M606" s="221">
        <f t="shared" si="216"/>
        <v>178.33</v>
      </c>
      <c r="N606" s="24" t="str">
        <f>IF(OR(L606=$L$2,L606=$L$3),$M$10+1,IFERROR(VLOOKUP(A606,'Repricing Maturity Adj.'!$A$3:$C$170,3,0),(IF(K606&lt;$M$10,"Check",K606))))</f>
        <v>Non_sensitive</v>
      </c>
      <c r="O606" s="62" t="b">
        <f t="shared" si="217"/>
        <v>1</v>
      </c>
      <c r="P606" s="63" t="str">
        <f t="shared" si="218"/>
        <v>Equity</v>
      </c>
      <c r="Q606" s="25">
        <f t="shared" si="219"/>
        <v>0</v>
      </c>
      <c r="R606" s="25">
        <f t="shared" si="220"/>
        <v>0</v>
      </c>
      <c r="S606" s="25">
        <f t="shared" si="221"/>
        <v>0</v>
      </c>
      <c r="T606" s="25">
        <f t="shared" si="222"/>
        <v>0</v>
      </c>
      <c r="U606" s="25">
        <f t="shared" si="223"/>
        <v>0</v>
      </c>
      <c r="V606" s="25">
        <f t="shared" si="224"/>
        <v>0</v>
      </c>
      <c r="W606" s="25">
        <f t="shared" si="225"/>
        <v>0</v>
      </c>
      <c r="X606" s="64">
        <f t="shared" si="226"/>
        <v>0</v>
      </c>
      <c r="Y606" s="64">
        <f t="shared" si="227"/>
        <v>0</v>
      </c>
      <c r="Z606" s="64">
        <f t="shared" si="228"/>
        <v>0</v>
      </c>
      <c r="AA606" s="64">
        <f t="shared" si="229"/>
        <v>0</v>
      </c>
      <c r="AB606" s="64">
        <f t="shared" si="230"/>
        <v>0</v>
      </c>
      <c r="AC606" s="64">
        <f t="shared" si="231"/>
        <v>0</v>
      </c>
      <c r="AD606" s="64">
        <f t="shared" si="232"/>
        <v>0</v>
      </c>
      <c r="AE606" s="64">
        <f t="shared" si="233"/>
        <v>0</v>
      </c>
      <c r="AF606" s="64">
        <f t="shared" si="234"/>
        <v>0</v>
      </c>
      <c r="AG606" s="29">
        <f t="shared" si="235"/>
        <v>178.33</v>
      </c>
    </row>
    <row r="607" spans="1:33">
      <c r="A607" s="265">
        <v>28810002</v>
      </c>
      <c r="B607" s="265" t="s">
        <v>629</v>
      </c>
      <c r="C607" s="265" t="s">
        <v>912</v>
      </c>
      <c r="D607" s="265">
        <v>100000001</v>
      </c>
      <c r="E607" s="265" t="s">
        <v>51</v>
      </c>
      <c r="F607" s="265" t="s">
        <v>301</v>
      </c>
      <c r="G607" s="266">
        <v>-312515.98</v>
      </c>
      <c r="H607" s="266">
        <v>-446578.99</v>
      </c>
      <c r="I607" s="267"/>
      <c r="J607" s="267"/>
      <c r="K607" s="267"/>
      <c r="L607" s="224" t="str">
        <f t="shared" si="215"/>
        <v>28810002_USD_100000001_NONGHYUP BANK SYDNEY BRANCH</v>
      </c>
      <c r="M607" s="221">
        <f t="shared" si="216"/>
        <v>-446578.99</v>
      </c>
      <c r="N607" s="24" t="str">
        <f>IF(OR(L607=$L$2,L607=$L$3),$M$10+1,IFERROR(VLOOKUP(A607,'Repricing Maturity Adj.'!$A$3:$C$170,3,0),(IF(K607&lt;$M$10,"Check",K607))))</f>
        <v>Non_sensitive</v>
      </c>
      <c r="O607" s="62" t="b">
        <f t="shared" si="217"/>
        <v>1</v>
      </c>
      <c r="P607" s="63" t="str">
        <f t="shared" si="218"/>
        <v>Equity</v>
      </c>
      <c r="Q607" s="25">
        <f t="shared" si="219"/>
        <v>0</v>
      </c>
      <c r="R607" s="25">
        <f t="shared" si="220"/>
        <v>0</v>
      </c>
      <c r="S607" s="25">
        <f t="shared" si="221"/>
        <v>0</v>
      </c>
      <c r="T607" s="25">
        <f t="shared" si="222"/>
        <v>0</v>
      </c>
      <c r="U607" s="25">
        <f t="shared" si="223"/>
        <v>0</v>
      </c>
      <c r="V607" s="25">
        <f t="shared" si="224"/>
        <v>0</v>
      </c>
      <c r="W607" s="25">
        <f t="shared" si="225"/>
        <v>0</v>
      </c>
      <c r="X607" s="64">
        <f t="shared" si="226"/>
        <v>0</v>
      </c>
      <c r="Y607" s="64">
        <f t="shared" si="227"/>
        <v>0</v>
      </c>
      <c r="Z607" s="64">
        <f t="shared" si="228"/>
        <v>0</v>
      </c>
      <c r="AA607" s="64">
        <f t="shared" si="229"/>
        <v>0</v>
      </c>
      <c r="AB607" s="64">
        <f t="shared" si="230"/>
        <v>0</v>
      </c>
      <c r="AC607" s="64">
        <f t="shared" si="231"/>
        <v>0</v>
      </c>
      <c r="AD607" s="64">
        <f t="shared" si="232"/>
        <v>0</v>
      </c>
      <c r="AE607" s="64">
        <f t="shared" si="233"/>
        <v>0</v>
      </c>
      <c r="AF607" s="64">
        <f t="shared" si="234"/>
        <v>0</v>
      </c>
      <c r="AG607" s="29">
        <f t="shared" si="235"/>
        <v>-446578.99</v>
      </c>
    </row>
    <row r="608" spans="1:33">
      <c r="A608" s="265">
        <v>28810002</v>
      </c>
      <c r="B608" s="265" t="s">
        <v>629</v>
      </c>
      <c r="C608" s="265" t="s">
        <v>913</v>
      </c>
      <c r="D608" s="265">
        <v>100000001</v>
      </c>
      <c r="E608" s="265" t="s">
        <v>51</v>
      </c>
      <c r="F608" s="265" t="s">
        <v>301</v>
      </c>
      <c r="G608" s="266">
        <v>3808572.39</v>
      </c>
      <c r="H608" s="266">
        <v>5442372.6600000001</v>
      </c>
      <c r="I608" s="267"/>
      <c r="J608" s="267"/>
      <c r="K608" s="267"/>
      <c r="L608" s="224" t="str">
        <f t="shared" si="215"/>
        <v>28810002_USD_100000001_NONGHYUP BANK SYDNEY BRANCH</v>
      </c>
      <c r="M608" s="221">
        <f t="shared" si="216"/>
        <v>5442372.6600000001</v>
      </c>
      <c r="N608" s="24" t="str">
        <f>IF(OR(L608=$L$2,L608=$L$3),$M$10+1,IFERROR(VLOOKUP(A608,'Repricing Maturity Adj.'!$A$3:$C$170,3,0),(IF(K608&lt;$M$10,"Check",K608))))</f>
        <v>Non_sensitive</v>
      </c>
      <c r="O608" s="62" t="b">
        <f t="shared" si="217"/>
        <v>1</v>
      </c>
      <c r="P608" s="63" t="str">
        <f t="shared" si="218"/>
        <v>Equity</v>
      </c>
      <c r="Q608" s="25">
        <f t="shared" si="219"/>
        <v>0</v>
      </c>
      <c r="R608" s="25">
        <f t="shared" si="220"/>
        <v>0</v>
      </c>
      <c r="S608" s="25">
        <f t="shared" si="221"/>
        <v>0</v>
      </c>
      <c r="T608" s="25">
        <f t="shared" si="222"/>
        <v>0</v>
      </c>
      <c r="U608" s="25">
        <f t="shared" si="223"/>
        <v>0</v>
      </c>
      <c r="V608" s="25">
        <f t="shared" si="224"/>
        <v>0</v>
      </c>
      <c r="W608" s="25">
        <f t="shared" si="225"/>
        <v>0</v>
      </c>
      <c r="X608" s="64">
        <f t="shared" si="226"/>
        <v>0</v>
      </c>
      <c r="Y608" s="64">
        <f t="shared" si="227"/>
        <v>0</v>
      </c>
      <c r="Z608" s="64">
        <f t="shared" si="228"/>
        <v>0</v>
      </c>
      <c r="AA608" s="64">
        <f t="shared" si="229"/>
        <v>0</v>
      </c>
      <c r="AB608" s="64">
        <f t="shared" si="230"/>
        <v>0</v>
      </c>
      <c r="AC608" s="64">
        <f t="shared" si="231"/>
        <v>0</v>
      </c>
      <c r="AD608" s="64">
        <f t="shared" si="232"/>
        <v>0</v>
      </c>
      <c r="AE608" s="64">
        <f t="shared" si="233"/>
        <v>0</v>
      </c>
      <c r="AF608" s="64">
        <f t="shared" si="234"/>
        <v>0</v>
      </c>
      <c r="AG608" s="29">
        <f t="shared" si="235"/>
        <v>5442372.6600000001</v>
      </c>
    </row>
    <row r="609" spans="1:33">
      <c r="A609" s="265">
        <v>28810002</v>
      </c>
      <c r="B609" s="265" t="s">
        <v>629</v>
      </c>
      <c r="C609" s="265" t="s">
        <v>914</v>
      </c>
      <c r="D609" s="265">
        <v>100000001</v>
      </c>
      <c r="E609" s="265" t="s">
        <v>51</v>
      </c>
      <c r="F609" s="265" t="s">
        <v>301</v>
      </c>
      <c r="G609" s="266">
        <v>-7617144.7800000003</v>
      </c>
      <c r="H609" s="266">
        <v>-10884745.33</v>
      </c>
      <c r="I609" s="267"/>
      <c r="J609" s="267"/>
      <c r="K609" s="267"/>
      <c r="L609" s="224" t="str">
        <f t="shared" si="215"/>
        <v>28810002_USD_100000001_NONGHYUP BANK SYDNEY BRANCH</v>
      </c>
      <c r="M609" s="221">
        <f t="shared" si="216"/>
        <v>-10884745.33</v>
      </c>
      <c r="N609" s="24" t="str">
        <f>IF(OR(L609=$L$2,L609=$L$3),$M$10+1,IFERROR(VLOOKUP(A609,'Repricing Maturity Adj.'!$A$3:$C$170,3,0),(IF(K609&lt;$M$10,"Check",K609))))</f>
        <v>Non_sensitive</v>
      </c>
      <c r="O609" s="62" t="b">
        <f t="shared" si="217"/>
        <v>1</v>
      </c>
      <c r="P609" s="63" t="str">
        <f t="shared" si="218"/>
        <v>Equity</v>
      </c>
      <c r="Q609" s="25">
        <f t="shared" si="219"/>
        <v>0</v>
      </c>
      <c r="R609" s="25">
        <f t="shared" si="220"/>
        <v>0</v>
      </c>
      <c r="S609" s="25">
        <f t="shared" si="221"/>
        <v>0</v>
      </c>
      <c r="T609" s="25">
        <f t="shared" si="222"/>
        <v>0</v>
      </c>
      <c r="U609" s="25">
        <f t="shared" si="223"/>
        <v>0</v>
      </c>
      <c r="V609" s="25">
        <f t="shared" si="224"/>
        <v>0</v>
      </c>
      <c r="W609" s="25">
        <f t="shared" si="225"/>
        <v>0</v>
      </c>
      <c r="X609" s="64">
        <f t="shared" si="226"/>
        <v>0</v>
      </c>
      <c r="Y609" s="64">
        <f t="shared" si="227"/>
        <v>0</v>
      </c>
      <c r="Z609" s="64">
        <f t="shared" si="228"/>
        <v>0</v>
      </c>
      <c r="AA609" s="64">
        <f t="shared" si="229"/>
        <v>0</v>
      </c>
      <c r="AB609" s="64">
        <f t="shared" si="230"/>
        <v>0</v>
      </c>
      <c r="AC609" s="64">
        <f t="shared" si="231"/>
        <v>0</v>
      </c>
      <c r="AD609" s="64">
        <f t="shared" si="232"/>
        <v>0</v>
      </c>
      <c r="AE609" s="64">
        <f t="shared" si="233"/>
        <v>0</v>
      </c>
      <c r="AF609" s="64">
        <f t="shared" si="234"/>
        <v>0</v>
      </c>
      <c r="AG609" s="29">
        <f t="shared" si="235"/>
        <v>-10884745.33</v>
      </c>
    </row>
    <row r="610" spans="1:33">
      <c r="A610" s="265">
        <v>28810002</v>
      </c>
      <c r="B610" s="265" t="s">
        <v>629</v>
      </c>
      <c r="C610" s="265" t="s">
        <v>915</v>
      </c>
      <c r="D610" s="265">
        <v>100000001</v>
      </c>
      <c r="E610" s="265" t="s">
        <v>51</v>
      </c>
      <c r="F610" s="265" t="s">
        <v>0</v>
      </c>
      <c r="G610" s="266">
        <v>-215804.71</v>
      </c>
      <c r="H610" s="266">
        <v>-215804.71</v>
      </c>
      <c r="I610" s="267"/>
      <c r="J610" s="267"/>
      <c r="K610" s="267"/>
      <c r="L610" s="224" t="str">
        <f t="shared" si="215"/>
        <v>28810002_AUD_100000001_NONGHYUP BANK SYDNEY BRANCH</v>
      </c>
      <c r="M610" s="221">
        <f t="shared" si="216"/>
        <v>-215804.71</v>
      </c>
      <c r="N610" s="24" t="str">
        <f>IF(OR(L610=$L$2,L610=$L$3),$M$10+1,IFERROR(VLOOKUP(A610,'Repricing Maturity Adj.'!$A$3:$C$170,3,0),(IF(K610&lt;$M$10,"Check",K610))))</f>
        <v>Non_sensitive</v>
      </c>
      <c r="O610" s="62" t="b">
        <f t="shared" si="217"/>
        <v>1</v>
      </c>
      <c r="P610" s="63" t="str">
        <f t="shared" si="218"/>
        <v>Equity</v>
      </c>
      <c r="Q610" s="25">
        <f t="shared" si="219"/>
        <v>0</v>
      </c>
      <c r="R610" s="25">
        <f t="shared" si="220"/>
        <v>0</v>
      </c>
      <c r="S610" s="25">
        <f t="shared" si="221"/>
        <v>0</v>
      </c>
      <c r="T610" s="25">
        <f t="shared" si="222"/>
        <v>0</v>
      </c>
      <c r="U610" s="25">
        <f t="shared" si="223"/>
        <v>0</v>
      </c>
      <c r="V610" s="25">
        <f t="shared" si="224"/>
        <v>0</v>
      </c>
      <c r="W610" s="25">
        <f t="shared" si="225"/>
        <v>0</v>
      </c>
      <c r="X610" s="64">
        <f t="shared" si="226"/>
        <v>0</v>
      </c>
      <c r="Y610" s="64">
        <f t="shared" si="227"/>
        <v>0</v>
      </c>
      <c r="Z610" s="64">
        <f t="shared" si="228"/>
        <v>0</v>
      </c>
      <c r="AA610" s="64">
        <f t="shared" si="229"/>
        <v>0</v>
      </c>
      <c r="AB610" s="64">
        <f t="shared" si="230"/>
        <v>0</v>
      </c>
      <c r="AC610" s="64">
        <f t="shared" si="231"/>
        <v>0</v>
      </c>
      <c r="AD610" s="64">
        <f t="shared" si="232"/>
        <v>0</v>
      </c>
      <c r="AE610" s="64">
        <f t="shared" si="233"/>
        <v>0</v>
      </c>
      <c r="AF610" s="64">
        <f t="shared" si="234"/>
        <v>0</v>
      </c>
      <c r="AG610" s="29">
        <f t="shared" si="235"/>
        <v>-215804.71</v>
      </c>
    </row>
    <row r="611" spans="1:33">
      <c r="A611" s="265">
        <v>28810002</v>
      </c>
      <c r="B611" s="265" t="s">
        <v>629</v>
      </c>
      <c r="C611" s="265" t="s">
        <v>916</v>
      </c>
      <c r="D611" s="265">
        <v>100000001</v>
      </c>
      <c r="E611" s="265" t="s">
        <v>51</v>
      </c>
      <c r="F611" s="265" t="s">
        <v>0</v>
      </c>
      <c r="G611" s="266">
        <v>-178.33</v>
      </c>
      <c r="H611" s="266">
        <v>-178.33</v>
      </c>
      <c r="I611" s="267"/>
      <c r="J611" s="267"/>
      <c r="K611" s="267"/>
      <c r="L611" s="224" t="str">
        <f t="shared" si="215"/>
        <v>28810002_AUD_100000001_NONGHYUP BANK SYDNEY BRANCH</v>
      </c>
      <c r="M611" s="221">
        <f t="shared" si="216"/>
        <v>-178.33</v>
      </c>
      <c r="N611" s="24" t="str">
        <f>IF(OR(L611=$L$2,L611=$L$3),$M$10+1,IFERROR(VLOOKUP(A611,'Repricing Maturity Adj.'!$A$3:$C$170,3,0),(IF(K611&lt;$M$10,"Check",K611))))</f>
        <v>Non_sensitive</v>
      </c>
      <c r="O611" s="62" t="b">
        <f t="shared" si="217"/>
        <v>1</v>
      </c>
      <c r="P611" s="63" t="str">
        <f t="shared" si="218"/>
        <v>Equity</v>
      </c>
      <c r="Q611" s="25">
        <f t="shared" si="219"/>
        <v>0</v>
      </c>
      <c r="R611" s="25">
        <f t="shared" si="220"/>
        <v>0</v>
      </c>
      <c r="S611" s="25">
        <f t="shared" si="221"/>
        <v>0</v>
      </c>
      <c r="T611" s="25">
        <f t="shared" si="222"/>
        <v>0</v>
      </c>
      <c r="U611" s="25">
        <f t="shared" si="223"/>
        <v>0</v>
      </c>
      <c r="V611" s="25">
        <f t="shared" si="224"/>
        <v>0</v>
      </c>
      <c r="W611" s="25">
        <f t="shared" si="225"/>
        <v>0</v>
      </c>
      <c r="X611" s="64">
        <f t="shared" si="226"/>
        <v>0</v>
      </c>
      <c r="Y611" s="64">
        <f t="shared" si="227"/>
        <v>0</v>
      </c>
      <c r="Z611" s="64">
        <f t="shared" si="228"/>
        <v>0</v>
      </c>
      <c r="AA611" s="64">
        <f t="shared" si="229"/>
        <v>0</v>
      </c>
      <c r="AB611" s="64">
        <f t="shared" si="230"/>
        <v>0</v>
      </c>
      <c r="AC611" s="64">
        <f t="shared" si="231"/>
        <v>0</v>
      </c>
      <c r="AD611" s="64">
        <f t="shared" si="232"/>
        <v>0</v>
      </c>
      <c r="AE611" s="64">
        <f t="shared" si="233"/>
        <v>0</v>
      </c>
      <c r="AF611" s="64">
        <f t="shared" si="234"/>
        <v>0</v>
      </c>
      <c r="AG611" s="29">
        <f t="shared" si="235"/>
        <v>-178.33</v>
      </c>
    </row>
    <row r="612" spans="1:33">
      <c r="A612" s="265">
        <v>28810002</v>
      </c>
      <c r="B612" s="265" t="s">
        <v>629</v>
      </c>
      <c r="C612" s="265" t="s">
        <v>917</v>
      </c>
      <c r="D612" s="265">
        <v>100000001</v>
      </c>
      <c r="E612" s="265" t="s">
        <v>51</v>
      </c>
      <c r="F612" s="265" t="s">
        <v>301</v>
      </c>
      <c r="G612" s="266">
        <v>-6423443.9500000002</v>
      </c>
      <c r="H612" s="266">
        <v>-9178971.0600000005</v>
      </c>
      <c r="I612" s="267"/>
      <c r="J612" s="267"/>
      <c r="K612" s="267"/>
      <c r="L612" s="224" t="str">
        <f t="shared" si="215"/>
        <v>28810002_USD_100000001_NONGHYUP BANK SYDNEY BRANCH</v>
      </c>
      <c r="M612" s="221">
        <f t="shared" si="216"/>
        <v>-9178971.0600000005</v>
      </c>
      <c r="N612" s="24" t="str">
        <f>IF(OR(L612=$L$2,L612=$L$3),$M$10+1,IFERROR(VLOOKUP(A612,'Repricing Maturity Adj.'!$A$3:$C$170,3,0),(IF(K612&lt;$M$10,"Check",K612))))</f>
        <v>Non_sensitive</v>
      </c>
      <c r="O612" s="62" t="b">
        <f t="shared" si="217"/>
        <v>1</v>
      </c>
      <c r="P612" s="63" t="str">
        <f t="shared" si="218"/>
        <v>Equity</v>
      </c>
      <c r="Q612" s="25">
        <f t="shared" si="219"/>
        <v>0</v>
      </c>
      <c r="R612" s="25">
        <f t="shared" si="220"/>
        <v>0</v>
      </c>
      <c r="S612" s="25">
        <f t="shared" si="221"/>
        <v>0</v>
      </c>
      <c r="T612" s="25">
        <f t="shared" si="222"/>
        <v>0</v>
      </c>
      <c r="U612" s="25">
        <f t="shared" si="223"/>
        <v>0</v>
      </c>
      <c r="V612" s="25">
        <f t="shared" si="224"/>
        <v>0</v>
      </c>
      <c r="W612" s="25">
        <f t="shared" si="225"/>
        <v>0</v>
      </c>
      <c r="X612" s="64">
        <f t="shared" si="226"/>
        <v>0</v>
      </c>
      <c r="Y612" s="64">
        <f t="shared" si="227"/>
        <v>0</v>
      </c>
      <c r="Z612" s="64">
        <f t="shared" si="228"/>
        <v>0</v>
      </c>
      <c r="AA612" s="64">
        <f t="shared" si="229"/>
        <v>0</v>
      </c>
      <c r="AB612" s="64">
        <f t="shared" si="230"/>
        <v>0</v>
      </c>
      <c r="AC612" s="64">
        <f t="shared" si="231"/>
        <v>0</v>
      </c>
      <c r="AD612" s="64">
        <f t="shared" si="232"/>
        <v>0</v>
      </c>
      <c r="AE612" s="64">
        <f t="shared" si="233"/>
        <v>0</v>
      </c>
      <c r="AF612" s="64">
        <f t="shared" si="234"/>
        <v>0</v>
      </c>
      <c r="AG612" s="29">
        <f t="shared" si="235"/>
        <v>-9178971.0600000005</v>
      </c>
    </row>
    <row r="613" spans="1:33">
      <c r="A613" s="265">
        <v>28810019</v>
      </c>
      <c r="B613" s="265" t="s">
        <v>496</v>
      </c>
      <c r="C613" s="265" t="s">
        <v>918</v>
      </c>
      <c r="D613" s="265">
        <v>100000001</v>
      </c>
      <c r="E613" s="265" t="s">
        <v>51</v>
      </c>
      <c r="F613" s="265" t="s">
        <v>0</v>
      </c>
      <c r="G613" s="266">
        <v>8896.2900000000009</v>
      </c>
      <c r="H613" s="266">
        <v>8896.2900000000009</v>
      </c>
      <c r="I613" s="267"/>
      <c r="J613" s="267"/>
      <c r="K613" s="267"/>
      <c r="L613" s="224" t="str">
        <f t="shared" si="215"/>
        <v>28810019_AUD_100000001_NONGHYUP BANK SYDNEY BRANCH</v>
      </c>
      <c r="M613" s="221">
        <f t="shared" si="216"/>
        <v>8896.2900000000009</v>
      </c>
      <c r="N613" s="24" t="str">
        <f>IF(OR(L613=$L$2,L613=$L$3),$M$10+1,IFERROR(VLOOKUP(A613,'Repricing Maturity Adj.'!$A$3:$C$170,3,0),(IF(K613&lt;$M$10,"Check",K613))))</f>
        <v>Non_sensitive</v>
      </c>
      <c r="O613" s="62" t="b">
        <f t="shared" si="217"/>
        <v>1</v>
      </c>
      <c r="P613" s="63" t="str">
        <f t="shared" si="218"/>
        <v>Equity</v>
      </c>
      <c r="Q613" s="25">
        <f t="shared" si="219"/>
        <v>0</v>
      </c>
      <c r="R613" s="25">
        <f t="shared" si="220"/>
        <v>0</v>
      </c>
      <c r="S613" s="25">
        <f t="shared" si="221"/>
        <v>0</v>
      </c>
      <c r="T613" s="25">
        <f t="shared" si="222"/>
        <v>0</v>
      </c>
      <c r="U613" s="25">
        <f t="shared" si="223"/>
        <v>0</v>
      </c>
      <c r="V613" s="25">
        <f t="shared" si="224"/>
        <v>0</v>
      </c>
      <c r="W613" s="25">
        <f t="shared" si="225"/>
        <v>0</v>
      </c>
      <c r="X613" s="64">
        <f t="shared" si="226"/>
        <v>0</v>
      </c>
      <c r="Y613" s="64">
        <f t="shared" si="227"/>
        <v>0</v>
      </c>
      <c r="Z613" s="64">
        <f t="shared" si="228"/>
        <v>0</v>
      </c>
      <c r="AA613" s="64">
        <f t="shared" si="229"/>
        <v>0</v>
      </c>
      <c r="AB613" s="64">
        <f t="shared" si="230"/>
        <v>0</v>
      </c>
      <c r="AC613" s="64">
        <f t="shared" si="231"/>
        <v>0</v>
      </c>
      <c r="AD613" s="64">
        <f t="shared" si="232"/>
        <v>0</v>
      </c>
      <c r="AE613" s="64">
        <f t="shared" si="233"/>
        <v>0</v>
      </c>
      <c r="AF613" s="64">
        <f t="shared" si="234"/>
        <v>0</v>
      </c>
      <c r="AG613" s="29">
        <f t="shared" si="235"/>
        <v>8896.2900000000009</v>
      </c>
    </row>
    <row r="614" spans="1:33">
      <c r="A614" s="265">
        <v>28810019</v>
      </c>
      <c r="B614" s="265" t="s">
        <v>496</v>
      </c>
      <c r="C614" s="265" t="s">
        <v>919</v>
      </c>
      <c r="D614" s="265">
        <v>100000001</v>
      </c>
      <c r="E614" s="265" t="s">
        <v>51</v>
      </c>
      <c r="F614" s="265" t="s">
        <v>0</v>
      </c>
      <c r="G614" s="266">
        <v>6234.08</v>
      </c>
      <c r="H614" s="266">
        <v>6234.08</v>
      </c>
      <c r="I614" s="267"/>
      <c r="J614" s="267"/>
      <c r="K614" s="267"/>
      <c r="L614" s="224" t="str">
        <f t="shared" si="215"/>
        <v>28810019_AUD_100000001_NONGHYUP BANK SYDNEY BRANCH</v>
      </c>
      <c r="M614" s="221">
        <f t="shared" si="216"/>
        <v>6234.08</v>
      </c>
      <c r="N614" s="24" t="str">
        <f>IF(OR(L614=$L$2,L614=$L$3),$M$10+1,IFERROR(VLOOKUP(A614,'Repricing Maturity Adj.'!$A$3:$C$170,3,0),(IF(K614&lt;$M$10,"Check",K614))))</f>
        <v>Non_sensitive</v>
      </c>
      <c r="O614" s="62" t="b">
        <f t="shared" si="217"/>
        <v>1</v>
      </c>
      <c r="P614" s="63" t="str">
        <f t="shared" si="218"/>
        <v>Equity</v>
      </c>
      <c r="Q614" s="25">
        <f t="shared" si="219"/>
        <v>0</v>
      </c>
      <c r="R614" s="25">
        <f t="shared" si="220"/>
        <v>0</v>
      </c>
      <c r="S614" s="25">
        <f t="shared" si="221"/>
        <v>0</v>
      </c>
      <c r="T614" s="25">
        <f t="shared" si="222"/>
        <v>0</v>
      </c>
      <c r="U614" s="25">
        <f t="shared" si="223"/>
        <v>0</v>
      </c>
      <c r="V614" s="25">
        <f t="shared" si="224"/>
        <v>0</v>
      </c>
      <c r="W614" s="25">
        <f t="shared" si="225"/>
        <v>0</v>
      </c>
      <c r="X614" s="64">
        <f t="shared" si="226"/>
        <v>0</v>
      </c>
      <c r="Y614" s="64">
        <f t="shared" si="227"/>
        <v>0</v>
      </c>
      <c r="Z614" s="64">
        <f t="shared" si="228"/>
        <v>0</v>
      </c>
      <c r="AA614" s="64">
        <f t="shared" si="229"/>
        <v>0</v>
      </c>
      <c r="AB614" s="64">
        <f t="shared" si="230"/>
        <v>0</v>
      </c>
      <c r="AC614" s="64">
        <f t="shared" si="231"/>
        <v>0</v>
      </c>
      <c r="AD614" s="64">
        <f t="shared" si="232"/>
        <v>0</v>
      </c>
      <c r="AE614" s="64">
        <f t="shared" si="233"/>
        <v>0</v>
      </c>
      <c r="AF614" s="64">
        <f t="shared" si="234"/>
        <v>0</v>
      </c>
      <c r="AG614" s="29">
        <f t="shared" si="235"/>
        <v>6234.08</v>
      </c>
    </row>
    <row r="615" spans="1:33">
      <c r="A615" s="265">
        <v>28810019</v>
      </c>
      <c r="B615" s="265" t="s">
        <v>496</v>
      </c>
      <c r="C615" s="265" t="s">
        <v>920</v>
      </c>
      <c r="D615" s="265">
        <v>100000001</v>
      </c>
      <c r="E615" s="265" t="s">
        <v>51</v>
      </c>
      <c r="F615" s="265" t="s">
        <v>301</v>
      </c>
      <c r="G615" s="266">
        <v>212700.48</v>
      </c>
      <c r="H615" s="266">
        <v>303944.67</v>
      </c>
      <c r="I615" s="267"/>
      <c r="J615" s="267"/>
      <c r="K615" s="267"/>
      <c r="L615" s="224" t="str">
        <f t="shared" si="215"/>
        <v>28810019_USD_100000001_NONGHYUP BANK SYDNEY BRANCH</v>
      </c>
      <c r="M615" s="221">
        <f t="shared" si="216"/>
        <v>303944.67</v>
      </c>
      <c r="N615" s="24" t="str">
        <f>IF(OR(L615=$L$2,L615=$L$3),$M$10+1,IFERROR(VLOOKUP(A615,'Repricing Maturity Adj.'!$A$3:$C$170,3,0),(IF(K615&lt;$M$10,"Check",K615))))</f>
        <v>Non_sensitive</v>
      </c>
      <c r="O615" s="62" t="b">
        <f t="shared" si="217"/>
        <v>1</v>
      </c>
      <c r="P615" s="63" t="str">
        <f t="shared" si="218"/>
        <v>Equity</v>
      </c>
      <c r="Q615" s="25">
        <f t="shared" si="219"/>
        <v>0</v>
      </c>
      <c r="R615" s="25">
        <f t="shared" si="220"/>
        <v>0</v>
      </c>
      <c r="S615" s="25">
        <f t="shared" si="221"/>
        <v>0</v>
      </c>
      <c r="T615" s="25">
        <f t="shared" si="222"/>
        <v>0</v>
      </c>
      <c r="U615" s="25">
        <f t="shared" si="223"/>
        <v>0</v>
      </c>
      <c r="V615" s="25">
        <f t="shared" si="224"/>
        <v>0</v>
      </c>
      <c r="W615" s="25">
        <f t="shared" si="225"/>
        <v>0</v>
      </c>
      <c r="X615" s="64">
        <f t="shared" si="226"/>
        <v>0</v>
      </c>
      <c r="Y615" s="64">
        <f t="shared" si="227"/>
        <v>0</v>
      </c>
      <c r="Z615" s="64">
        <f t="shared" si="228"/>
        <v>0</v>
      </c>
      <c r="AA615" s="64">
        <f t="shared" si="229"/>
        <v>0</v>
      </c>
      <c r="AB615" s="64">
        <f t="shared" si="230"/>
        <v>0</v>
      </c>
      <c r="AC615" s="64">
        <f t="shared" si="231"/>
        <v>0</v>
      </c>
      <c r="AD615" s="64">
        <f t="shared" si="232"/>
        <v>0</v>
      </c>
      <c r="AE615" s="64">
        <f t="shared" si="233"/>
        <v>0</v>
      </c>
      <c r="AF615" s="64">
        <f t="shared" si="234"/>
        <v>0</v>
      </c>
      <c r="AG615" s="29">
        <f t="shared" si="235"/>
        <v>303944.67</v>
      </c>
    </row>
    <row r="616" spans="1:33">
      <c r="A616" s="265">
        <v>28820001</v>
      </c>
      <c r="B616" s="265" t="s">
        <v>921</v>
      </c>
      <c r="C616" s="265" t="s">
        <v>550</v>
      </c>
      <c r="D616" s="265">
        <v>100000027</v>
      </c>
      <c r="E616" s="265" t="s">
        <v>551</v>
      </c>
      <c r="F616" s="265" t="s">
        <v>0</v>
      </c>
      <c r="G616" s="266">
        <v>712.5</v>
      </c>
      <c r="H616" s="266">
        <v>712.5</v>
      </c>
      <c r="I616" s="268">
        <v>45387</v>
      </c>
      <c r="J616" s="268">
        <v>46343</v>
      </c>
      <c r="K616" s="268">
        <v>46342</v>
      </c>
      <c r="L616" s="224" t="str">
        <f t="shared" si="215"/>
        <v>28820001_AUD_100000027_TREASURY CORPORATION OF VICTORIA</v>
      </c>
      <c r="M616" s="221">
        <f t="shared" si="216"/>
        <v>712.5</v>
      </c>
      <c r="N616" s="24">
        <f>IF(OR(L616=$L$2,L616=$L$3),$M$10+1,IFERROR(VLOOKUP(A616,'Repricing Maturity Adj.'!$A$3:$C$170,3,0),(IF(K616&lt;$M$10,"Check",K616))))</f>
        <v>46342</v>
      </c>
      <c r="O616" s="62" t="b">
        <f t="shared" si="217"/>
        <v>1</v>
      </c>
      <c r="P616" s="63" t="str">
        <f t="shared" si="218"/>
        <v>Equity</v>
      </c>
      <c r="Q616" s="25">
        <f t="shared" si="219"/>
        <v>0</v>
      </c>
      <c r="R616" s="25">
        <f t="shared" si="220"/>
        <v>0</v>
      </c>
      <c r="S616" s="25">
        <f t="shared" si="221"/>
        <v>0</v>
      </c>
      <c r="T616" s="25">
        <f t="shared" si="222"/>
        <v>0</v>
      </c>
      <c r="U616" s="25">
        <f t="shared" si="223"/>
        <v>0</v>
      </c>
      <c r="V616" s="25">
        <f t="shared" si="224"/>
        <v>712.5</v>
      </c>
      <c r="W616" s="25">
        <f t="shared" si="225"/>
        <v>0</v>
      </c>
      <c r="X616" s="64">
        <f t="shared" si="226"/>
        <v>0</v>
      </c>
      <c r="Y616" s="64">
        <f t="shared" si="227"/>
        <v>0</v>
      </c>
      <c r="Z616" s="64">
        <f t="shared" si="228"/>
        <v>0</v>
      </c>
      <c r="AA616" s="64">
        <f t="shared" si="229"/>
        <v>0</v>
      </c>
      <c r="AB616" s="64">
        <f t="shared" si="230"/>
        <v>0</v>
      </c>
      <c r="AC616" s="64">
        <f t="shared" si="231"/>
        <v>0</v>
      </c>
      <c r="AD616" s="64">
        <f t="shared" si="232"/>
        <v>0</v>
      </c>
      <c r="AE616" s="64">
        <f t="shared" si="233"/>
        <v>0</v>
      </c>
      <c r="AF616" s="64">
        <f t="shared" si="234"/>
        <v>0</v>
      </c>
      <c r="AG616" s="29">
        <f t="shared" si="235"/>
        <v>0</v>
      </c>
    </row>
    <row r="617" spans="1:33">
      <c r="A617" s="265">
        <v>28820001</v>
      </c>
      <c r="B617" s="265" t="s">
        <v>921</v>
      </c>
      <c r="C617" s="265" t="s">
        <v>570</v>
      </c>
      <c r="D617" s="265">
        <v>100000034</v>
      </c>
      <c r="E617" s="265" t="s">
        <v>571</v>
      </c>
      <c r="F617" s="265" t="s">
        <v>0</v>
      </c>
      <c r="G617" s="266">
        <v>138.06</v>
      </c>
      <c r="H617" s="266">
        <v>138.06</v>
      </c>
      <c r="I617" s="268">
        <v>45552</v>
      </c>
      <c r="J617" s="268">
        <v>46091</v>
      </c>
      <c r="K617" s="268">
        <v>46090</v>
      </c>
      <c r="L617" s="224" t="str">
        <f t="shared" si="215"/>
        <v>28820001_AUD_100000034_WESTERN AUSTRALIAN TREASURY CORPORATION</v>
      </c>
      <c r="M617" s="221">
        <f t="shared" si="216"/>
        <v>138.06</v>
      </c>
      <c r="N617" s="24">
        <f>IF(OR(L617=$L$2,L617=$L$3),$M$10+1,IFERROR(VLOOKUP(A617,'Repricing Maturity Adj.'!$A$3:$C$170,3,0),(IF(K617&lt;$M$10,"Check",K617))))</f>
        <v>46090</v>
      </c>
      <c r="O617" s="62" t="b">
        <f t="shared" si="217"/>
        <v>1</v>
      </c>
      <c r="P617" s="63" t="str">
        <f t="shared" si="218"/>
        <v>Equity</v>
      </c>
      <c r="Q617" s="25">
        <f t="shared" si="219"/>
        <v>0</v>
      </c>
      <c r="R617" s="25">
        <f t="shared" si="220"/>
        <v>138.06</v>
      </c>
      <c r="S617" s="25">
        <f t="shared" si="221"/>
        <v>0</v>
      </c>
      <c r="T617" s="25">
        <f t="shared" si="222"/>
        <v>0</v>
      </c>
      <c r="U617" s="25">
        <f t="shared" si="223"/>
        <v>0</v>
      </c>
      <c r="V617" s="25">
        <f t="shared" si="224"/>
        <v>0</v>
      </c>
      <c r="W617" s="25">
        <f t="shared" si="225"/>
        <v>0</v>
      </c>
      <c r="X617" s="64">
        <f t="shared" si="226"/>
        <v>0</v>
      </c>
      <c r="Y617" s="64">
        <f t="shared" si="227"/>
        <v>0</v>
      </c>
      <c r="Z617" s="64">
        <f t="shared" si="228"/>
        <v>0</v>
      </c>
      <c r="AA617" s="64">
        <f t="shared" si="229"/>
        <v>0</v>
      </c>
      <c r="AB617" s="64">
        <f t="shared" si="230"/>
        <v>0</v>
      </c>
      <c r="AC617" s="64">
        <f t="shared" si="231"/>
        <v>0</v>
      </c>
      <c r="AD617" s="64">
        <f t="shared" si="232"/>
        <v>0</v>
      </c>
      <c r="AE617" s="64">
        <f t="shared" si="233"/>
        <v>0</v>
      </c>
      <c r="AF617" s="64">
        <f t="shared" si="234"/>
        <v>0</v>
      </c>
      <c r="AG617" s="29">
        <f t="shared" si="235"/>
        <v>0</v>
      </c>
    </row>
    <row r="618" spans="1:33">
      <c r="A618" s="265">
        <v>28820001</v>
      </c>
      <c r="B618" s="265" t="s">
        <v>921</v>
      </c>
      <c r="C618" s="265" t="s">
        <v>591</v>
      </c>
      <c r="D618" s="265">
        <v>100000037</v>
      </c>
      <c r="E618" s="265" t="s">
        <v>592</v>
      </c>
      <c r="F618" s="265" t="s">
        <v>301</v>
      </c>
      <c r="G618" s="266">
        <v>46828.87</v>
      </c>
      <c r="H618" s="266">
        <v>66917.509999999995</v>
      </c>
      <c r="I618" s="268">
        <v>45624</v>
      </c>
      <c r="J618" s="268">
        <v>46677</v>
      </c>
      <c r="K618" s="268">
        <v>46128</v>
      </c>
      <c r="L618" s="224" t="str">
        <f t="shared" si="215"/>
        <v>28820001_USD_100000037_THE EXPORT-IMPORT BANK OF KOREA</v>
      </c>
      <c r="M618" s="221">
        <f t="shared" si="216"/>
        <v>66917.509999999995</v>
      </c>
      <c r="N618" s="24">
        <f>IF(OR(L618=$L$2,L618=$L$3),$M$10+1,IFERROR(VLOOKUP(A618,'Repricing Maturity Adj.'!$A$3:$C$170,3,0),(IF(K618&lt;$M$10,"Check",K618))))</f>
        <v>46128</v>
      </c>
      <c r="O618" s="62" t="b">
        <f t="shared" si="217"/>
        <v>1</v>
      </c>
      <c r="P618" s="63" t="str">
        <f t="shared" si="218"/>
        <v>Equity</v>
      </c>
      <c r="Q618" s="25">
        <f t="shared" si="219"/>
        <v>0</v>
      </c>
      <c r="R618" s="25">
        <f t="shared" si="220"/>
        <v>0</v>
      </c>
      <c r="S618" s="25">
        <f t="shared" si="221"/>
        <v>66917.509999999995</v>
      </c>
      <c r="T618" s="25">
        <f t="shared" si="222"/>
        <v>0</v>
      </c>
      <c r="U618" s="25">
        <f t="shared" si="223"/>
        <v>0</v>
      </c>
      <c r="V618" s="25">
        <f t="shared" si="224"/>
        <v>0</v>
      </c>
      <c r="W618" s="25">
        <f t="shared" si="225"/>
        <v>0</v>
      </c>
      <c r="X618" s="64">
        <f t="shared" si="226"/>
        <v>0</v>
      </c>
      <c r="Y618" s="64">
        <f t="shared" si="227"/>
        <v>0</v>
      </c>
      <c r="Z618" s="64">
        <f t="shared" si="228"/>
        <v>0</v>
      </c>
      <c r="AA618" s="64">
        <f t="shared" si="229"/>
        <v>0</v>
      </c>
      <c r="AB618" s="64">
        <f t="shared" si="230"/>
        <v>0</v>
      </c>
      <c r="AC618" s="64">
        <f t="shared" si="231"/>
        <v>0</v>
      </c>
      <c r="AD618" s="64">
        <f t="shared" si="232"/>
        <v>0</v>
      </c>
      <c r="AE618" s="64">
        <f t="shared" si="233"/>
        <v>0</v>
      </c>
      <c r="AF618" s="64">
        <f t="shared" si="234"/>
        <v>0</v>
      </c>
      <c r="AG618" s="29">
        <f t="shared" si="235"/>
        <v>0</v>
      </c>
    </row>
    <row r="619" spans="1:33">
      <c r="A619" s="265">
        <v>28820001</v>
      </c>
      <c r="B619" s="265" t="s">
        <v>921</v>
      </c>
      <c r="C619" s="265" t="s">
        <v>610</v>
      </c>
      <c r="D619" s="265">
        <v>100000037</v>
      </c>
      <c r="E619" s="265" t="s">
        <v>592</v>
      </c>
      <c r="F619" s="265" t="s">
        <v>301</v>
      </c>
      <c r="G619" s="266">
        <v>74481.69</v>
      </c>
      <c r="H619" s="266">
        <v>106432.82</v>
      </c>
      <c r="I619" s="268">
        <v>45692</v>
      </c>
      <c r="J619" s="268">
        <v>46766</v>
      </c>
      <c r="K619" s="268">
        <v>46765</v>
      </c>
      <c r="L619" s="224" t="str">
        <f t="shared" si="215"/>
        <v>28820001_USD_100000037_THE EXPORT-IMPORT BANK OF KOREA</v>
      </c>
      <c r="M619" s="221">
        <f t="shared" si="216"/>
        <v>106432.82</v>
      </c>
      <c r="N619" s="24">
        <f>IF(OR(L619=$L$2,L619=$L$3),$M$10+1,IFERROR(VLOOKUP(A619,'Repricing Maturity Adj.'!$A$3:$C$170,3,0),(IF(K619&lt;$M$10,"Check",K619))))</f>
        <v>46765</v>
      </c>
      <c r="O619" s="62" t="b">
        <f t="shared" si="217"/>
        <v>1</v>
      </c>
      <c r="P619" s="63" t="str">
        <f t="shared" si="218"/>
        <v>Equity</v>
      </c>
      <c r="Q619" s="25">
        <f t="shared" si="219"/>
        <v>0</v>
      </c>
      <c r="R619" s="25">
        <f t="shared" si="220"/>
        <v>0</v>
      </c>
      <c r="S619" s="25">
        <f t="shared" si="221"/>
        <v>0</v>
      </c>
      <c r="T619" s="25">
        <f t="shared" si="222"/>
        <v>0</v>
      </c>
      <c r="U619" s="25">
        <f t="shared" si="223"/>
        <v>0</v>
      </c>
      <c r="V619" s="25">
        <f t="shared" si="224"/>
        <v>0</v>
      </c>
      <c r="W619" s="25">
        <f t="shared" si="225"/>
        <v>0</v>
      </c>
      <c r="X619" s="64">
        <f t="shared" si="226"/>
        <v>106432.82</v>
      </c>
      <c r="Y619" s="64">
        <f t="shared" si="227"/>
        <v>0</v>
      </c>
      <c r="Z619" s="64">
        <f t="shared" si="228"/>
        <v>0</v>
      </c>
      <c r="AA619" s="64">
        <f t="shared" si="229"/>
        <v>0</v>
      </c>
      <c r="AB619" s="64">
        <f t="shared" si="230"/>
        <v>0</v>
      </c>
      <c r="AC619" s="64">
        <f t="shared" si="231"/>
        <v>0</v>
      </c>
      <c r="AD619" s="64">
        <f t="shared" si="232"/>
        <v>0</v>
      </c>
      <c r="AE619" s="64">
        <f t="shared" si="233"/>
        <v>0</v>
      </c>
      <c r="AF619" s="64">
        <f t="shared" si="234"/>
        <v>0</v>
      </c>
      <c r="AG619" s="29">
        <f t="shared" si="235"/>
        <v>0</v>
      </c>
    </row>
    <row r="620" spans="1:33">
      <c r="A620" s="265">
        <v>28820001</v>
      </c>
      <c r="B620" s="265" t="s">
        <v>921</v>
      </c>
      <c r="C620" s="265" t="s">
        <v>632</v>
      </c>
      <c r="D620" s="265">
        <v>100000037</v>
      </c>
      <c r="E620" s="265" t="s">
        <v>592</v>
      </c>
      <c r="F620" s="265" t="s">
        <v>301</v>
      </c>
      <c r="G620" s="266">
        <v>26938.49</v>
      </c>
      <c r="H620" s="266">
        <v>38494.559999999998</v>
      </c>
      <c r="I620" s="268">
        <v>45818</v>
      </c>
      <c r="J620" s="268">
        <v>46645</v>
      </c>
      <c r="K620" s="268">
        <v>46644</v>
      </c>
      <c r="L620" s="224" t="str">
        <f t="shared" si="215"/>
        <v>28820001_USD_100000037_THE EXPORT-IMPORT BANK OF KOREA</v>
      </c>
      <c r="M620" s="221">
        <f t="shared" si="216"/>
        <v>38494.559999999998</v>
      </c>
      <c r="N620" s="24">
        <f>IF(OR(L620=$L$2,L620=$L$3),$M$10+1,IFERROR(VLOOKUP(A620,'Repricing Maturity Adj.'!$A$3:$C$170,3,0),(IF(K620&lt;$M$10,"Check",K620))))</f>
        <v>46644</v>
      </c>
      <c r="O620" s="62" t="b">
        <f t="shared" si="217"/>
        <v>1</v>
      </c>
      <c r="P620" s="63" t="str">
        <f t="shared" si="218"/>
        <v>Equity</v>
      </c>
      <c r="Q620" s="25">
        <f t="shared" si="219"/>
        <v>0</v>
      </c>
      <c r="R620" s="25">
        <f t="shared" si="220"/>
        <v>0</v>
      </c>
      <c r="S620" s="25">
        <f t="shared" si="221"/>
        <v>0</v>
      </c>
      <c r="T620" s="25">
        <f t="shared" si="222"/>
        <v>0</v>
      </c>
      <c r="U620" s="25">
        <f t="shared" si="223"/>
        <v>0</v>
      </c>
      <c r="V620" s="25">
        <f t="shared" si="224"/>
        <v>0</v>
      </c>
      <c r="W620" s="25">
        <f t="shared" si="225"/>
        <v>0</v>
      </c>
      <c r="X620" s="64">
        <f t="shared" si="226"/>
        <v>38494.559999999998</v>
      </c>
      <c r="Y620" s="64">
        <f t="shared" si="227"/>
        <v>0</v>
      </c>
      <c r="Z620" s="64">
        <f t="shared" si="228"/>
        <v>0</v>
      </c>
      <c r="AA620" s="64">
        <f t="shared" si="229"/>
        <v>0</v>
      </c>
      <c r="AB620" s="64">
        <f t="shared" si="230"/>
        <v>0</v>
      </c>
      <c r="AC620" s="64">
        <f t="shared" si="231"/>
        <v>0</v>
      </c>
      <c r="AD620" s="64">
        <f t="shared" si="232"/>
        <v>0</v>
      </c>
      <c r="AE620" s="64">
        <f t="shared" si="233"/>
        <v>0</v>
      </c>
      <c r="AF620" s="64">
        <f t="shared" si="234"/>
        <v>0</v>
      </c>
      <c r="AG620" s="29">
        <f t="shared" si="235"/>
        <v>0</v>
      </c>
    </row>
    <row r="621" spans="1:33">
      <c r="A621" s="265">
        <v>28820002</v>
      </c>
      <c r="B621" s="265" t="s">
        <v>922</v>
      </c>
      <c r="C621" s="265" t="s">
        <v>630</v>
      </c>
      <c r="D621" s="265">
        <v>100000038</v>
      </c>
      <c r="E621" s="265" t="s">
        <v>631</v>
      </c>
      <c r="F621" s="265" t="s">
        <v>0</v>
      </c>
      <c r="G621" s="266">
        <v>-78572.960000000006</v>
      </c>
      <c r="H621" s="266">
        <v>-78572.960000000006</v>
      </c>
      <c r="I621" s="268">
        <v>45755</v>
      </c>
      <c r="J621" s="268">
        <v>46776</v>
      </c>
      <c r="K621" s="268">
        <v>46775</v>
      </c>
      <c r="L621" s="224" t="str">
        <f t="shared" si="215"/>
        <v>28820002_AUD_100000038_TASMANIAN PUBLIC FINANCE CORPORATION</v>
      </c>
      <c r="M621" s="221">
        <f t="shared" si="216"/>
        <v>-78572.960000000006</v>
      </c>
      <c r="N621" s="24">
        <f>IF(OR(L621=$L$2,L621=$L$3),$M$10+1,IFERROR(VLOOKUP(A621,'Repricing Maturity Adj.'!$A$3:$C$170,3,0),(IF(K621&lt;$M$10,"Check",K621))))</f>
        <v>46775</v>
      </c>
      <c r="O621" s="62" t="b">
        <f t="shared" si="217"/>
        <v>1</v>
      </c>
      <c r="P621" s="63" t="str">
        <f t="shared" si="218"/>
        <v>Equity</v>
      </c>
      <c r="Q621" s="25">
        <f t="shared" si="219"/>
        <v>0</v>
      </c>
      <c r="R621" s="25">
        <f t="shared" si="220"/>
        <v>0</v>
      </c>
      <c r="S621" s="25">
        <f t="shared" si="221"/>
        <v>0</v>
      </c>
      <c r="T621" s="25">
        <f t="shared" si="222"/>
        <v>0</v>
      </c>
      <c r="U621" s="25">
        <f t="shared" si="223"/>
        <v>0</v>
      </c>
      <c r="V621" s="25">
        <f t="shared" si="224"/>
        <v>0</v>
      </c>
      <c r="W621" s="25">
        <f t="shared" si="225"/>
        <v>0</v>
      </c>
      <c r="X621" s="64">
        <f t="shared" si="226"/>
        <v>-78572.960000000006</v>
      </c>
      <c r="Y621" s="64">
        <f t="shared" si="227"/>
        <v>0</v>
      </c>
      <c r="Z621" s="64">
        <f t="shared" si="228"/>
        <v>0</v>
      </c>
      <c r="AA621" s="64">
        <f t="shared" si="229"/>
        <v>0</v>
      </c>
      <c r="AB621" s="64">
        <f t="shared" si="230"/>
        <v>0</v>
      </c>
      <c r="AC621" s="64">
        <f t="shared" si="231"/>
        <v>0</v>
      </c>
      <c r="AD621" s="64">
        <f t="shared" si="232"/>
        <v>0</v>
      </c>
      <c r="AE621" s="64">
        <f t="shared" si="233"/>
        <v>0</v>
      </c>
      <c r="AF621" s="64">
        <f t="shared" si="234"/>
        <v>0</v>
      </c>
      <c r="AG621" s="29">
        <f t="shared" si="235"/>
        <v>0</v>
      </c>
    </row>
    <row r="622" spans="1:33">
      <c r="A622" s="265">
        <v>28900001</v>
      </c>
      <c r="B622" s="265" t="s">
        <v>923</v>
      </c>
      <c r="C622" s="265" t="s">
        <v>924</v>
      </c>
      <c r="D622" s="265">
        <v>100000001</v>
      </c>
      <c r="E622" s="265" t="s">
        <v>51</v>
      </c>
      <c r="F622" s="265" t="s">
        <v>0</v>
      </c>
      <c r="G622" s="266">
        <v>-322531.75</v>
      </c>
      <c r="H622" s="266">
        <v>-322531.75</v>
      </c>
      <c r="I622" s="267"/>
      <c r="J622" s="267"/>
      <c r="K622" s="267"/>
      <c r="L622" s="224" t="str">
        <f t="shared" si="215"/>
        <v>28900001_AUD_100000001_NONGHYUP BANK SYDNEY BRANCH</v>
      </c>
      <c r="M622" s="221">
        <f t="shared" si="216"/>
        <v>-322531.75</v>
      </c>
      <c r="N622" s="24" t="str">
        <f>IF(OR(L622=$L$2,L622=$L$3),$M$10+1,IFERROR(VLOOKUP(A622,'Repricing Maturity Adj.'!$A$3:$C$170,3,0),(IF(K622&lt;$M$10,"Check",K622))))</f>
        <v>Non_sensitive</v>
      </c>
      <c r="O622" s="62" t="b">
        <f t="shared" si="217"/>
        <v>1</v>
      </c>
      <c r="P622" s="63" t="str">
        <f t="shared" si="218"/>
        <v>Equity</v>
      </c>
      <c r="Q622" s="25">
        <f t="shared" si="219"/>
        <v>0</v>
      </c>
      <c r="R622" s="25">
        <f t="shared" si="220"/>
        <v>0</v>
      </c>
      <c r="S622" s="25">
        <f t="shared" si="221"/>
        <v>0</v>
      </c>
      <c r="T622" s="25">
        <f t="shared" si="222"/>
        <v>0</v>
      </c>
      <c r="U622" s="25">
        <f t="shared" si="223"/>
        <v>0</v>
      </c>
      <c r="V622" s="25">
        <f t="shared" si="224"/>
        <v>0</v>
      </c>
      <c r="W622" s="25">
        <f t="shared" si="225"/>
        <v>0</v>
      </c>
      <c r="X622" s="64">
        <f t="shared" si="226"/>
        <v>0</v>
      </c>
      <c r="Y622" s="64">
        <f t="shared" si="227"/>
        <v>0</v>
      </c>
      <c r="Z622" s="64">
        <f t="shared" si="228"/>
        <v>0</v>
      </c>
      <c r="AA622" s="64">
        <f t="shared" si="229"/>
        <v>0</v>
      </c>
      <c r="AB622" s="64">
        <f t="shared" si="230"/>
        <v>0</v>
      </c>
      <c r="AC622" s="64">
        <f t="shared" si="231"/>
        <v>0</v>
      </c>
      <c r="AD622" s="64">
        <f t="shared" si="232"/>
        <v>0</v>
      </c>
      <c r="AE622" s="64">
        <f t="shared" si="233"/>
        <v>0</v>
      </c>
      <c r="AF622" s="64">
        <f t="shared" si="234"/>
        <v>0</v>
      </c>
      <c r="AG622" s="29">
        <f t="shared" si="235"/>
        <v>-322531.75</v>
      </c>
    </row>
    <row r="623" spans="1:33">
      <c r="A623" s="265">
        <v>28900001</v>
      </c>
      <c r="B623" s="265" t="s">
        <v>923</v>
      </c>
      <c r="C623" s="265" t="s">
        <v>925</v>
      </c>
      <c r="D623" s="265">
        <v>100000001</v>
      </c>
      <c r="E623" s="265" t="s">
        <v>51</v>
      </c>
      <c r="F623" s="265" t="s">
        <v>0</v>
      </c>
      <c r="G623" s="266">
        <v>-6234.08</v>
      </c>
      <c r="H623" s="266">
        <v>-6234.08</v>
      </c>
      <c r="I623" s="267"/>
      <c r="J623" s="267"/>
      <c r="K623" s="267"/>
      <c r="L623" s="224" t="str">
        <f t="shared" si="215"/>
        <v>28900001_AUD_100000001_NONGHYUP BANK SYDNEY BRANCH</v>
      </c>
      <c r="M623" s="221">
        <f t="shared" si="216"/>
        <v>-6234.08</v>
      </c>
      <c r="N623" s="24" t="str">
        <f>IF(OR(L623=$L$2,L623=$L$3),$M$10+1,IFERROR(VLOOKUP(A623,'Repricing Maturity Adj.'!$A$3:$C$170,3,0),(IF(K623&lt;$M$10,"Check",K623))))</f>
        <v>Non_sensitive</v>
      </c>
      <c r="O623" s="62" t="b">
        <f t="shared" si="217"/>
        <v>1</v>
      </c>
      <c r="P623" s="63" t="str">
        <f t="shared" si="218"/>
        <v>Equity</v>
      </c>
      <c r="Q623" s="25">
        <f t="shared" si="219"/>
        <v>0</v>
      </c>
      <c r="R623" s="25">
        <f t="shared" si="220"/>
        <v>0</v>
      </c>
      <c r="S623" s="25">
        <f t="shared" si="221"/>
        <v>0</v>
      </c>
      <c r="T623" s="25">
        <f t="shared" si="222"/>
        <v>0</v>
      </c>
      <c r="U623" s="25">
        <f t="shared" si="223"/>
        <v>0</v>
      </c>
      <c r="V623" s="25">
        <f t="shared" si="224"/>
        <v>0</v>
      </c>
      <c r="W623" s="25">
        <f t="shared" si="225"/>
        <v>0</v>
      </c>
      <c r="X623" s="64">
        <f t="shared" si="226"/>
        <v>0</v>
      </c>
      <c r="Y623" s="64">
        <f t="shared" si="227"/>
        <v>0</v>
      </c>
      <c r="Z623" s="64">
        <f t="shared" si="228"/>
        <v>0</v>
      </c>
      <c r="AA623" s="64">
        <f t="shared" si="229"/>
        <v>0</v>
      </c>
      <c r="AB623" s="64">
        <f t="shared" si="230"/>
        <v>0</v>
      </c>
      <c r="AC623" s="64">
        <f t="shared" si="231"/>
        <v>0</v>
      </c>
      <c r="AD623" s="64">
        <f t="shared" si="232"/>
        <v>0</v>
      </c>
      <c r="AE623" s="64">
        <f t="shared" si="233"/>
        <v>0</v>
      </c>
      <c r="AF623" s="64">
        <f t="shared" si="234"/>
        <v>0</v>
      </c>
      <c r="AG623" s="29">
        <f t="shared" si="235"/>
        <v>-6234.08</v>
      </c>
    </row>
    <row r="624" spans="1:33">
      <c r="A624" s="265">
        <v>28900001</v>
      </c>
      <c r="B624" s="265" t="s">
        <v>923</v>
      </c>
      <c r="C624" s="265" t="s">
        <v>926</v>
      </c>
      <c r="D624" s="265">
        <v>100000001</v>
      </c>
      <c r="E624" s="265" t="s">
        <v>51</v>
      </c>
      <c r="F624" s="265" t="s">
        <v>301</v>
      </c>
      <c r="G624" s="266">
        <v>230070.33</v>
      </c>
      <c r="H624" s="266">
        <v>328765.83</v>
      </c>
      <c r="I624" s="267"/>
      <c r="J624" s="267"/>
      <c r="K624" s="267"/>
      <c r="L624" s="224" t="str">
        <f t="shared" si="215"/>
        <v>28900001_USD_100000001_NONGHYUP BANK SYDNEY BRANCH</v>
      </c>
      <c r="M624" s="221">
        <f t="shared" si="216"/>
        <v>328765.83</v>
      </c>
      <c r="N624" s="24" t="str">
        <f>IF(OR(L624=$L$2,L624=$L$3),$M$10+1,IFERROR(VLOOKUP(A624,'Repricing Maturity Adj.'!$A$3:$C$170,3,0),(IF(K624&lt;$M$10,"Check",K624))))</f>
        <v>Non_sensitive</v>
      </c>
      <c r="O624" s="62" t="b">
        <f t="shared" si="217"/>
        <v>1</v>
      </c>
      <c r="P624" s="63" t="str">
        <f t="shared" si="218"/>
        <v>Equity</v>
      </c>
      <c r="Q624" s="25">
        <f t="shared" si="219"/>
        <v>0</v>
      </c>
      <c r="R624" s="25">
        <f t="shared" si="220"/>
        <v>0</v>
      </c>
      <c r="S624" s="25">
        <f t="shared" si="221"/>
        <v>0</v>
      </c>
      <c r="T624" s="25">
        <f t="shared" si="222"/>
        <v>0</v>
      </c>
      <c r="U624" s="25">
        <f t="shared" si="223"/>
        <v>0</v>
      </c>
      <c r="V624" s="25">
        <f t="shared" si="224"/>
        <v>0</v>
      </c>
      <c r="W624" s="25">
        <f t="shared" si="225"/>
        <v>0</v>
      </c>
      <c r="X624" s="64">
        <f t="shared" si="226"/>
        <v>0</v>
      </c>
      <c r="Y624" s="64">
        <f t="shared" si="227"/>
        <v>0</v>
      </c>
      <c r="Z624" s="64">
        <f t="shared" si="228"/>
        <v>0</v>
      </c>
      <c r="AA624" s="64">
        <f t="shared" si="229"/>
        <v>0</v>
      </c>
      <c r="AB624" s="64">
        <f t="shared" si="230"/>
        <v>0</v>
      </c>
      <c r="AC624" s="64">
        <f t="shared" si="231"/>
        <v>0</v>
      </c>
      <c r="AD624" s="64">
        <f t="shared" si="232"/>
        <v>0</v>
      </c>
      <c r="AE624" s="64">
        <f t="shared" si="233"/>
        <v>0</v>
      </c>
      <c r="AF624" s="64">
        <f t="shared" si="234"/>
        <v>0</v>
      </c>
      <c r="AG624" s="29">
        <f t="shared" si="235"/>
        <v>328765.83</v>
      </c>
    </row>
    <row r="625" spans="1:33">
      <c r="A625" s="265">
        <v>30000001</v>
      </c>
      <c r="B625" s="265" t="s">
        <v>497</v>
      </c>
      <c r="C625" s="265" t="s">
        <v>927</v>
      </c>
      <c r="D625" s="265">
        <v>100000001</v>
      </c>
      <c r="E625" s="265" t="s">
        <v>51</v>
      </c>
      <c r="F625" s="265" t="s">
        <v>0</v>
      </c>
      <c r="G625" s="266">
        <v>5000000</v>
      </c>
      <c r="H625" s="266">
        <v>5000000</v>
      </c>
      <c r="I625" s="267"/>
      <c r="J625" s="267"/>
      <c r="K625" s="267"/>
      <c r="L625" s="224" t="str">
        <f t="shared" si="215"/>
        <v>30000001_AUD_100000001_NONGHYUP BANK SYDNEY BRANCH</v>
      </c>
      <c r="M625" s="221">
        <f t="shared" si="216"/>
        <v>5000000</v>
      </c>
      <c r="N625" s="24" t="str">
        <f>IF(OR(L625=$L$2,L625=$L$3),$M$10+1,IFERROR(VLOOKUP(A625,'Repricing Maturity Adj.'!$A$3:$C$170,3,0),(IF(K625&lt;$M$10,"Check",K625))))</f>
        <v>Non_sensitive</v>
      </c>
      <c r="O625" s="62" t="b">
        <f t="shared" si="217"/>
        <v>1</v>
      </c>
      <c r="P625" s="63" t="str">
        <f t="shared" si="218"/>
        <v>Equity</v>
      </c>
      <c r="Q625" s="25">
        <f t="shared" si="219"/>
        <v>0</v>
      </c>
      <c r="R625" s="25">
        <f t="shared" si="220"/>
        <v>0</v>
      </c>
      <c r="S625" s="25">
        <f t="shared" si="221"/>
        <v>0</v>
      </c>
      <c r="T625" s="25">
        <f t="shared" si="222"/>
        <v>0</v>
      </c>
      <c r="U625" s="25">
        <f t="shared" si="223"/>
        <v>0</v>
      </c>
      <c r="V625" s="25">
        <f t="shared" si="224"/>
        <v>0</v>
      </c>
      <c r="W625" s="25">
        <f t="shared" si="225"/>
        <v>0</v>
      </c>
      <c r="X625" s="64">
        <f t="shared" si="226"/>
        <v>0</v>
      </c>
      <c r="Y625" s="64">
        <f t="shared" si="227"/>
        <v>0</v>
      </c>
      <c r="Z625" s="64">
        <f t="shared" si="228"/>
        <v>0</v>
      </c>
      <c r="AA625" s="64">
        <f t="shared" si="229"/>
        <v>0</v>
      </c>
      <c r="AB625" s="64">
        <f t="shared" si="230"/>
        <v>0</v>
      </c>
      <c r="AC625" s="64">
        <f t="shared" si="231"/>
        <v>0</v>
      </c>
      <c r="AD625" s="64">
        <f t="shared" si="232"/>
        <v>0</v>
      </c>
      <c r="AE625" s="64">
        <f t="shared" si="233"/>
        <v>0</v>
      </c>
      <c r="AF625" s="64">
        <f t="shared" si="234"/>
        <v>0</v>
      </c>
      <c r="AG625" s="29">
        <f t="shared" si="235"/>
        <v>5000000</v>
      </c>
    </row>
    <row r="626" spans="1:33">
      <c r="A626" s="265">
        <v>30000001</v>
      </c>
      <c r="B626" s="265" t="s">
        <v>497</v>
      </c>
      <c r="C626" s="265" t="s">
        <v>928</v>
      </c>
      <c r="D626" s="265">
        <v>100000001</v>
      </c>
      <c r="E626" s="265" t="s">
        <v>51</v>
      </c>
      <c r="F626" s="265" t="s">
        <v>0</v>
      </c>
      <c r="G626" s="266">
        <v>25000000</v>
      </c>
      <c r="H626" s="266">
        <v>25000000</v>
      </c>
      <c r="I626" s="267"/>
      <c r="J626" s="267"/>
      <c r="K626" s="267"/>
      <c r="L626" s="224" t="str">
        <f t="shared" ref="L626:L630" si="236">A626&amp;"_"&amp;F626&amp;"_"&amp;D626&amp;"_"&amp;E626</f>
        <v>30000001_AUD_100000001_NONGHYUP BANK SYDNEY BRANCH</v>
      </c>
      <c r="M626" s="221">
        <f t="shared" ref="M626:M630" si="237">IF(COUNTIF($A$2:$A$8,A626)&gt;0,-H626,H626)</f>
        <v>25000000</v>
      </c>
      <c r="N626" s="24" t="str">
        <f>IF(OR(L626=$L$2,L626=$L$3),$M$10+1,IFERROR(VLOOKUP(A626,'Repricing Maturity Adj.'!$A$3:$C$170,3,0),(IF(K626&lt;$M$10,"Check",K626))))</f>
        <v>Non_sensitive</v>
      </c>
      <c r="O626" s="62" t="b">
        <f t="shared" ref="O626:O630" si="238">M626=SUM(Q626:AG626)</f>
        <v>1</v>
      </c>
      <c r="P626" s="63" t="str">
        <f t="shared" ref="P626:P630" si="239">IF(A626="","N/A",IF(COUNTIF($A$2:$A$7,A626)&gt;0,"Liability",IF(COUNTIF($A$8,A626)&gt;0,"Asset",IF(A626&lt;20000000,"Asset",IF(AND(A626&gt;20000000,A626&lt;28800000),"Liability",IF(A626&gt;28800000,"Equity",""))))))</f>
        <v>Equity</v>
      </c>
      <c r="Q626" s="25">
        <f t="shared" ref="Q626:Q630" si="240">IF(AND(N626&gt;$Q$9,N626&lt;$Q$10),M626,IF(N626=$Q$10,M626,0))</f>
        <v>0</v>
      </c>
      <c r="R626" s="25">
        <f t="shared" ref="R626:R630" si="241">IF(AND(N626&gt;$R$9,N626&lt;$R$10),M626,IF(N626=$R$10,M626,0))</f>
        <v>0</v>
      </c>
      <c r="S626" s="25">
        <f t="shared" ref="S626:S630" si="242">IF(AND(N626&gt;$S$9,N626&lt;$S$10),M626,IF(N626=$S$10,M626,0))</f>
        <v>0</v>
      </c>
      <c r="T626" s="25">
        <f t="shared" ref="T626:T630" si="243">IF(AND(N626&gt;$T$9,N626&lt;$T$10),M626,IF(N626=$T$10,M626,0))</f>
        <v>0</v>
      </c>
      <c r="U626" s="25">
        <f t="shared" ref="U626:U630" si="244">IF(AND(N626&gt;$U$9,N626&lt;$U$10),M626,IF(N626=$U$10,M626,0))</f>
        <v>0</v>
      </c>
      <c r="V626" s="25">
        <f t="shared" ref="V626:V630" si="245">IF(AND(N626&gt;$V$9,N626&lt;$V$10),M626,IF(N626=$V$10,M626,0))</f>
        <v>0</v>
      </c>
      <c r="W626" s="25">
        <f t="shared" ref="W626:W630" si="246">IF(AND(N626&gt;$W$9,N626&lt;$W$10),M626,IF(N626=$W$10,M626,0))</f>
        <v>0</v>
      </c>
      <c r="X626" s="64">
        <f t="shared" ref="X626:X630" si="247">IF(AND(N626&gt;$X$9,N626&lt;$X$10),M626,IF(N626=$X$10,M626,0))</f>
        <v>0</v>
      </c>
      <c r="Y626" s="64">
        <f t="shared" ref="Y626:Y630" si="248">IF(AND(N626&gt;$Y$9,N626&lt;$Y$10),M626,IF(N626=$Y$10,M626,0))</f>
        <v>0</v>
      </c>
      <c r="Z626" s="64">
        <f t="shared" ref="Z626:Z630" si="249">IF(AND(N626&gt;$Z$9,N626&lt;$Z$10),M626,IF(N626=$Z$10,M626,0))</f>
        <v>0</v>
      </c>
      <c r="AA626" s="64">
        <f t="shared" ref="AA626:AA630" si="250">IF(AND(N626&gt;$AA$9,N626&lt;$AA$10),M626,IF(N626=$AA$10,M626,0))</f>
        <v>0</v>
      </c>
      <c r="AB626" s="64">
        <f t="shared" ref="AB626:AB630" si="251">IF(AND(N626&gt;$AB$9,N626&lt;$AB$10),M626,IF(N626=$AB$10,M626,0))</f>
        <v>0</v>
      </c>
      <c r="AC626" s="64">
        <f t="shared" ref="AC626:AC630" si="252">IF(AND(N626&gt;$AC$9,N626&lt;$AC$10),M626,IF(N626=$AC$10,M626,0))</f>
        <v>0</v>
      </c>
      <c r="AD626" s="64">
        <f t="shared" ref="AD626:AD630" si="253">IF(AND(N626&gt;$AD$9,N626&lt;$AD$10),M626,IF(N626=$AD$10,M626,0))</f>
        <v>0</v>
      </c>
      <c r="AE626" s="64">
        <f t="shared" ref="AE626:AE630" si="254">IF(AND(N626&gt;$AE$9,N626&lt;$AE$10),M626,IF(N626=$AE$10,M626,0))</f>
        <v>0</v>
      </c>
      <c r="AF626" s="64">
        <f t="shared" ref="AF626:AF630" si="255">IF(AND(N626&gt;$AF$9,N626&lt;$AF$10),M626,IF(N626=$AF$10,M626,0))</f>
        <v>0</v>
      </c>
      <c r="AG626" s="29">
        <f t="shared" ref="AG626:AG630" si="256">IF(N626=$AG$9,M626,0)</f>
        <v>25000000</v>
      </c>
    </row>
    <row r="627" spans="1:33">
      <c r="A627" s="265">
        <v>30000001</v>
      </c>
      <c r="B627" s="265" t="s">
        <v>497</v>
      </c>
      <c r="C627" s="265" t="s">
        <v>929</v>
      </c>
      <c r="D627" s="265">
        <v>100000001</v>
      </c>
      <c r="E627" s="265" t="s">
        <v>51</v>
      </c>
      <c r="F627" s="265" t="s">
        <v>0</v>
      </c>
      <c r="G627" s="266">
        <v>-5000000</v>
      </c>
      <c r="H627" s="266">
        <v>-5000000</v>
      </c>
      <c r="I627" s="267"/>
      <c r="J627" s="267"/>
      <c r="K627" s="267"/>
      <c r="L627" s="224" t="str">
        <f t="shared" si="236"/>
        <v>30000001_AUD_100000001_NONGHYUP BANK SYDNEY BRANCH</v>
      </c>
      <c r="M627" s="221">
        <f t="shared" si="237"/>
        <v>-5000000</v>
      </c>
      <c r="N627" s="24" t="str">
        <f>IF(OR(L627=$L$2,L627=$L$3),$M$10+1,IFERROR(VLOOKUP(A627,'Repricing Maturity Adj.'!$A$3:$C$170,3,0),(IF(K627&lt;$M$10,"Check",K627))))</f>
        <v>Non_sensitive</v>
      </c>
      <c r="O627" s="62" t="b">
        <f t="shared" si="238"/>
        <v>1</v>
      </c>
      <c r="P627" s="63" t="str">
        <f t="shared" si="239"/>
        <v>Equity</v>
      </c>
      <c r="Q627" s="25">
        <f t="shared" si="240"/>
        <v>0</v>
      </c>
      <c r="R627" s="25">
        <f t="shared" si="241"/>
        <v>0</v>
      </c>
      <c r="S627" s="25">
        <f t="shared" si="242"/>
        <v>0</v>
      </c>
      <c r="T627" s="25">
        <f t="shared" si="243"/>
        <v>0</v>
      </c>
      <c r="U627" s="25">
        <f t="shared" si="244"/>
        <v>0</v>
      </c>
      <c r="V627" s="25">
        <f t="shared" si="245"/>
        <v>0</v>
      </c>
      <c r="W627" s="25">
        <f t="shared" si="246"/>
        <v>0</v>
      </c>
      <c r="X627" s="64">
        <f t="shared" si="247"/>
        <v>0</v>
      </c>
      <c r="Y627" s="64">
        <f t="shared" si="248"/>
        <v>0</v>
      </c>
      <c r="Z627" s="64">
        <f t="shared" si="249"/>
        <v>0</v>
      </c>
      <c r="AA627" s="64">
        <f t="shared" si="250"/>
        <v>0</v>
      </c>
      <c r="AB627" s="64">
        <f t="shared" si="251"/>
        <v>0</v>
      </c>
      <c r="AC627" s="64">
        <f t="shared" si="252"/>
        <v>0</v>
      </c>
      <c r="AD627" s="64">
        <f t="shared" si="253"/>
        <v>0</v>
      </c>
      <c r="AE627" s="64">
        <f t="shared" si="254"/>
        <v>0</v>
      </c>
      <c r="AF627" s="64">
        <f t="shared" si="255"/>
        <v>0</v>
      </c>
      <c r="AG627" s="29">
        <f t="shared" si="256"/>
        <v>-5000000</v>
      </c>
    </row>
    <row r="628" spans="1:33">
      <c r="A628" s="265">
        <v>30000001</v>
      </c>
      <c r="B628" s="265" t="s">
        <v>497</v>
      </c>
      <c r="C628" s="265" t="s">
        <v>930</v>
      </c>
      <c r="D628" s="265">
        <v>100000001</v>
      </c>
      <c r="E628" s="265" t="s">
        <v>51</v>
      </c>
      <c r="F628" s="265" t="s">
        <v>0</v>
      </c>
      <c r="G628" s="266">
        <v>-25000000</v>
      </c>
      <c r="H628" s="266">
        <v>-25000000</v>
      </c>
      <c r="I628" s="267"/>
      <c r="J628" s="267"/>
      <c r="K628" s="267"/>
      <c r="L628" s="224" t="str">
        <f t="shared" si="236"/>
        <v>30000001_AUD_100000001_NONGHYUP BANK SYDNEY BRANCH</v>
      </c>
      <c r="M628" s="221">
        <f t="shared" si="237"/>
        <v>-25000000</v>
      </c>
      <c r="N628" s="24" t="str">
        <f>IF(OR(L628=$L$2,L628=$L$3),$M$10+1,IFERROR(VLOOKUP(A628,'Repricing Maturity Adj.'!$A$3:$C$170,3,0),(IF(K628&lt;$M$10,"Check",K628))))</f>
        <v>Non_sensitive</v>
      </c>
      <c r="O628" s="62" t="b">
        <f t="shared" si="238"/>
        <v>1</v>
      </c>
      <c r="P628" s="63" t="str">
        <f t="shared" si="239"/>
        <v>Equity</v>
      </c>
      <c r="Q628" s="25">
        <f t="shared" si="240"/>
        <v>0</v>
      </c>
      <c r="R628" s="25">
        <f t="shared" si="241"/>
        <v>0</v>
      </c>
      <c r="S628" s="25">
        <f t="shared" si="242"/>
        <v>0</v>
      </c>
      <c r="T628" s="25">
        <f t="shared" si="243"/>
        <v>0</v>
      </c>
      <c r="U628" s="25">
        <f t="shared" si="244"/>
        <v>0</v>
      </c>
      <c r="V628" s="25">
        <f t="shared" si="245"/>
        <v>0</v>
      </c>
      <c r="W628" s="25">
        <f t="shared" si="246"/>
        <v>0</v>
      </c>
      <c r="X628" s="64">
        <f t="shared" si="247"/>
        <v>0</v>
      </c>
      <c r="Y628" s="64">
        <f t="shared" si="248"/>
        <v>0</v>
      </c>
      <c r="Z628" s="64">
        <f t="shared" si="249"/>
        <v>0</v>
      </c>
      <c r="AA628" s="64">
        <f t="shared" si="250"/>
        <v>0</v>
      </c>
      <c r="AB628" s="64">
        <f t="shared" si="251"/>
        <v>0</v>
      </c>
      <c r="AC628" s="64">
        <f t="shared" si="252"/>
        <v>0</v>
      </c>
      <c r="AD628" s="64">
        <f t="shared" si="253"/>
        <v>0</v>
      </c>
      <c r="AE628" s="64">
        <f t="shared" si="254"/>
        <v>0</v>
      </c>
      <c r="AF628" s="64">
        <f t="shared" si="255"/>
        <v>0</v>
      </c>
      <c r="AG628" s="29">
        <f t="shared" si="256"/>
        <v>-25000000</v>
      </c>
    </row>
    <row r="629" spans="1:33">
      <c r="A629" s="265">
        <v>62010002</v>
      </c>
      <c r="B629" s="265" t="s">
        <v>931</v>
      </c>
      <c r="C629" s="265" t="s">
        <v>285</v>
      </c>
      <c r="D629" s="265">
        <v>100000014</v>
      </c>
      <c r="E629" s="265" t="s">
        <v>278</v>
      </c>
      <c r="F629" s="265" t="s">
        <v>301</v>
      </c>
      <c r="G629" s="266">
        <v>3485181.12</v>
      </c>
      <c r="H629" s="266">
        <v>4980253.0999999996</v>
      </c>
      <c r="I629" s="268">
        <v>45106</v>
      </c>
      <c r="J629" s="268">
        <v>47579</v>
      </c>
      <c r="K629" s="267"/>
      <c r="L629" s="224" t="str">
        <f t="shared" si="236"/>
        <v>62010002_USD_100000014_PERDAMAN CHEMICALS &amp; FERTILISERS (FINANCE)PTY LTD</v>
      </c>
      <c r="M629" s="221">
        <f t="shared" si="237"/>
        <v>4980253.0999999996</v>
      </c>
      <c r="N629" s="24" t="str">
        <f>IF(OR(L629=$L$2,L629=$L$3),$M$10+1,IFERROR(VLOOKUP(A629,'Repricing Maturity Adj.'!$A$3:$C$170,3,0),(IF(K629&lt;$M$10,"Check",K629))))</f>
        <v>Check</v>
      </c>
      <c r="O629" s="62" t="b">
        <f t="shared" si="238"/>
        <v>0</v>
      </c>
      <c r="P629" s="63" t="str">
        <f t="shared" si="239"/>
        <v>Equity</v>
      </c>
      <c r="Q629" s="25">
        <f t="shared" si="240"/>
        <v>0</v>
      </c>
      <c r="R629" s="25">
        <f t="shared" si="241"/>
        <v>0</v>
      </c>
      <c r="S629" s="25">
        <f t="shared" si="242"/>
        <v>0</v>
      </c>
      <c r="T629" s="25">
        <f t="shared" si="243"/>
        <v>0</v>
      </c>
      <c r="U629" s="25">
        <f t="shared" si="244"/>
        <v>0</v>
      </c>
      <c r="V629" s="25">
        <f t="shared" si="245"/>
        <v>0</v>
      </c>
      <c r="W629" s="25">
        <f t="shared" si="246"/>
        <v>0</v>
      </c>
      <c r="X629" s="64">
        <f t="shared" si="247"/>
        <v>0</v>
      </c>
      <c r="Y629" s="64">
        <f t="shared" si="248"/>
        <v>0</v>
      </c>
      <c r="Z629" s="64">
        <f t="shared" si="249"/>
        <v>0</v>
      </c>
      <c r="AA629" s="64">
        <f t="shared" si="250"/>
        <v>0</v>
      </c>
      <c r="AB629" s="64">
        <f t="shared" si="251"/>
        <v>0</v>
      </c>
      <c r="AC629" s="64">
        <f t="shared" si="252"/>
        <v>0</v>
      </c>
      <c r="AD629" s="64">
        <f t="shared" si="253"/>
        <v>0</v>
      </c>
      <c r="AE629" s="64">
        <f t="shared" si="254"/>
        <v>0</v>
      </c>
      <c r="AF629" s="64">
        <f t="shared" si="255"/>
        <v>0</v>
      </c>
      <c r="AG629" s="29">
        <f t="shared" si="256"/>
        <v>0</v>
      </c>
    </row>
    <row r="630" spans="1:33">
      <c r="A630" s="265">
        <v>62020002</v>
      </c>
      <c r="B630" s="265" t="s">
        <v>932</v>
      </c>
      <c r="C630" s="265" t="s">
        <v>844</v>
      </c>
      <c r="D630" s="265">
        <v>100000035</v>
      </c>
      <c r="E630" s="265" t="s">
        <v>594</v>
      </c>
      <c r="F630" s="265" t="s">
        <v>0</v>
      </c>
      <c r="G630" s="266">
        <v>55000000</v>
      </c>
      <c r="H630" s="266">
        <v>55000000</v>
      </c>
      <c r="I630" s="268">
        <v>45903</v>
      </c>
      <c r="J630" s="268">
        <v>47820</v>
      </c>
      <c r="K630" s="267"/>
      <c r="L630" s="224" t="str">
        <f t="shared" si="236"/>
        <v>62020002_AUD_100000035_NEXTDC LIMITED</v>
      </c>
      <c r="M630" s="221">
        <f t="shared" si="237"/>
        <v>55000000</v>
      </c>
      <c r="N630" s="24" t="str">
        <f>IF(OR(L630=$L$2,L630=$L$3),$M$10+1,IFERROR(VLOOKUP(A630,'Repricing Maturity Adj.'!$A$3:$C$170,3,0),(IF(K630&lt;$M$10,"Check",K630))))</f>
        <v>Check</v>
      </c>
      <c r="O630" s="62" t="b">
        <f t="shared" si="238"/>
        <v>0</v>
      </c>
      <c r="P630" s="63" t="str">
        <f t="shared" si="239"/>
        <v>Equity</v>
      </c>
      <c r="Q630" s="25">
        <f t="shared" si="240"/>
        <v>0</v>
      </c>
      <c r="R630" s="25">
        <f t="shared" si="241"/>
        <v>0</v>
      </c>
      <c r="S630" s="25">
        <f t="shared" si="242"/>
        <v>0</v>
      </c>
      <c r="T630" s="25">
        <f t="shared" si="243"/>
        <v>0</v>
      </c>
      <c r="U630" s="25">
        <f t="shared" si="244"/>
        <v>0</v>
      </c>
      <c r="V630" s="25">
        <f t="shared" si="245"/>
        <v>0</v>
      </c>
      <c r="W630" s="25">
        <f t="shared" si="246"/>
        <v>0</v>
      </c>
      <c r="X630" s="64">
        <f t="shared" si="247"/>
        <v>0</v>
      </c>
      <c r="Y630" s="64">
        <f t="shared" si="248"/>
        <v>0</v>
      </c>
      <c r="Z630" s="64">
        <f t="shared" si="249"/>
        <v>0</v>
      </c>
      <c r="AA630" s="64">
        <f t="shared" si="250"/>
        <v>0</v>
      </c>
      <c r="AB630" s="64">
        <f t="shared" si="251"/>
        <v>0</v>
      </c>
      <c r="AC630" s="64">
        <f t="shared" si="252"/>
        <v>0</v>
      </c>
      <c r="AD630" s="64">
        <f t="shared" si="253"/>
        <v>0</v>
      </c>
      <c r="AE630" s="64">
        <f t="shared" si="254"/>
        <v>0</v>
      </c>
      <c r="AF630" s="64">
        <f t="shared" si="255"/>
        <v>0</v>
      </c>
      <c r="AG630" s="29">
        <f t="shared" si="256"/>
        <v>0</v>
      </c>
    </row>
    <row r="631" spans="1:33">
      <c r="A631" s="51"/>
      <c r="B631" s="52"/>
      <c r="C631" s="52"/>
      <c r="D631" s="51"/>
      <c r="E631" s="52"/>
      <c r="F631" s="52"/>
      <c r="G631" s="53"/>
      <c r="H631" s="260"/>
      <c r="I631" s="54"/>
      <c r="J631" s="54"/>
      <c r="K631" s="58"/>
      <c r="L631" s="224"/>
      <c r="M631" s="221"/>
      <c r="N631" s="24"/>
      <c r="O631" s="62"/>
      <c r="P631" s="63"/>
      <c r="Q631" s="25"/>
      <c r="R631" s="25"/>
      <c r="S631" s="25"/>
      <c r="T631" s="25"/>
      <c r="U631" s="25"/>
      <c r="V631" s="25"/>
      <c r="W631" s="25"/>
      <c r="X631" s="64"/>
      <c r="Y631" s="64"/>
      <c r="Z631" s="64"/>
      <c r="AA631" s="64"/>
      <c r="AB631" s="64"/>
      <c r="AC631" s="64"/>
      <c r="AD631" s="64"/>
      <c r="AE631" s="64"/>
      <c r="AF631" s="64"/>
      <c r="AG631" s="29"/>
    </row>
    <row r="632" spans="1:33">
      <c r="A632" s="51"/>
      <c r="B632" s="52"/>
      <c r="C632" s="52"/>
      <c r="D632" s="51"/>
      <c r="E632" s="52"/>
      <c r="F632" s="52"/>
      <c r="G632" s="53"/>
      <c r="H632" s="260"/>
      <c r="I632" s="54"/>
      <c r="J632" s="54"/>
      <c r="K632" s="58"/>
      <c r="L632" s="224"/>
      <c r="M632" s="221"/>
      <c r="N632" s="24"/>
      <c r="O632" s="62"/>
      <c r="P632" s="63"/>
      <c r="Q632" s="25"/>
      <c r="R632" s="25"/>
      <c r="S632" s="25"/>
      <c r="T632" s="25"/>
      <c r="U632" s="25"/>
      <c r="V632" s="25"/>
      <c r="W632" s="25"/>
      <c r="X632" s="64"/>
      <c r="Y632" s="64"/>
      <c r="Z632" s="64"/>
      <c r="AA632" s="64"/>
      <c r="AB632" s="64"/>
      <c r="AC632" s="64"/>
      <c r="AD632" s="64"/>
      <c r="AE632" s="64"/>
      <c r="AF632" s="64"/>
      <c r="AG632" s="29"/>
    </row>
    <row r="633" spans="1:33">
      <c r="A633" s="51"/>
      <c r="B633" s="52"/>
      <c r="C633" s="52"/>
      <c r="D633" s="51"/>
      <c r="E633" s="52"/>
      <c r="F633" s="52"/>
      <c r="G633" s="53"/>
      <c r="H633" s="260"/>
      <c r="I633" s="54"/>
      <c r="J633" s="54"/>
      <c r="K633" s="58"/>
      <c r="L633" s="224"/>
      <c r="M633" s="221"/>
      <c r="N633" s="24"/>
      <c r="O633" s="62"/>
      <c r="P633" s="63"/>
      <c r="Q633" s="25"/>
      <c r="R633" s="25"/>
      <c r="S633" s="25"/>
      <c r="T633" s="25"/>
      <c r="U633" s="25"/>
      <c r="V633" s="25"/>
      <c r="W633" s="25"/>
      <c r="X633" s="64"/>
      <c r="Y633" s="64"/>
      <c r="Z633" s="64"/>
      <c r="AA633" s="64"/>
      <c r="AB633" s="64"/>
      <c r="AC633" s="64"/>
      <c r="AD633" s="64"/>
      <c r="AE633" s="64"/>
      <c r="AF633" s="64"/>
      <c r="AG633" s="29"/>
    </row>
    <row r="634" spans="1:33">
      <c r="A634" s="51"/>
      <c r="B634" s="52"/>
      <c r="C634" s="52"/>
      <c r="D634" s="51"/>
      <c r="E634" s="52"/>
      <c r="F634" s="52"/>
      <c r="G634" s="53"/>
      <c r="H634" s="260"/>
      <c r="I634" s="54"/>
      <c r="J634" s="54"/>
      <c r="K634" s="58"/>
      <c r="L634" s="224"/>
      <c r="M634" s="221"/>
      <c r="N634" s="24"/>
      <c r="O634" s="62"/>
      <c r="P634" s="63"/>
      <c r="Q634" s="25"/>
      <c r="R634" s="25"/>
      <c r="S634" s="25"/>
      <c r="T634" s="25"/>
      <c r="U634" s="25"/>
      <c r="V634" s="25"/>
      <c r="W634" s="25"/>
      <c r="X634" s="64"/>
      <c r="Y634" s="64"/>
      <c r="Z634" s="64"/>
      <c r="AA634" s="64"/>
      <c r="AB634" s="64"/>
      <c r="AC634" s="64"/>
      <c r="AD634" s="64"/>
      <c r="AE634" s="64"/>
      <c r="AF634" s="64"/>
      <c r="AG634" s="29"/>
    </row>
    <row r="635" spans="1:33">
      <c r="A635" s="51"/>
      <c r="B635" s="52"/>
      <c r="C635" s="52"/>
      <c r="D635" s="51"/>
      <c r="E635" s="52"/>
      <c r="F635" s="52"/>
      <c r="G635" s="53"/>
      <c r="H635" s="260"/>
      <c r="I635" s="54"/>
      <c r="J635" s="54"/>
      <c r="K635" s="58"/>
      <c r="L635" s="224"/>
      <c r="M635" s="221"/>
      <c r="N635" s="24"/>
      <c r="O635" s="62"/>
      <c r="P635" s="63"/>
      <c r="Q635" s="25"/>
      <c r="R635" s="25"/>
      <c r="S635" s="25"/>
      <c r="T635" s="25"/>
      <c r="U635" s="25"/>
      <c r="V635" s="25"/>
      <c r="W635" s="25"/>
      <c r="X635" s="64"/>
      <c r="Y635" s="64"/>
      <c r="Z635" s="64"/>
      <c r="AA635" s="64"/>
      <c r="AB635" s="64"/>
      <c r="AC635" s="64"/>
      <c r="AD635" s="64"/>
      <c r="AE635" s="64"/>
      <c r="AF635" s="64"/>
      <c r="AG635" s="29"/>
    </row>
    <row r="636" spans="1:33">
      <c r="A636" s="51"/>
      <c r="B636" s="52"/>
      <c r="C636" s="52"/>
      <c r="D636" s="51"/>
      <c r="E636" s="52"/>
      <c r="F636" s="52"/>
      <c r="G636" s="53"/>
      <c r="H636" s="260"/>
      <c r="I636" s="54"/>
      <c r="J636" s="54"/>
      <c r="K636" s="58"/>
      <c r="L636" s="224"/>
      <c r="M636" s="221"/>
      <c r="N636" s="24"/>
      <c r="O636" s="62"/>
      <c r="P636" s="63"/>
      <c r="Q636" s="25"/>
      <c r="R636" s="25"/>
      <c r="S636" s="25"/>
      <c r="T636" s="25"/>
      <c r="U636" s="25"/>
      <c r="V636" s="25"/>
      <c r="W636" s="25"/>
      <c r="X636" s="64"/>
      <c r="Y636" s="64"/>
      <c r="Z636" s="64"/>
      <c r="AA636" s="64"/>
      <c r="AB636" s="64"/>
      <c r="AC636" s="64"/>
      <c r="AD636" s="64"/>
      <c r="AE636" s="64"/>
      <c r="AF636" s="64"/>
      <c r="AG636" s="29"/>
    </row>
    <row r="637" spans="1:33">
      <c r="A637" s="51"/>
      <c r="B637" s="52"/>
      <c r="C637" s="52"/>
      <c r="D637" s="51"/>
      <c r="E637" s="52"/>
      <c r="F637" s="52"/>
      <c r="G637" s="53"/>
      <c r="H637" s="260"/>
      <c r="I637" s="54"/>
      <c r="J637" s="54"/>
      <c r="K637" s="58"/>
      <c r="L637" s="224"/>
      <c r="M637" s="221"/>
      <c r="N637" s="24"/>
      <c r="O637" s="62"/>
      <c r="P637" s="63"/>
      <c r="Q637" s="25"/>
      <c r="R637" s="25"/>
      <c r="S637" s="25"/>
      <c r="T637" s="25"/>
      <c r="U637" s="25"/>
      <c r="V637" s="25"/>
      <c r="W637" s="25"/>
      <c r="X637" s="64"/>
      <c r="Y637" s="64"/>
      <c r="Z637" s="64"/>
      <c r="AA637" s="64"/>
      <c r="AB637" s="64"/>
      <c r="AC637" s="64"/>
      <c r="AD637" s="64"/>
      <c r="AE637" s="64"/>
      <c r="AF637" s="64"/>
      <c r="AG637" s="29"/>
    </row>
    <row r="638" spans="1:33">
      <c r="A638" s="51"/>
      <c r="B638" s="52"/>
      <c r="C638" s="52"/>
      <c r="D638" s="51"/>
      <c r="E638" s="52"/>
      <c r="F638" s="52"/>
      <c r="G638" s="53"/>
      <c r="H638" s="260"/>
      <c r="I638" s="54"/>
      <c r="J638" s="54"/>
      <c r="K638" s="58"/>
      <c r="L638" s="224"/>
      <c r="M638" s="221"/>
      <c r="N638" s="24"/>
      <c r="O638" s="62"/>
      <c r="P638" s="63"/>
      <c r="Q638" s="25"/>
      <c r="R638" s="25"/>
      <c r="S638" s="25"/>
      <c r="T638" s="25"/>
      <c r="U638" s="25"/>
      <c r="V638" s="25"/>
      <c r="W638" s="25"/>
      <c r="X638" s="64"/>
      <c r="Y638" s="64"/>
      <c r="Z638" s="64"/>
      <c r="AA638" s="64"/>
      <c r="AB638" s="64"/>
      <c r="AC638" s="64"/>
      <c r="AD638" s="64"/>
      <c r="AE638" s="64"/>
      <c r="AF638" s="64"/>
      <c r="AG638" s="29"/>
    </row>
    <row r="639" spans="1:33">
      <c r="A639" s="51"/>
      <c r="B639" s="52"/>
      <c r="C639" s="52"/>
      <c r="D639" s="51"/>
      <c r="E639" s="52"/>
      <c r="F639" s="52"/>
      <c r="G639" s="53"/>
      <c r="H639" s="260"/>
      <c r="I639" s="54"/>
      <c r="J639" s="54"/>
      <c r="K639" s="58"/>
      <c r="L639" s="224"/>
      <c r="M639" s="221"/>
      <c r="N639" s="24"/>
      <c r="O639" s="62"/>
      <c r="P639" s="63"/>
      <c r="Q639" s="25"/>
      <c r="R639" s="25"/>
      <c r="S639" s="25"/>
      <c r="T639" s="25"/>
      <c r="U639" s="25"/>
      <c r="V639" s="25"/>
      <c r="W639" s="25"/>
      <c r="X639" s="64"/>
      <c r="Y639" s="64"/>
      <c r="Z639" s="64"/>
      <c r="AA639" s="64"/>
      <c r="AB639" s="64"/>
      <c r="AC639" s="64"/>
      <c r="AD639" s="64"/>
      <c r="AE639" s="64"/>
      <c r="AF639" s="64"/>
      <c r="AG639" s="29"/>
    </row>
    <row r="640" spans="1:33">
      <c r="A640" s="51"/>
      <c r="B640" s="52"/>
      <c r="C640" s="52"/>
      <c r="D640" s="51"/>
      <c r="E640" s="52"/>
      <c r="F640" s="52"/>
      <c r="G640" s="53"/>
      <c r="H640" s="260"/>
      <c r="I640" s="54"/>
      <c r="J640" s="54"/>
      <c r="K640" s="58"/>
      <c r="L640" s="224"/>
      <c r="M640" s="221"/>
      <c r="N640" s="24"/>
      <c r="O640" s="62"/>
      <c r="P640" s="63"/>
      <c r="Q640" s="25"/>
      <c r="R640" s="25"/>
      <c r="S640" s="25"/>
      <c r="T640" s="25"/>
      <c r="U640" s="25"/>
      <c r="V640" s="25"/>
      <c r="W640" s="25"/>
      <c r="X640" s="64"/>
      <c r="Y640" s="64"/>
      <c r="Z640" s="64"/>
      <c r="AA640" s="64"/>
      <c r="AB640" s="64"/>
      <c r="AC640" s="64"/>
      <c r="AD640" s="64"/>
      <c r="AE640" s="64"/>
      <c r="AF640" s="64"/>
      <c r="AG640" s="29"/>
    </row>
    <row r="641" spans="1:33">
      <c r="A641" s="51"/>
      <c r="B641" s="52"/>
      <c r="C641" s="52"/>
      <c r="D641" s="51"/>
      <c r="E641" s="52"/>
      <c r="F641" s="52"/>
      <c r="G641" s="53"/>
      <c r="H641" s="260"/>
      <c r="I641" s="54"/>
      <c r="J641" s="54"/>
      <c r="K641" s="58"/>
      <c r="L641" s="224"/>
      <c r="M641" s="221"/>
      <c r="N641" s="24"/>
      <c r="O641" s="62"/>
      <c r="P641" s="63"/>
      <c r="Q641" s="25"/>
      <c r="R641" s="25"/>
      <c r="S641" s="25"/>
      <c r="T641" s="25"/>
      <c r="U641" s="25"/>
      <c r="V641" s="25"/>
      <c r="W641" s="25"/>
      <c r="X641" s="64"/>
      <c r="Y641" s="64"/>
      <c r="Z641" s="64"/>
      <c r="AA641" s="64"/>
      <c r="AB641" s="64"/>
      <c r="AC641" s="64"/>
      <c r="AD641" s="64"/>
      <c r="AE641" s="64"/>
      <c r="AF641" s="64"/>
      <c r="AG641" s="29"/>
    </row>
    <row r="642" spans="1:33">
      <c r="A642" s="51"/>
      <c r="B642" s="52"/>
      <c r="C642" s="52"/>
      <c r="D642" s="51"/>
      <c r="E642" s="52"/>
      <c r="F642" s="52"/>
      <c r="G642" s="53"/>
      <c r="H642" s="260"/>
      <c r="I642" s="54"/>
      <c r="J642" s="54"/>
      <c r="K642" s="58"/>
      <c r="L642" s="224"/>
      <c r="M642" s="221"/>
      <c r="N642" s="24"/>
      <c r="O642" s="62"/>
      <c r="P642" s="63"/>
      <c r="Q642" s="25"/>
      <c r="R642" s="25"/>
      <c r="S642" s="25"/>
      <c r="T642" s="25"/>
      <c r="U642" s="25"/>
      <c r="V642" s="25"/>
      <c r="W642" s="25"/>
      <c r="X642" s="64"/>
      <c r="Y642" s="64"/>
      <c r="Z642" s="64"/>
      <c r="AA642" s="64"/>
      <c r="AB642" s="64"/>
      <c r="AC642" s="64"/>
      <c r="AD642" s="64"/>
      <c r="AE642" s="64"/>
      <c r="AF642" s="64"/>
      <c r="AG642" s="29"/>
    </row>
    <row r="643" spans="1:33">
      <c r="A643" s="51"/>
      <c r="B643" s="52"/>
      <c r="C643" s="52"/>
      <c r="D643" s="51"/>
      <c r="E643" s="52"/>
      <c r="F643" s="52"/>
      <c r="G643" s="53"/>
      <c r="H643" s="260"/>
      <c r="I643" s="54"/>
      <c r="J643" s="54"/>
      <c r="K643" s="58"/>
      <c r="L643" s="224"/>
      <c r="M643" s="221"/>
      <c r="N643" s="24"/>
      <c r="O643" s="62"/>
      <c r="P643" s="63"/>
      <c r="Q643" s="25"/>
      <c r="R643" s="25"/>
      <c r="S643" s="25"/>
      <c r="T643" s="25"/>
      <c r="U643" s="25"/>
      <c r="V643" s="25"/>
      <c r="W643" s="25"/>
      <c r="X643" s="64"/>
      <c r="Y643" s="64"/>
      <c r="Z643" s="64"/>
      <c r="AA643" s="64"/>
      <c r="AB643" s="64"/>
      <c r="AC643" s="64"/>
      <c r="AD643" s="64"/>
      <c r="AE643" s="64"/>
      <c r="AF643" s="64"/>
      <c r="AG643" s="29"/>
    </row>
    <row r="644" spans="1:33">
      <c r="A644" s="51"/>
      <c r="B644" s="52"/>
      <c r="C644" s="52"/>
      <c r="D644" s="51"/>
      <c r="E644" s="52"/>
      <c r="F644" s="52"/>
      <c r="G644" s="53"/>
      <c r="H644" s="260"/>
      <c r="I644" s="54"/>
      <c r="J644" s="54"/>
      <c r="K644" s="58"/>
      <c r="L644" s="224"/>
      <c r="M644" s="221"/>
      <c r="N644" s="24"/>
      <c r="O644" s="62"/>
      <c r="P644" s="63"/>
      <c r="Q644" s="25"/>
      <c r="R644" s="25"/>
      <c r="S644" s="25"/>
      <c r="T644" s="25"/>
      <c r="U644" s="25"/>
      <c r="V644" s="25"/>
      <c r="W644" s="25"/>
      <c r="X644" s="64"/>
      <c r="Y644" s="64"/>
      <c r="Z644" s="64"/>
      <c r="AA644" s="64"/>
      <c r="AB644" s="64"/>
      <c r="AC644" s="64"/>
      <c r="AD644" s="64"/>
      <c r="AE644" s="64"/>
      <c r="AF644" s="64"/>
      <c r="AG644" s="29"/>
    </row>
    <row r="645" spans="1:33">
      <c r="A645" s="51"/>
      <c r="B645" s="52"/>
      <c r="C645" s="52"/>
      <c r="D645" s="51"/>
      <c r="E645" s="52"/>
      <c r="F645" s="52"/>
      <c r="G645" s="53"/>
      <c r="H645" s="260"/>
      <c r="I645" s="54"/>
      <c r="J645" s="54"/>
      <c r="K645" s="58"/>
      <c r="L645" s="224"/>
      <c r="M645" s="221"/>
      <c r="N645" s="24"/>
      <c r="O645" s="62"/>
      <c r="P645" s="63"/>
      <c r="Q645" s="25"/>
      <c r="R645" s="25"/>
      <c r="S645" s="25"/>
      <c r="T645" s="25"/>
      <c r="U645" s="25"/>
      <c r="V645" s="25"/>
      <c r="W645" s="25"/>
      <c r="X645" s="64"/>
      <c r="Y645" s="64"/>
      <c r="Z645" s="64"/>
      <c r="AA645" s="64"/>
      <c r="AB645" s="64"/>
      <c r="AC645" s="64"/>
      <c r="AD645" s="64"/>
      <c r="AE645" s="64"/>
      <c r="AF645" s="64"/>
      <c r="AG645" s="29"/>
    </row>
    <row r="646" spans="1:33">
      <c r="A646" s="51"/>
      <c r="B646" s="52"/>
      <c r="C646" s="52"/>
      <c r="D646" s="51"/>
      <c r="E646" s="52"/>
      <c r="F646" s="52"/>
      <c r="G646" s="53"/>
      <c r="H646" s="260"/>
      <c r="I646" s="54"/>
      <c r="J646" s="54"/>
      <c r="K646" s="58"/>
      <c r="L646" s="224"/>
      <c r="M646" s="221"/>
      <c r="N646" s="24"/>
      <c r="O646" s="62"/>
      <c r="P646" s="63"/>
      <c r="Q646" s="25"/>
      <c r="R646" s="25"/>
      <c r="S646" s="25"/>
      <c r="T646" s="25"/>
      <c r="U646" s="25"/>
      <c r="V646" s="25"/>
      <c r="W646" s="25"/>
      <c r="X646" s="64"/>
      <c r="Y646" s="64"/>
      <c r="Z646" s="64"/>
      <c r="AA646" s="64"/>
      <c r="AB646" s="64"/>
      <c r="AC646" s="64"/>
      <c r="AD646" s="64"/>
      <c r="AE646" s="64"/>
      <c r="AF646" s="64"/>
      <c r="AG646" s="29"/>
    </row>
    <row r="647" spans="1:33">
      <c r="A647" s="51"/>
      <c r="B647" s="52"/>
      <c r="C647" s="52"/>
      <c r="D647" s="51"/>
      <c r="E647" s="52"/>
      <c r="F647" s="52"/>
      <c r="G647" s="53"/>
      <c r="H647" s="260"/>
      <c r="I647" s="54"/>
      <c r="J647" s="54"/>
      <c r="K647" s="58"/>
      <c r="L647" s="224"/>
      <c r="M647" s="221"/>
      <c r="N647" s="24"/>
      <c r="O647" s="62"/>
      <c r="P647" s="63"/>
      <c r="Q647" s="25"/>
      <c r="R647" s="25"/>
      <c r="S647" s="25"/>
      <c r="T647" s="25"/>
      <c r="U647" s="25"/>
      <c r="V647" s="25"/>
      <c r="W647" s="25"/>
      <c r="X647" s="64"/>
      <c r="Y647" s="64"/>
      <c r="Z647" s="64"/>
      <c r="AA647" s="64"/>
      <c r="AB647" s="64"/>
      <c r="AC647" s="64"/>
      <c r="AD647" s="64"/>
      <c r="AE647" s="64"/>
      <c r="AF647" s="64"/>
      <c r="AG647" s="29"/>
    </row>
    <row r="648" spans="1:33">
      <c r="A648" s="51"/>
      <c r="B648" s="52"/>
      <c r="C648" s="52"/>
      <c r="D648" s="51"/>
      <c r="E648" s="52"/>
      <c r="F648" s="52"/>
      <c r="G648" s="53"/>
      <c r="H648" s="260"/>
      <c r="I648" s="54"/>
      <c r="J648" s="54"/>
      <c r="K648" s="58"/>
      <c r="L648" s="224"/>
      <c r="M648" s="221"/>
      <c r="N648" s="24"/>
      <c r="O648" s="62"/>
      <c r="P648" s="63"/>
      <c r="Q648" s="25"/>
      <c r="R648" s="25"/>
      <c r="S648" s="25"/>
      <c r="T648" s="25"/>
      <c r="U648" s="25"/>
      <c r="V648" s="25"/>
      <c r="W648" s="25"/>
      <c r="X648" s="64"/>
      <c r="Y648" s="64"/>
      <c r="Z648" s="64"/>
      <c r="AA648" s="64"/>
      <c r="AB648" s="64"/>
      <c r="AC648" s="64"/>
      <c r="AD648" s="64"/>
      <c r="AE648" s="64"/>
      <c r="AF648" s="64"/>
      <c r="AG648" s="29"/>
    </row>
    <row r="649" spans="1:33">
      <c r="A649" s="51"/>
      <c r="B649" s="52"/>
      <c r="C649" s="52"/>
      <c r="D649" s="51"/>
      <c r="E649" s="52"/>
      <c r="F649" s="52"/>
      <c r="G649" s="53"/>
      <c r="H649" s="260"/>
      <c r="I649" s="54"/>
      <c r="J649" s="54"/>
      <c r="K649" s="58"/>
      <c r="L649" s="224"/>
      <c r="M649" s="221"/>
      <c r="N649" s="24"/>
      <c r="O649" s="62"/>
      <c r="P649" s="63"/>
      <c r="Q649" s="25"/>
      <c r="R649" s="25"/>
      <c r="S649" s="25"/>
      <c r="T649" s="25"/>
      <c r="U649" s="25"/>
      <c r="V649" s="25"/>
      <c r="W649" s="25"/>
      <c r="X649" s="64"/>
      <c r="Y649" s="64"/>
      <c r="Z649" s="64"/>
      <c r="AA649" s="64"/>
      <c r="AB649" s="64"/>
      <c r="AC649" s="64"/>
      <c r="AD649" s="64"/>
      <c r="AE649" s="64"/>
      <c r="AF649" s="64"/>
      <c r="AG649" s="29"/>
    </row>
    <row r="650" spans="1:33">
      <c r="A650" s="51"/>
      <c r="B650" s="52"/>
      <c r="C650" s="52"/>
      <c r="D650" s="51"/>
      <c r="E650" s="52"/>
      <c r="F650" s="52"/>
      <c r="G650" s="53"/>
      <c r="H650" s="260"/>
      <c r="I650" s="54"/>
      <c r="J650" s="54"/>
      <c r="K650" s="58"/>
      <c r="L650" s="224"/>
      <c r="M650" s="221"/>
      <c r="N650" s="24"/>
      <c r="O650" s="62"/>
      <c r="P650" s="63"/>
      <c r="Q650" s="25"/>
      <c r="R650" s="25"/>
      <c r="S650" s="25"/>
      <c r="T650" s="25"/>
      <c r="U650" s="25"/>
      <c r="V650" s="25"/>
      <c r="W650" s="25"/>
      <c r="X650" s="64"/>
      <c r="Y650" s="64"/>
      <c r="Z650" s="64"/>
      <c r="AA650" s="64"/>
      <c r="AB650" s="64"/>
      <c r="AC650" s="64"/>
      <c r="AD650" s="64"/>
      <c r="AE650" s="64"/>
      <c r="AF650" s="64"/>
      <c r="AG650" s="29"/>
    </row>
    <row r="651" spans="1:33">
      <c r="A651" s="51"/>
      <c r="B651" s="52"/>
      <c r="C651" s="52"/>
      <c r="D651" s="51"/>
      <c r="E651" s="52"/>
      <c r="F651" s="52"/>
      <c r="G651" s="53"/>
      <c r="H651" s="260"/>
      <c r="I651" s="54"/>
      <c r="J651" s="54"/>
      <c r="K651" s="58"/>
      <c r="L651" s="224"/>
      <c r="M651" s="221"/>
      <c r="N651" s="24"/>
      <c r="O651" s="62"/>
      <c r="P651" s="63"/>
      <c r="Q651" s="25"/>
      <c r="R651" s="25"/>
      <c r="S651" s="25"/>
      <c r="T651" s="25"/>
      <c r="U651" s="25"/>
      <c r="V651" s="25"/>
      <c r="W651" s="25"/>
      <c r="X651" s="64"/>
      <c r="Y651" s="64"/>
      <c r="Z651" s="64"/>
      <c r="AA651" s="64"/>
      <c r="AB651" s="64"/>
      <c r="AC651" s="64"/>
      <c r="AD651" s="64"/>
      <c r="AE651" s="64"/>
      <c r="AF651" s="64"/>
      <c r="AG651" s="29"/>
    </row>
    <row r="652" spans="1:33">
      <c r="A652" s="51"/>
      <c r="B652" s="52"/>
      <c r="C652" s="52"/>
      <c r="D652" s="51"/>
      <c r="E652" s="52"/>
      <c r="F652" s="52"/>
      <c r="G652" s="53"/>
      <c r="H652" s="260"/>
      <c r="I652" s="54"/>
      <c r="J652" s="54"/>
      <c r="K652" s="58"/>
      <c r="L652" s="224"/>
      <c r="M652" s="221"/>
      <c r="N652" s="24"/>
      <c r="O652" s="62"/>
      <c r="P652" s="63"/>
      <c r="Q652" s="25"/>
      <c r="R652" s="25"/>
      <c r="S652" s="25"/>
      <c r="T652" s="25"/>
      <c r="U652" s="25"/>
      <c r="V652" s="25"/>
      <c r="W652" s="25"/>
      <c r="X652" s="64"/>
      <c r="Y652" s="64"/>
      <c r="Z652" s="64"/>
      <c r="AA652" s="64"/>
      <c r="AB652" s="64"/>
      <c r="AC652" s="64"/>
      <c r="AD652" s="64"/>
      <c r="AE652" s="64"/>
      <c r="AF652" s="64"/>
      <c r="AG652" s="29"/>
    </row>
    <row r="653" spans="1:33">
      <c r="A653" s="51"/>
      <c r="B653" s="52"/>
      <c r="C653" s="52"/>
      <c r="D653" s="51"/>
      <c r="E653" s="52"/>
      <c r="F653" s="52"/>
      <c r="G653" s="53"/>
      <c r="H653" s="260"/>
      <c r="I653" s="54"/>
      <c r="J653" s="54"/>
      <c r="K653" s="58"/>
      <c r="L653" s="224"/>
      <c r="M653" s="221"/>
      <c r="N653" s="24"/>
      <c r="O653" s="62"/>
      <c r="P653" s="63"/>
      <c r="Q653" s="25"/>
      <c r="R653" s="25"/>
      <c r="S653" s="25"/>
      <c r="T653" s="25"/>
      <c r="U653" s="25"/>
      <c r="V653" s="25"/>
      <c r="W653" s="25"/>
      <c r="X653" s="64"/>
      <c r="Y653" s="64"/>
      <c r="Z653" s="64"/>
      <c r="AA653" s="64"/>
      <c r="AB653" s="64"/>
      <c r="AC653" s="64"/>
      <c r="AD653" s="64"/>
      <c r="AE653" s="64"/>
      <c r="AF653" s="64"/>
      <c r="AG653" s="29"/>
    </row>
    <row r="654" spans="1:33">
      <c r="A654" s="51"/>
      <c r="B654" s="52"/>
      <c r="C654" s="52"/>
      <c r="D654" s="51"/>
      <c r="E654" s="52"/>
      <c r="F654" s="52"/>
      <c r="G654" s="53"/>
      <c r="H654" s="260"/>
      <c r="I654" s="54"/>
      <c r="J654" s="54"/>
      <c r="K654" s="58"/>
      <c r="L654" s="224"/>
      <c r="M654" s="221"/>
      <c r="N654" s="24"/>
      <c r="O654" s="62"/>
      <c r="P654" s="63"/>
      <c r="Q654" s="25"/>
      <c r="R654" s="25"/>
      <c r="S654" s="25"/>
      <c r="T654" s="25"/>
      <c r="U654" s="25"/>
      <c r="V654" s="25"/>
      <c r="W654" s="25"/>
      <c r="X654" s="64"/>
      <c r="Y654" s="64"/>
      <c r="Z654" s="64"/>
      <c r="AA654" s="64"/>
      <c r="AB654" s="64"/>
      <c r="AC654" s="64"/>
      <c r="AD654" s="64"/>
      <c r="AE654" s="64"/>
      <c r="AF654" s="64"/>
      <c r="AG654" s="29"/>
    </row>
    <row r="655" spans="1:33">
      <c r="A655" s="51"/>
      <c r="B655" s="52"/>
      <c r="C655" s="52"/>
      <c r="D655" s="51"/>
      <c r="E655" s="52"/>
      <c r="F655" s="52"/>
      <c r="G655" s="53"/>
      <c r="H655" s="260"/>
      <c r="I655" s="54"/>
      <c r="J655" s="54"/>
      <c r="K655" s="58"/>
      <c r="L655" s="224"/>
      <c r="M655" s="221"/>
      <c r="N655" s="24"/>
      <c r="O655" s="62"/>
      <c r="P655" s="63"/>
      <c r="Q655" s="25"/>
      <c r="R655" s="25"/>
      <c r="S655" s="25"/>
      <c r="T655" s="25"/>
      <c r="U655" s="25"/>
      <c r="V655" s="25"/>
      <c r="W655" s="25"/>
      <c r="X655" s="64"/>
      <c r="Y655" s="64"/>
      <c r="Z655" s="64"/>
      <c r="AA655" s="64"/>
      <c r="AB655" s="64"/>
      <c r="AC655" s="64"/>
      <c r="AD655" s="64"/>
      <c r="AE655" s="64"/>
      <c r="AF655" s="64"/>
      <c r="AG655" s="29"/>
    </row>
    <row r="656" spans="1:33">
      <c r="A656" s="51"/>
      <c r="B656" s="52"/>
      <c r="C656" s="52"/>
      <c r="D656" s="51"/>
      <c r="E656" s="52"/>
      <c r="F656" s="52"/>
      <c r="G656" s="53"/>
      <c r="H656" s="260"/>
      <c r="I656" s="54"/>
      <c r="J656" s="54"/>
      <c r="K656" s="58"/>
      <c r="L656" s="224"/>
      <c r="M656" s="221"/>
      <c r="N656" s="24"/>
      <c r="O656" s="62"/>
      <c r="P656" s="63"/>
      <c r="Q656" s="25"/>
      <c r="R656" s="25"/>
      <c r="S656" s="25"/>
      <c r="T656" s="25"/>
      <c r="U656" s="25"/>
      <c r="V656" s="25"/>
      <c r="W656" s="25"/>
      <c r="X656" s="64"/>
      <c r="Y656" s="64"/>
      <c r="Z656" s="64"/>
      <c r="AA656" s="64"/>
      <c r="AB656" s="64"/>
      <c r="AC656" s="64"/>
      <c r="AD656" s="64"/>
      <c r="AE656" s="64"/>
      <c r="AF656" s="64"/>
      <c r="AG656" s="29"/>
    </row>
    <row r="657" spans="1:33">
      <c r="A657" s="51"/>
      <c r="B657" s="52"/>
      <c r="C657" s="52"/>
      <c r="D657" s="51"/>
      <c r="E657" s="52"/>
      <c r="F657" s="52"/>
      <c r="G657" s="53"/>
      <c r="H657" s="260"/>
      <c r="I657" s="54"/>
      <c r="J657" s="54"/>
      <c r="K657" s="58"/>
      <c r="L657" s="224"/>
      <c r="M657" s="221"/>
      <c r="N657" s="24"/>
      <c r="O657" s="62"/>
      <c r="P657" s="63"/>
      <c r="Q657" s="25"/>
      <c r="R657" s="25"/>
      <c r="S657" s="25"/>
      <c r="T657" s="25"/>
      <c r="U657" s="25"/>
      <c r="V657" s="25"/>
      <c r="W657" s="25"/>
      <c r="X657" s="64"/>
      <c r="Y657" s="64"/>
      <c r="Z657" s="64"/>
      <c r="AA657" s="64"/>
      <c r="AB657" s="64"/>
      <c r="AC657" s="64"/>
      <c r="AD657" s="64"/>
      <c r="AE657" s="64"/>
      <c r="AF657" s="64"/>
      <c r="AG657" s="29"/>
    </row>
    <row r="658" spans="1:33">
      <c r="A658" s="51"/>
      <c r="B658" s="52"/>
      <c r="C658" s="52"/>
      <c r="D658" s="51"/>
      <c r="E658" s="52"/>
      <c r="F658" s="52"/>
      <c r="G658" s="53"/>
      <c r="H658" s="260"/>
      <c r="I658" s="54"/>
      <c r="J658" s="54"/>
      <c r="K658" s="58"/>
      <c r="L658" s="224"/>
      <c r="M658" s="221"/>
      <c r="N658" s="24"/>
      <c r="O658" s="62"/>
      <c r="P658" s="63"/>
      <c r="Q658" s="25"/>
      <c r="R658" s="25"/>
      <c r="S658" s="25"/>
      <c r="T658" s="25"/>
      <c r="U658" s="25"/>
      <c r="V658" s="25"/>
      <c r="W658" s="25"/>
      <c r="X658" s="64"/>
      <c r="Y658" s="64"/>
      <c r="Z658" s="64"/>
      <c r="AA658" s="64"/>
      <c r="AB658" s="64"/>
      <c r="AC658" s="64"/>
      <c r="AD658" s="64"/>
      <c r="AE658" s="64"/>
      <c r="AF658" s="64"/>
      <c r="AG658" s="29"/>
    </row>
    <row r="659" spans="1:33">
      <c r="A659" s="51"/>
      <c r="B659" s="52"/>
      <c r="C659" s="52"/>
      <c r="D659" s="51"/>
      <c r="E659" s="52"/>
      <c r="F659" s="52"/>
      <c r="G659" s="53"/>
      <c r="H659" s="260"/>
      <c r="I659" s="54"/>
      <c r="J659" s="54"/>
      <c r="K659" s="58"/>
      <c r="L659" s="224"/>
      <c r="M659" s="221"/>
      <c r="N659" s="24"/>
      <c r="O659" s="62"/>
      <c r="P659" s="63"/>
      <c r="Q659" s="25"/>
      <c r="R659" s="25"/>
      <c r="S659" s="25"/>
      <c r="T659" s="25"/>
      <c r="U659" s="25"/>
      <c r="V659" s="25"/>
      <c r="W659" s="25"/>
      <c r="X659" s="64"/>
      <c r="Y659" s="64"/>
      <c r="Z659" s="64"/>
      <c r="AA659" s="64"/>
      <c r="AB659" s="64"/>
      <c r="AC659" s="64"/>
      <c r="AD659" s="64"/>
      <c r="AE659" s="64"/>
      <c r="AF659" s="64"/>
      <c r="AG659" s="29"/>
    </row>
    <row r="660" spans="1:33">
      <c r="A660" s="51"/>
      <c r="B660" s="52"/>
      <c r="C660" s="52"/>
      <c r="D660" s="51"/>
      <c r="E660" s="52"/>
      <c r="F660" s="52"/>
      <c r="G660" s="53"/>
      <c r="H660" s="260"/>
      <c r="I660" s="54"/>
      <c r="J660" s="54"/>
      <c r="K660" s="58"/>
      <c r="L660" s="224"/>
      <c r="M660" s="221"/>
      <c r="N660" s="24"/>
      <c r="O660" s="62"/>
      <c r="P660" s="63"/>
      <c r="Q660" s="25"/>
      <c r="R660" s="25"/>
      <c r="S660" s="25"/>
      <c r="T660" s="25"/>
      <c r="U660" s="25"/>
      <c r="V660" s="25"/>
      <c r="W660" s="25"/>
      <c r="X660" s="64"/>
      <c r="Y660" s="64"/>
      <c r="Z660" s="64"/>
      <c r="AA660" s="64"/>
      <c r="AB660" s="64"/>
      <c r="AC660" s="64"/>
      <c r="AD660" s="64"/>
      <c r="AE660" s="64"/>
      <c r="AF660" s="64"/>
      <c r="AG660" s="29"/>
    </row>
    <row r="661" spans="1:33">
      <c r="A661" s="51"/>
      <c r="B661" s="52"/>
      <c r="C661" s="52"/>
      <c r="D661" s="51"/>
      <c r="E661" s="52"/>
      <c r="F661" s="52"/>
      <c r="G661" s="53"/>
      <c r="H661" s="260"/>
      <c r="I661" s="54"/>
      <c r="J661" s="54"/>
      <c r="K661" s="58"/>
      <c r="L661" s="224"/>
      <c r="M661" s="221"/>
      <c r="N661" s="24"/>
      <c r="O661" s="62"/>
      <c r="P661" s="63"/>
      <c r="Q661" s="25"/>
      <c r="R661" s="25"/>
      <c r="S661" s="25"/>
      <c r="T661" s="25"/>
      <c r="U661" s="25"/>
      <c r="V661" s="25"/>
      <c r="W661" s="25"/>
      <c r="X661" s="64"/>
      <c r="Y661" s="64"/>
      <c r="Z661" s="64"/>
      <c r="AA661" s="64"/>
      <c r="AB661" s="64"/>
      <c r="AC661" s="64"/>
      <c r="AD661" s="64"/>
      <c r="AE661" s="64"/>
      <c r="AF661" s="64"/>
      <c r="AG661" s="29"/>
    </row>
    <row r="662" spans="1:33">
      <c r="A662" s="51"/>
      <c r="B662" s="52"/>
      <c r="C662" s="52"/>
      <c r="D662" s="51"/>
      <c r="E662" s="52"/>
      <c r="F662" s="52"/>
      <c r="G662" s="53"/>
      <c r="H662" s="260"/>
      <c r="I662" s="54"/>
      <c r="J662" s="54"/>
      <c r="K662" s="58"/>
      <c r="L662" s="224"/>
      <c r="M662" s="221"/>
      <c r="N662" s="24"/>
      <c r="O662" s="62"/>
      <c r="P662" s="63"/>
      <c r="Q662" s="25"/>
      <c r="R662" s="25"/>
      <c r="S662" s="25"/>
      <c r="T662" s="25"/>
      <c r="U662" s="25"/>
      <c r="V662" s="25"/>
      <c r="W662" s="25"/>
      <c r="X662" s="64"/>
      <c r="Y662" s="64"/>
      <c r="Z662" s="64"/>
      <c r="AA662" s="64"/>
      <c r="AB662" s="64"/>
      <c r="AC662" s="64"/>
      <c r="AD662" s="64"/>
      <c r="AE662" s="64"/>
      <c r="AF662" s="64"/>
      <c r="AG662" s="29"/>
    </row>
    <row r="663" spans="1:33">
      <c r="A663" s="51"/>
      <c r="B663" s="52"/>
      <c r="C663" s="52"/>
      <c r="D663" s="51"/>
      <c r="E663" s="52"/>
      <c r="F663" s="52"/>
      <c r="G663" s="53"/>
      <c r="H663" s="260"/>
      <c r="I663" s="54"/>
      <c r="J663" s="54"/>
      <c r="K663" s="58"/>
      <c r="L663" s="224"/>
      <c r="M663" s="221"/>
      <c r="N663" s="24"/>
      <c r="O663" s="62"/>
      <c r="P663" s="63"/>
      <c r="Q663" s="25"/>
      <c r="R663" s="25"/>
      <c r="S663" s="25"/>
      <c r="T663" s="25"/>
      <c r="U663" s="25"/>
      <c r="V663" s="25"/>
      <c r="W663" s="25"/>
      <c r="X663" s="64"/>
      <c r="Y663" s="64"/>
      <c r="Z663" s="64"/>
      <c r="AA663" s="64"/>
      <c r="AB663" s="64"/>
      <c r="AC663" s="64"/>
      <c r="AD663" s="64"/>
      <c r="AE663" s="64"/>
      <c r="AF663" s="64"/>
      <c r="AG663" s="29"/>
    </row>
    <row r="664" spans="1:33">
      <c r="A664" s="51"/>
      <c r="B664" s="52"/>
      <c r="C664" s="52"/>
      <c r="D664" s="51"/>
      <c r="E664" s="52"/>
      <c r="F664" s="52"/>
      <c r="G664" s="53"/>
      <c r="H664" s="260"/>
      <c r="I664" s="54"/>
      <c r="J664" s="54"/>
      <c r="K664" s="58"/>
      <c r="L664" s="224"/>
      <c r="M664" s="221"/>
      <c r="N664" s="24"/>
      <c r="O664" s="62"/>
      <c r="P664" s="63"/>
      <c r="Q664" s="25"/>
      <c r="R664" s="25"/>
      <c r="S664" s="25"/>
      <c r="T664" s="25"/>
      <c r="U664" s="25"/>
      <c r="V664" s="25"/>
      <c r="W664" s="25"/>
      <c r="X664" s="64"/>
      <c r="Y664" s="64"/>
      <c r="Z664" s="64"/>
      <c r="AA664" s="64"/>
      <c r="AB664" s="64"/>
      <c r="AC664" s="64"/>
      <c r="AD664" s="64"/>
      <c r="AE664" s="64"/>
      <c r="AF664" s="64"/>
      <c r="AG664" s="29"/>
    </row>
    <row r="665" spans="1:33">
      <c r="A665" s="51"/>
      <c r="B665" s="52"/>
      <c r="C665" s="52"/>
      <c r="D665" s="51"/>
      <c r="E665" s="52"/>
      <c r="F665" s="52"/>
      <c r="G665" s="53"/>
      <c r="H665" s="260"/>
      <c r="I665" s="54"/>
      <c r="J665" s="54"/>
      <c r="K665" s="58"/>
      <c r="L665" s="224"/>
      <c r="M665" s="221"/>
      <c r="N665" s="24"/>
      <c r="O665" s="62"/>
      <c r="P665" s="63"/>
      <c r="Q665" s="25"/>
      <c r="R665" s="25"/>
      <c r="S665" s="25"/>
      <c r="T665" s="25"/>
      <c r="U665" s="25"/>
      <c r="V665" s="25"/>
      <c r="W665" s="25"/>
      <c r="X665" s="64"/>
      <c r="Y665" s="64"/>
      <c r="Z665" s="64"/>
      <c r="AA665" s="64"/>
      <c r="AB665" s="64"/>
      <c r="AC665" s="64"/>
      <c r="AD665" s="64"/>
      <c r="AE665" s="64"/>
      <c r="AF665" s="64"/>
      <c r="AG665" s="29"/>
    </row>
    <row r="666" spans="1:33">
      <c r="A666" s="51"/>
      <c r="B666" s="52"/>
      <c r="C666" s="52"/>
      <c r="D666" s="51"/>
      <c r="E666" s="52"/>
      <c r="F666" s="52"/>
      <c r="G666" s="53"/>
      <c r="H666" s="260"/>
      <c r="I666" s="54"/>
      <c r="J666" s="54"/>
      <c r="K666" s="58"/>
      <c r="L666" s="224"/>
      <c r="M666" s="221"/>
      <c r="N666" s="24"/>
      <c r="O666" s="62"/>
      <c r="P666" s="63"/>
      <c r="Q666" s="25"/>
      <c r="R666" s="25"/>
      <c r="S666" s="25"/>
      <c r="T666" s="25"/>
      <c r="U666" s="25"/>
      <c r="V666" s="25"/>
      <c r="W666" s="25"/>
      <c r="X666" s="64"/>
      <c r="Y666" s="64"/>
      <c r="Z666" s="64"/>
      <c r="AA666" s="64"/>
      <c r="AB666" s="64"/>
      <c r="AC666" s="64"/>
      <c r="AD666" s="64"/>
      <c r="AE666" s="64"/>
      <c r="AF666" s="64"/>
      <c r="AG666" s="29"/>
    </row>
    <row r="667" spans="1:33">
      <c r="A667" s="51"/>
      <c r="B667" s="52"/>
      <c r="C667" s="52"/>
      <c r="D667" s="51"/>
      <c r="E667" s="52"/>
      <c r="F667" s="52"/>
      <c r="G667" s="53"/>
      <c r="H667" s="260"/>
      <c r="I667" s="54"/>
      <c r="J667" s="54"/>
      <c r="K667" s="58"/>
      <c r="L667" s="224"/>
      <c r="M667" s="221"/>
      <c r="N667" s="24"/>
      <c r="O667" s="62"/>
      <c r="P667" s="63"/>
      <c r="Q667" s="25"/>
      <c r="R667" s="25"/>
      <c r="S667" s="25"/>
      <c r="T667" s="25"/>
      <c r="U667" s="25"/>
      <c r="V667" s="25"/>
      <c r="W667" s="25"/>
      <c r="X667" s="64"/>
      <c r="Y667" s="64"/>
      <c r="Z667" s="64"/>
      <c r="AA667" s="64"/>
      <c r="AB667" s="64"/>
      <c r="AC667" s="64"/>
      <c r="AD667" s="64"/>
      <c r="AE667" s="64"/>
      <c r="AF667" s="64"/>
      <c r="AG667" s="29"/>
    </row>
    <row r="668" spans="1:33">
      <c r="A668" s="51"/>
      <c r="B668" s="52"/>
      <c r="C668" s="52"/>
      <c r="D668" s="51"/>
      <c r="E668" s="52"/>
      <c r="F668" s="52"/>
      <c r="G668" s="53"/>
      <c r="H668" s="260"/>
      <c r="I668" s="54"/>
      <c r="J668" s="54"/>
      <c r="K668" s="58"/>
      <c r="L668" s="224"/>
      <c r="M668" s="221"/>
      <c r="N668" s="24"/>
      <c r="O668" s="62"/>
      <c r="P668" s="63"/>
      <c r="Q668" s="25"/>
      <c r="R668" s="25"/>
      <c r="S668" s="25"/>
      <c r="T668" s="25"/>
      <c r="U668" s="25"/>
      <c r="V668" s="25"/>
      <c r="W668" s="25"/>
      <c r="X668" s="64"/>
      <c r="Y668" s="64"/>
      <c r="Z668" s="64"/>
      <c r="AA668" s="64"/>
      <c r="AB668" s="64"/>
      <c r="AC668" s="64"/>
      <c r="AD668" s="64"/>
      <c r="AE668" s="64"/>
      <c r="AF668" s="64"/>
      <c r="AG668" s="29"/>
    </row>
    <row r="669" spans="1:33">
      <c r="A669" s="51"/>
      <c r="B669" s="52"/>
      <c r="C669" s="52"/>
      <c r="D669" s="51"/>
      <c r="E669" s="52"/>
      <c r="F669" s="52"/>
      <c r="G669" s="53"/>
      <c r="H669" s="260"/>
      <c r="I669" s="54"/>
      <c r="J669" s="54"/>
      <c r="K669" s="58"/>
      <c r="L669" s="224"/>
      <c r="M669" s="221"/>
      <c r="N669" s="24"/>
      <c r="O669" s="62"/>
      <c r="P669" s="63"/>
      <c r="Q669" s="25"/>
      <c r="R669" s="25"/>
      <c r="S669" s="25"/>
      <c r="T669" s="25"/>
      <c r="U669" s="25"/>
      <c r="V669" s="25"/>
      <c r="W669" s="25"/>
      <c r="X669" s="64"/>
      <c r="Y669" s="64"/>
      <c r="Z669" s="64"/>
      <c r="AA669" s="64"/>
      <c r="AB669" s="64"/>
      <c r="AC669" s="64"/>
      <c r="AD669" s="64"/>
      <c r="AE669" s="64"/>
      <c r="AF669" s="64"/>
      <c r="AG669" s="29"/>
    </row>
    <row r="670" spans="1:33">
      <c r="A670" s="51"/>
      <c r="B670" s="52"/>
      <c r="C670" s="52"/>
      <c r="D670" s="51"/>
      <c r="E670" s="52"/>
      <c r="F670" s="52"/>
      <c r="G670" s="53"/>
      <c r="H670" s="260"/>
      <c r="I670" s="54"/>
      <c r="J670" s="54"/>
      <c r="K670" s="58"/>
      <c r="L670" s="224"/>
      <c r="M670" s="221"/>
      <c r="N670" s="24"/>
      <c r="O670" s="62"/>
      <c r="P670" s="63"/>
      <c r="Q670" s="25"/>
      <c r="R670" s="25"/>
      <c r="S670" s="25"/>
      <c r="T670" s="25"/>
      <c r="U670" s="25"/>
      <c r="V670" s="25"/>
      <c r="W670" s="25"/>
      <c r="X670" s="64"/>
      <c r="Y670" s="64"/>
      <c r="Z670" s="64"/>
      <c r="AA670" s="64"/>
      <c r="AB670" s="64"/>
      <c r="AC670" s="64"/>
      <c r="AD670" s="64"/>
      <c r="AE670" s="64"/>
      <c r="AF670" s="64"/>
      <c r="AG670" s="29"/>
    </row>
    <row r="671" spans="1:33">
      <c r="A671" s="51"/>
      <c r="B671" s="52"/>
      <c r="C671" s="52"/>
      <c r="D671" s="51"/>
      <c r="E671" s="52"/>
      <c r="F671" s="52"/>
      <c r="G671" s="53"/>
      <c r="H671" s="260"/>
      <c r="I671" s="54"/>
      <c r="J671" s="54"/>
      <c r="K671" s="58"/>
      <c r="L671" s="224"/>
      <c r="M671" s="221"/>
      <c r="N671" s="24"/>
      <c r="O671" s="62"/>
      <c r="P671" s="63"/>
      <c r="Q671" s="25"/>
      <c r="R671" s="25"/>
      <c r="S671" s="25"/>
      <c r="T671" s="25"/>
      <c r="U671" s="25"/>
      <c r="V671" s="25"/>
      <c r="W671" s="25"/>
      <c r="X671" s="64"/>
      <c r="Y671" s="64"/>
      <c r="Z671" s="64"/>
      <c r="AA671" s="64"/>
      <c r="AB671" s="64"/>
      <c r="AC671" s="64"/>
      <c r="AD671" s="64"/>
      <c r="AE671" s="64"/>
      <c r="AF671" s="64"/>
      <c r="AG671" s="29"/>
    </row>
    <row r="672" spans="1:33">
      <c r="A672" s="51"/>
      <c r="B672" s="52"/>
      <c r="C672" s="52"/>
      <c r="D672" s="51"/>
      <c r="E672" s="52"/>
      <c r="F672" s="52"/>
      <c r="G672" s="53"/>
      <c r="H672" s="260"/>
      <c r="I672" s="54"/>
      <c r="J672" s="54"/>
      <c r="K672" s="58"/>
      <c r="L672" s="224"/>
      <c r="M672" s="221"/>
      <c r="N672" s="24"/>
      <c r="O672" s="62"/>
      <c r="P672" s="63"/>
      <c r="Q672" s="25"/>
      <c r="R672" s="25"/>
      <c r="S672" s="25"/>
      <c r="T672" s="25"/>
      <c r="U672" s="25"/>
      <c r="V672" s="25"/>
      <c r="W672" s="25"/>
      <c r="X672" s="64"/>
      <c r="Y672" s="64"/>
      <c r="Z672" s="64"/>
      <c r="AA672" s="64"/>
      <c r="AB672" s="64"/>
      <c r="AC672" s="64"/>
      <c r="AD672" s="64"/>
      <c r="AE672" s="64"/>
      <c r="AF672" s="64"/>
      <c r="AG672" s="29"/>
    </row>
    <row r="673" spans="1:33">
      <c r="A673" s="51"/>
      <c r="B673" s="52"/>
      <c r="C673" s="52"/>
      <c r="D673" s="51"/>
      <c r="E673" s="52"/>
      <c r="F673" s="52"/>
      <c r="G673" s="53"/>
      <c r="H673" s="260"/>
      <c r="I673" s="54"/>
      <c r="J673" s="54"/>
      <c r="K673" s="58"/>
      <c r="L673" s="224"/>
      <c r="M673" s="221"/>
      <c r="N673" s="24"/>
      <c r="O673" s="62"/>
      <c r="P673" s="63"/>
      <c r="Q673" s="25"/>
      <c r="R673" s="25"/>
      <c r="S673" s="25"/>
      <c r="T673" s="25"/>
      <c r="U673" s="25"/>
      <c r="V673" s="25"/>
      <c r="W673" s="25"/>
      <c r="X673" s="64"/>
      <c r="Y673" s="64"/>
      <c r="Z673" s="64"/>
      <c r="AA673" s="64"/>
      <c r="AB673" s="64"/>
      <c r="AC673" s="64"/>
      <c r="AD673" s="64"/>
      <c r="AE673" s="64"/>
      <c r="AF673" s="64"/>
      <c r="AG673" s="29"/>
    </row>
    <row r="674" spans="1:33">
      <c r="A674" s="51"/>
      <c r="B674" s="52"/>
      <c r="C674" s="52"/>
      <c r="D674" s="51"/>
      <c r="E674" s="52"/>
      <c r="F674" s="52"/>
      <c r="G674" s="53"/>
      <c r="H674" s="260"/>
      <c r="I674" s="54"/>
      <c r="J674" s="54"/>
      <c r="K674" s="58"/>
      <c r="L674" s="224"/>
      <c r="M674" s="221"/>
      <c r="N674" s="24"/>
      <c r="O674" s="62"/>
      <c r="P674" s="63"/>
      <c r="Q674" s="25"/>
      <c r="R674" s="25"/>
      <c r="S674" s="25"/>
      <c r="T674" s="25"/>
      <c r="U674" s="25"/>
      <c r="V674" s="25"/>
      <c r="W674" s="25"/>
      <c r="X674" s="64"/>
      <c r="Y674" s="64"/>
      <c r="Z674" s="64"/>
      <c r="AA674" s="64"/>
      <c r="AB674" s="64"/>
      <c r="AC674" s="64"/>
      <c r="AD674" s="64"/>
      <c r="AE674" s="64"/>
      <c r="AF674" s="64"/>
      <c r="AG674" s="29"/>
    </row>
    <row r="675" spans="1:33">
      <c r="A675" s="51"/>
      <c r="B675" s="52"/>
      <c r="C675" s="52"/>
      <c r="D675" s="51"/>
      <c r="E675" s="52"/>
      <c r="F675" s="52"/>
      <c r="G675" s="53"/>
      <c r="H675" s="260"/>
      <c r="I675" s="54"/>
      <c r="J675" s="54"/>
      <c r="K675" s="58"/>
      <c r="L675" s="224"/>
      <c r="M675" s="221"/>
      <c r="N675" s="24"/>
      <c r="O675" s="62"/>
      <c r="P675" s="63"/>
      <c r="Q675" s="25"/>
      <c r="R675" s="25"/>
      <c r="S675" s="25"/>
      <c r="T675" s="25"/>
      <c r="U675" s="25"/>
      <c r="V675" s="25"/>
      <c r="W675" s="25"/>
      <c r="X675" s="64"/>
      <c r="Y675" s="64"/>
      <c r="Z675" s="64"/>
      <c r="AA675" s="64"/>
      <c r="AB675" s="64"/>
      <c r="AC675" s="64"/>
      <c r="AD675" s="64"/>
      <c r="AE675" s="64"/>
      <c r="AF675" s="64"/>
      <c r="AG675" s="29"/>
    </row>
    <row r="676" spans="1:33">
      <c r="A676" s="51"/>
      <c r="B676" s="52"/>
      <c r="C676" s="52"/>
      <c r="D676" s="51"/>
      <c r="E676" s="52"/>
      <c r="F676" s="52"/>
      <c r="G676" s="53"/>
      <c r="H676" s="260"/>
      <c r="I676" s="54"/>
      <c r="J676" s="54"/>
      <c r="K676" s="58"/>
      <c r="L676" s="224"/>
      <c r="M676" s="221"/>
      <c r="N676" s="24"/>
      <c r="O676" s="62"/>
      <c r="P676" s="63"/>
      <c r="Q676" s="25"/>
      <c r="R676" s="25"/>
      <c r="S676" s="25"/>
      <c r="T676" s="25"/>
      <c r="U676" s="25"/>
      <c r="V676" s="25"/>
      <c r="W676" s="25"/>
      <c r="X676" s="64"/>
      <c r="Y676" s="64"/>
      <c r="Z676" s="64"/>
      <c r="AA676" s="64"/>
      <c r="AB676" s="64"/>
      <c r="AC676" s="64"/>
      <c r="AD676" s="64"/>
      <c r="AE676" s="64"/>
      <c r="AF676" s="64"/>
      <c r="AG676" s="29"/>
    </row>
    <row r="677" spans="1:33">
      <c r="A677" s="51"/>
      <c r="B677" s="52"/>
      <c r="C677" s="52"/>
      <c r="D677" s="51"/>
      <c r="E677" s="52"/>
      <c r="F677" s="52"/>
      <c r="G677" s="53"/>
      <c r="H677" s="260"/>
      <c r="I677" s="54"/>
      <c r="J677" s="54"/>
      <c r="K677" s="58"/>
      <c r="L677" s="224"/>
      <c r="M677" s="221"/>
      <c r="N677" s="24"/>
      <c r="O677" s="62"/>
      <c r="P677" s="63"/>
      <c r="Q677" s="25"/>
      <c r="R677" s="25"/>
      <c r="S677" s="25"/>
      <c r="T677" s="25"/>
      <c r="U677" s="25"/>
      <c r="V677" s="25"/>
      <c r="W677" s="25"/>
      <c r="X677" s="64"/>
      <c r="Y677" s="64"/>
      <c r="Z677" s="64"/>
      <c r="AA677" s="64"/>
      <c r="AB677" s="64"/>
      <c r="AC677" s="64"/>
      <c r="AD677" s="64"/>
      <c r="AE677" s="64"/>
      <c r="AF677" s="64"/>
      <c r="AG677" s="29"/>
    </row>
    <row r="678" spans="1:33">
      <c r="A678" s="51"/>
      <c r="B678" s="52"/>
      <c r="C678" s="52"/>
      <c r="D678" s="51"/>
      <c r="E678" s="52"/>
      <c r="F678" s="52"/>
      <c r="G678" s="53"/>
      <c r="H678" s="260"/>
      <c r="I678" s="54"/>
      <c r="J678" s="54"/>
      <c r="K678" s="58"/>
      <c r="L678" s="224"/>
      <c r="M678" s="221"/>
      <c r="N678" s="24"/>
      <c r="O678" s="62"/>
      <c r="P678" s="63"/>
      <c r="Q678" s="25"/>
      <c r="R678" s="25"/>
      <c r="S678" s="25"/>
      <c r="T678" s="25"/>
      <c r="U678" s="25"/>
      <c r="V678" s="25"/>
      <c r="W678" s="25"/>
      <c r="X678" s="64"/>
      <c r="Y678" s="64"/>
      <c r="Z678" s="64"/>
      <c r="AA678" s="64"/>
      <c r="AB678" s="64"/>
      <c r="AC678" s="64"/>
      <c r="AD678" s="64"/>
      <c r="AE678" s="64"/>
      <c r="AF678" s="64"/>
      <c r="AG678" s="29"/>
    </row>
    <row r="679" spans="1:33">
      <c r="A679" s="51"/>
      <c r="B679" s="52"/>
      <c r="C679" s="52"/>
      <c r="D679" s="51"/>
      <c r="E679" s="52"/>
      <c r="F679" s="52"/>
      <c r="G679" s="53"/>
      <c r="H679" s="260"/>
      <c r="I679" s="54"/>
      <c r="J679" s="54"/>
      <c r="K679" s="58"/>
      <c r="L679" s="224"/>
      <c r="M679" s="221"/>
      <c r="N679" s="24"/>
      <c r="O679" s="62"/>
      <c r="P679" s="63"/>
      <c r="Q679" s="25"/>
      <c r="R679" s="25"/>
      <c r="S679" s="25"/>
      <c r="T679" s="25"/>
      <c r="U679" s="25"/>
      <c r="V679" s="25"/>
      <c r="W679" s="25"/>
      <c r="X679" s="64"/>
      <c r="Y679" s="64"/>
      <c r="Z679" s="64"/>
      <c r="AA679" s="64"/>
      <c r="AB679" s="64"/>
      <c r="AC679" s="64"/>
      <c r="AD679" s="64"/>
      <c r="AE679" s="64"/>
      <c r="AF679" s="64"/>
      <c r="AG679" s="29"/>
    </row>
    <row r="680" spans="1:33">
      <c r="A680" s="51"/>
      <c r="B680" s="52"/>
      <c r="C680" s="52"/>
      <c r="D680" s="51"/>
      <c r="E680" s="52"/>
      <c r="F680" s="52"/>
      <c r="G680" s="53"/>
      <c r="H680" s="260"/>
      <c r="I680" s="54"/>
      <c r="J680" s="54"/>
      <c r="K680" s="58"/>
      <c r="L680" s="224"/>
      <c r="M680" s="222"/>
      <c r="N680" s="24"/>
      <c r="O680" s="62"/>
      <c r="P680" s="63"/>
      <c r="Q680" s="25"/>
      <c r="R680" s="25"/>
      <c r="S680" s="25"/>
      <c r="T680" s="25"/>
      <c r="U680" s="25"/>
      <c r="V680" s="25"/>
      <c r="W680" s="25"/>
      <c r="X680" s="64"/>
      <c r="Y680" s="64"/>
      <c r="Z680" s="64"/>
      <c r="AA680" s="64"/>
      <c r="AB680" s="64"/>
      <c r="AC680" s="64"/>
      <c r="AD680" s="64"/>
      <c r="AE680" s="64"/>
      <c r="AF680" s="64"/>
      <c r="AG680" s="29"/>
    </row>
    <row r="681" spans="1:33" ht="18" thickBot="1">
      <c r="A681" s="51"/>
      <c r="B681" s="52"/>
      <c r="C681" s="52"/>
      <c r="D681" s="51"/>
      <c r="E681" s="52"/>
      <c r="F681" s="52"/>
      <c r="G681" s="53"/>
      <c r="H681" s="260"/>
      <c r="I681" s="54"/>
      <c r="J681" s="54"/>
      <c r="K681" s="58"/>
      <c r="L681" s="224"/>
      <c r="M681" s="223"/>
      <c r="N681" s="65"/>
      <c r="O681" s="66"/>
      <c r="P681" s="67"/>
      <c r="Q681" s="68"/>
      <c r="R681" s="68"/>
      <c r="S681" s="68"/>
      <c r="T681" s="68"/>
      <c r="U681" s="68"/>
      <c r="V681" s="68"/>
      <c r="W681" s="68"/>
      <c r="X681" s="69"/>
      <c r="Y681" s="69"/>
      <c r="Z681" s="69"/>
      <c r="AA681" s="69"/>
      <c r="AB681" s="69"/>
      <c r="AC681" s="69"/>
      <c r="AD681" s="69"/>
      <c r="AE681" s="69"/>
      <c r="AF681" s="69"/>
      <c r="AG681" s="70"/>
    </row>
    <row r="682" spans="1:33" ht="18" thickTop="1"/>
    <row r="690" spans="1:34" s="21" customFormat="1">
      <c r="A690" s="26"/>
      <c r="B690" s="26"/>
      <c r="C690" s="26"/>
      <c r="D690" s="26"/>
      <c r="E690" s="26"/>
      <c r="F690" s="31"/>
      <c r="G690"/>
      <c r="H690" s="262"/>
      <c r="I690"/>
      <c r="M690" s="26"/>
      <c r="N690" s="22"/>
      <c r="O690" s="22"/>
      <c r="P690" s="22"/>
      <c r="Q690" s="22"/>
      <c r="R690" s="22"/>
      <c r="S690" s="22"/>
      <c r="T690" s="22"/>
      <c r="U690" s="22"/>
      <c r="V690" s="22"/>
      <c r="W690" s="22"/>
      <c r="X690" s="22"/>
      <c r="Y690" s="22"/>
      <c r="Z690" s="22"/>
      <c r="AA690" s="22"/>
      <c r="AB690" s="22"/>
      <c r="AC690" s="22"/>
      <c r="AD690" s="22"/>
      <c r="AE690" s="22"/>
      <c r="AF690" s="22"/>
      <c r="AG690" s="22"/>
      <c r="AH690" s="26"/>
    </row>
    <row r="691" spans="1:34" s="21" customFormat="1">
      <c r="A691" s="26"/>
      <c r="B691" s="26"/>
      <c r="C691" s="26"/>
      <c r="D691" s="26"/>
      <c r="E691" s="26"/>
      <c r="F691" s="31"/>
      <c r="G691"/>
      <c r="H691" s="262"/>
      <c r="I691"/>
      <c r="M691" s="26"/>
      <c r="N691" s="22"/>
      <c r="O691" s="22"/>
      <c r="P691" s="22"/>
      <c r="Q691" s="22"/>
      <c r="R691" s="22"/>
      <c r="S691" s="22"/>
      <c r="T691" s="22"/>
      <c r="U691" s="22"/>
      <c r="V691" s="22"/>
      <c r="W691" s="22"/>
      <c r="X691" s="22"/>
      <c r="Y691" s="22"/>
      <c r="Z691" s="22"/>
      <c r="AA691" s="22"/>
      <c r="AB691" s="22"/>
      <c r="AC691" s="22"/>
      <c r="AD691" s="22"/>
      <c r="AE691" s="22"/>
      <c r="AF691" s="22"/>
      <c r="AG691" s="22"/>
      <c r="AH691" s="26"/>
    </row>
    <row r="692" spans="1:34" s="21" customFormat="1">
      <c r="A692" s="26"/>
      <c r="B692" s="26"/>
      <c r="C692" s="26"/>
      <c r="D692" s="26"/>
      <c r="E692" s="26"/>
      <c r="F692" s="31"/>
      <c r="G692"/>
      <c r="H692" s="262"/>
      <c r="I692"/>
      <c r="M692" s="26"/>
      <c r="N692" s="22"/>
      <c r="O692" s="22"/>
      <c r="P692" s="22"/>
      <c r="Q692" s="22"/>
      <c r="R692" s="22"/>
      <c r="S692" s="22"/>
      <c r="T692" s="22"/>
      <c r="U692" s="22"/>
      <c r="V692" s="22"/>
      <c r="W692" s="22"/>
      <c r="X692" s="22"/>
      <c r="Y692" s="22"/>
      <c r="Z692" s="22"/>
      <c r="AA692" s="22"/>
      <c r="AB692" s="22"/>
      <c r="AC692" s="22"/>
      <c r="AD692" s="22"/>
      <c r="AE692" s="22"/>
      <c r="AF692" s="22"/>
      <c r="AG692" s="22"/>
      <c r="AH692" s="26"/>
    </row>
    <row r="693" spans="1:34" s="21" customFormat="1">
      <c r="A693" s="26"/>
      <c r="B693" s="26"/>
      <c r="C693" s="26"/>
      <c r="D693" s="26"/>
      <c r="E693" s="26"/>
      <c r="F693" s="31"/>
      <c r="G693"/>
      <c r="H693" s="262"/>
      <c r="I693"/>
      <c r="M693" s="26"/>
      <c r="N693" s="22"/>
      <c r="O693" s="22"/>
      <c r="P693" s="22"/>
      <c r="Q693" s="22"/>
      <c r="R693" s="22"/>
      <c r="S693" s="22"/>
      <c r="T693" s="22"/>
      <c r="U693" s="22"/>
      <c r="V693" s="22"/>
      <c r="W693" s="22"/>
      <c r="X693" s="22"/>
      <c r="Y693" s="22"/>
      <c r="Z693" s="22"/>
      <c r="AA693" s="22"/>
      <c r="AB693" s="22"/>
      <c r="AC693" s="22"/>
      <c r="AD693" s="22"/>
      <c r="AE693" s="22"/>
      <c r="AF693" s="22"/>
      <c r="AG693" s="22"/>
      <c r="AH693" s="26"/>
    </row>
    <row r="694" spans="1:34" s="21" customFormat="1">
      <c r="A694" s="26"/>
      <c r="B694" s="26"/>
      <c r="C694" s="26"/>
      <c r="D694" s="26"/>
      <c r="E694" s="26"/>
      <c r="F694"/>
      <c r="G694"/>
      <c r="H694" s="262"/>
      <c r="I694"/>
      <c r="M694" s="26"/>
      <c r="N694" s="22"/>
      <c r="O694" s="22"/>
      <c r="P694" s="22"/>
      <c r="Q694" s="22"/>
      <c r="R694" s="22"/>
      <c r="S694" s="22"/>
      <c r="T694" s="22"/>
      <c r="U694" s="22"/>
      <c r="V694" s="22"/>
      <c r="W694" s="22"/>
      <c r="X694" s="22"/>
      <c r="Y694" s="22"/>
      <c r="Z694" s="22"/>
      <c r="AA694" s="22"/>
      <c r="AB694" s="22"/>
      <c r="AC694" s="22"/>
      <c r="AD694" s="22"/>
      <c r="AE694" s="22"/>
      <c r="AF694" s="22"/>
      <c r="AG694" s="22"/>
      <c r="AH694" s="26"/>
    </row>
    <row r="695" spans="1:34" s="21" customFormat="1">
      <c r="A695" s="26"/>
      <c r="B695" s="26"/>
      <c r="C695" s="26"/>
      <c r="D695" s="26"/>
      <c r="E695" s="26"/>
      <c r="F695"/>
      <c r="G695"/>
      <c r="H695" s="262"/>
      <c r="I695"/>
      <c r="M695" s="26"/>
      <c r="N695" s="22"/>
      <c r="O695" s="22"/>
      <c r="P695" s="22"/>
      <c r="Q695" s="22"/>
      <c r="R695" s="22"/>
      <c r="S695" s="22"/>
      <c r="T695" s="22"/>
      <c r="U695" s="22"/>
      <c r="V695" s="22"/>
      <c r="W695" s="22"/>
      <c r="X695" s="22"/>
      <c r="Y695" s="22"/>
      <c r="Z695" s="22"/>
      <c r="AA695" s="22"/>
      <c r="AB695" s="22"/>
      <c r="AC695" s="22"/>
      <c r="AD695" s="22"/>
      <c r="AE695" s="22"/>
      <c r="AF695" s="22"/>
      <c r="AG695" s="22"/>
      <c r="AH695" s="26"/>
    </row>
    <row r="696" spans="1:34" s="21" customFormat="1">
      <c r="A696" s="26"/>
      <c r="B696" s="26"/>
      <c r="C696" s="26"/>
      <c r="D696" s="26"/>
      <c r="E696" s="26"/>
      <c r="F696"/>
      <c r="G696"/>
      <c r="H696" s="262"/>
      <c r="I696"/>
      <c r="M696" s="26"/>
      <c r="N696" s="22"/>
      <c r="O696" s="22"/>
      <c r="P696" s="22"/>
      <c r="Q696" s="22"/>
      <c r="R696" s="22"/>
      <c r="S696" s="22"/>
      <c r="T696" s="22"/>
      <c r="U696" s="22"/>
      <c r="V696" s="22"/>
      <c r="W696" s="22"/>
      <c r="X696" s="22"/>
      <c r="Y696" s="22"/>
      <c r="Z696" s="22"/>
      <c r="AA696" s="22"/>
      <c r="AB696" s="22"/>
      <c r="AC696" s="22"/>
      <c r="AD696" s="22"/>
      <c r="AE696" s="22"/>
      <c r="AF696" s="22"/>
      <c r="AG696" s="22"/>
      <c r="AH696" s="26"/>
    </row>
    <row r="697" spans="1:34" s="21" customFormat="1">
      <c r="A697" s="26"/>
      <c r="B697" s="26"/>
      <c r="C697" s="26"/>
      <c r="D697" s="26"/>
      <c r="E697" s="26"/>
      <c r="F697"/>
      <c r="G697"/>
      <c r="H697" s="262"/>
      <c r="I697"/>
      <c r="M697" s="26"/>
      <c r="N697" s="22"/>
      <c r="O697" s="22"/>
      <c r="P697" s="22"/>
      <c r="Q697" s="22"/>
      <c r="R697" s="22"/>
      <c r="S697" s="22"/>
      <c r="T697" s="22"/>
      <c r="U697" s="22"/>
      <c r="V697" s="22"/>
      <c r="W697" s="22"/>
      <c r="X697" s="22"/>
      <c r="Y697" s="22"/>
      <c r="Z697" s="22"/>
      <c r="AA697" s="22"/>
      <c r="AB697" s="22"/>
      <c r="AC697" s="22"/>
      <c r="AD697" s="22"/>
      <c r="AE697" s="22"/>
      <c r="AF697" s="22"/>
      <c r="AG697" s="22"/>
      <c r="AH697" s="26"/>
    </row>
    <row r="698" spans="1:34" s="21" customFormat="1">
      <c r="A698" s="26"/>
      <c r="B698" s="26"/>
      <c r="C698" s="26"/>
      <c r="D698" s="26"/>
      <c r="E698" s="26"/>
      <c r="F698"/>
      <c r="G698"/>
      <c r="H698" s="262"/>
      <c r="I698"/>
      <c r="M698" s="26"/>
      <c r="N698" s="22"/>
      <c r="O698" s="22"/>
      <c r="P698" s="22"/>
      <c r="Q698" s="22"/>
      <c r="R698" s="22"/>
      <c r="S698" s="22"/>
      <c r="T698" s="22"/>
      <c r="U698" s="22"/>
      <c r="V698" s="22"/>
      <c r="W698" s="22"/>
      <c r="X698" s="22"/>
      <c r="Y698" s="22"/>
      <c r="Z698" s="22"/>
      <c r="AA698" s="22"/>
      <c r="AB698" s="22"/>
      <c r="AC698" s="22"/>
      <c r="AD698" s="22"/>
      <c r="AE698" s="22"/>
      <c r="AF698" s="22"/>
      <c r="AG698" s="22"/>
      <c r="AH698" s="26"/>
    </row>
    <row r="699" spans="1:34" s="21" customFormat="1">
      <c r="A699" s="26"/>
      <c r="B699" s="26"/>
      <c r="C699" s="26"/>
      <c r="D699" s="26"/>
      <c r="E699" s="26"/>
      <c r="F699"/>
      <c r="G699"/>
      <c r="H699" s="262"/>
      <c r="I699"/>
      <c r="M699" s="26"/>
      <c r="N699" s="22"/>
      <c r="O699" s="22"/>
      <c r="P699" s="22"/>
      <c r="Q699" s="22"/>
      <c r="R699" s="22"/>
      <c r="S699" s="22"/>
      <c r="T699" s="22"/>
      <c r="U699" s="22"/>
      <c r="V699" s="22"/>
      <c r="W699" s="22"/>
      <c r="X699" s="22"/>
      <c r="Y699" s="22"/>
      <c r="Z699" s="22"/>
      <c r="AA699" s="22"/>
      <c r="AB699" s="22"/>
      <c r="AC699" s="22"/>
      <c r="AD699" s="22"/>
      <c r="AE699" s="22"/>
      <c r="AF699" s="22"/>
      <c r="AG699" s="22"/>
      <c r="AH699" s="26"/>
    </row>
    <row r="700" spans="1:34" s="21" customFormat="1">
      <c r="C700" s="26"/>
      <c r="D700" s="26"/>
      <c r="E700" s="26"/>
      <c r="F700"/>
      <c r="G700"/>
      <c r="H700" s="262"/>
      <c r="I700"/>
      <c r="M700" s="26"/>
      <c r="N700" s="22"/>
      <c r="O700" s="22"/>
      <c r="P700" s="22"/>
      <c r="S700" s="22"/>
      <c r="T700" s="22"/>
      <c r="U700" s="22"/>
      <c r="V700" s="22"/>
      <c r="W700" s="22"/>
      <c r="X700" s="22"/>
      <c r="Y700" s="22"/>
      <c r="Z700" s="22"/>
      <c r="AA700" s="22"/>
      <c r="AB700" s="22"/>
      <c r="AC700" s="22"/>
      <c r="AD700" s="22"/>
      <c r="AE700" s="22"/>
      <c r="AF700" s="22"/>
      <c r="AG700" s="22"/>
      <c r="AH700" s="26"/>
    </row>
    <row r="701" spans="1:34" s="21" customFormat="1">
      <c r="C701" s="26"/>
      <c r="D701" s="26"/>
      <c r="E701" s="26"/>
      <c r="F701"/>
      <c r="G701"/>
      <c r="H701" s="262"/>
      <c r="I701"/>
      <c r="M701" s="26"/>
      <c r="N701" s="22"/>
      <c r="O701" s="22"/>
      <c r="P701" s="22"/>
      <c r="S701" s="22"/>
      <c r="T701" s="22"/>
      <c r="U701" s="22"/>
      <c r="V701" s="22"/>
      <c r="W701" s="22"/>
      <c r="X701" s="22"/>
      <c r="Y701" s="22"/>
      <c r="Z701" s="22"/>
      <c r="AA701" s="22"/>
      <c r="AB701" s="22"/>
      <c r="AC701" s="22"/>
      <c r="AD701" s="22"/>
      <c r="AE701" s="22"/>
      <c r="AF701" s="22"/>
      <c r="AG701" s="22"/>
      <c r="AH701" s="26"/>
    </row>
    <row r="702" spans="1:34">
      <c r="F702"/>
      <c r="G702"/>
      <c r="H702" s="262"/>
      <c r="I702"/>
    </row>
    <row r="703" spans="1:34">
      <c r="F703"/>
      <c r="G703"/>
      <c r="H703" s="262"/>
      <c r="I703"/>
    </row>
    <row r="704" spans="1:34" s="20" customFormat="1">
      <c r="C704" s="26"/>
      <c r="D704" s="26"/>
      <c r="E704" s="26"/>
      <c r="F704" s="31"/>
      <c r="G704"/>
      <c r="H704" s="262"/>
      <c r="I704"/>
      <c r="J704" s="21"/>
      <c r="K704" s="21"/>
      <c r="L704" s="21"/>
      <c r="M704" s="26"/>
      <c r="N704" s="22"/>
      <c r="O704" s="22"/>
      <c r="P704" s="22"/>
      <c r="S704" s="22"/>
      <c r="T704" s="22"/>
      <c r="U704" s="22"/>
      <c r="V704" s="22"/>
      <c r="W704" s="22"/>
      <c r="X704" s="22"/>
      <c r="Y704" s="22"/>
      <c r="Z704" s="22"/>
      <c r="AA704" s="22"/>
      <c r="AB704" s="22"/>
      <c r="AC704" s="22"/>
      <c r="AD704" s="22"/>
      <c r="AE704" s="22"/>
      <c r="AF704" s="22"/>
      <c r="AG704" s="22"/>
      <c r="AH704" s="26"/>
    </row>
    <row r="705" spans="1:9">
      <c r="G705"/>
      <c r="H705" s="262"/>
      <c r="I705"/>
    </row>
    <row r="706" spans="1:9">
      <c r="G706"/>
      <c r="H706" s="262"/>
      <c r="I706"/>
    </row>
    <row r="707" spans="1:9">
      <c r="A707"/>
      <c r="B707"/>
      <c r="G707"/>
      <c r="H707" s="262"/>
      <c r="I707"/>
    </row>
    <row r="708" spans="1:9">
      <c r="A708"/>
      <c r="B708"/>
      <c r="G708"/>
      <c r="H708" s="262"/>
      <c r="I708"/>
    </row>
    <row r="709" spans="1:9">
      <c r="A709"/>
      <c r="B709"/>
      <c r="G709"/>
      <c r="H709" s="262"/>
      <c r="I709"/>
    </row>
    <row r="710" spans="1:9">
      <c r="A710"/>
      <c r="B710"/>
      <c r="G710"/>
      <c r="H710" s="262"/>
      <c r="I710"/>
    </row>
    <row r="711" spans="1:9">
      <c r="A711"/>
      <c r="B711"/>
      <c r="G711"/>
      <c r="H711" s="262"/>
      <c r="I711"/>
    </row>
    <row r="712" spans="1:9">
      <c r="A712"/>
      <c r="B712"/>
      <c r="G712"/>
      <c r="H712" s="262"/>
      <c r="I712"/>
    </row>
    <row r="713" spans="1:9">
      <c r="A713"/>
      <c r="B713"/>
      <c r="G713"/>
      <c r="H713" s="262"/>
      <c r="I713"/>
    </row>
    <row r="714" spans="1:9">
      <c r="A714"/>
      <c r="B714"/>
      <c r="G714"/>
      <c r="H714" s="262"/>
      <c r="I714"/>
    </row>
    <row r="715" spans="1:9">
      <c r="A715"/>
      <c r="B715"/>
      <c r="G715"/>
      <c r="H715" s="262"/>
      <c r="I715"/>
    </row>
    <row r="716" spans="1:9">
      <c r="A716"/>
      <c r="B716"/>
      <c r="G716"/>
      <c r="H716" s="262"/>
      <c r="I716"/>
    </row>
    <row r="717" spans="1:9">
      <c r="A717"/>
      <c r="B717"/>
      <c r="G717"/>
      <c r="H717" s="262"/>
      <c r="I717"/>
    </row>
    <row r="718" spans="1:9">
      <c r="A718"/>
      <c r="B718"/>
      <c r="G718"/>
      <c r="H718" s="262"/>
      <c r="I718"/>
    </row>
    <row r="719" spans="1:9">
      <c r="A719"/>
      <c r="B719"/>
      <c r="G719"/>
      <c r="H719" s="262"/>
      <c r="I719"/>
    </row>
    <row r="720" spans="1:9">
      <c r="A720"/>
      <c r="B720"/>
      <c r="G720"/>
      <c r="H720" s="262"/>
      <c r="I720"/>
    </row>
    <row r="721" spans="1:34">
      <c r="A721"/>
      <c r="B721"/>
      <c r="G721"/>
      <c r="H721" s="262"/>
      <c r="I721"/>
    </row>
    <row r="722" spans="1:34">
      <c r="A722"/>
      <c r="B722"/>
      <c r="G722"/>
      <c r="H722" s="262"/>
      <c r="I722"/>
    </row>
    <row r="723" spans="1:34">
      <c r="A723"/>
      <c r="B723"/>
      <c r="G723"/>
      <c r="H723" s="262"/>
      <c r="I723"/>
    </row>
    <row r="724" spans="1:34">
      <c r="A724"/>
      <c r="B724"/>
      <c r="G724"/>
      <c r="H724" s="262"/>
      <c r="I724"/>
    </row>
    <row r="725" spans="1:34">
      <c r="A725"/>
      <c r="B725"/>
      <c r="G725"/>
      <c r="H725" s="262"/>
      <c r="I725"/>
      <c r="N725" s="27"/>
      <c r="O725" s="27"/>
      <c r="Q725" s="27"/>
      <c r="R725" s="27"/>
      <c r="S725" s="27"/>
      <c r="T725" s="27"/>
      <c r="U725" s="27"/>
      <c r="V725" s="27"/>
      <c r="W725" s="27"/>
      <c r="X725" s="27"/>
      <c r="Y725" s="27"/>
      <c r="Z725" s="27"/>
      <c r="AA725" s="27"/>
      <c r="AB725" s="27"/>
      <c r="AC725" s="27"/>
      <c r="AD725" s="27"/>
      <c r="AE725" s="27"/>
      <c r="AF725" s="27"/>
      <c r="AG725" s="27"/>
    </row>
    <row r="726" spans="1:34">
      <c r="A726"/>
      <c r="B726"/>
      <c r="G726"/>
      <c r="H726" s="262"/>
      <c r="I726"/>
    </row>
    <row r="727" spans="1:34">
      <c r="A727"/>
      <c r="B727"/>
      <c r="G727"/>
      <c r="H727" s="262"/>
      <c r="I727"/>
    </row>
    <row r="728" spans="1:34">
      <c r="G728"/>
      <c r="H728" s="262"/>
      <c r="I728"/>
    </row>
    <row r="729" spans="1:34">
      <c r="G729"/>
      <c r="H729" s="262"/>
      <c r="I729"/>
    </row>
    <row r="730" spans="1:34">
      <c r="G730"/>
      <c r="H730" s="262"/>
      <c r="I730"/>
    </row>
    <row r="731" spans="1:34">
      <c r="G731"/>
      <c r="H731" s="262"/>
      <c r="I731"/>
    </row>
    <row r="732" spans="1:34">
      <c r="G732"/>
      <c r="H732" s="262"/>
      <c r="I732"/>
    </row>
    <row r="733" spans="1:34">
      <c r="G733"/>
      <c r="H733" s="262"/>
      <c r="I733"/>
    </row>
    <row r="734" spans="1:34" s="21" customFormat="1">
      <c r="A734" s="26"/>
      <c r="B734" s="26"/>
      <c r="C734" s="26"/>
      <c r="D734" s="26"/>
      <c r="E734" s="26"/>
      <c r="F734" s="31"/>
      <c r="G734"/>
      <c r="H734" s="262"/>
      <c r="I734"/>
      <c r="M734" s="26"/>
      <c r="N734" s="22"/>
      <c r="O734" s="22"/>
      <c r="P734" s="22"/>
      <c r="Q734" s="22"/>
      <c r="R734" s="22"/>
      <c r="S734" s="22"/>
      <c r="T734" s="22"/>
      <c r="U734" s="22"/>
      <c r="V734" s="22"/>
      <c r="W734" s="22"/>
      <c r="X734" s="22"/>
      <c r="Y734" s="22"/>
      <c r="Z734" s="22"/>
      <c r="AA734" s="22"/>
      <c r="AB734" s="22"/>
      <c r="AC734" s="22"/>
      <c r="AD734" s="22"/>
      <c r="AE734" s="22"/>
      <c r="AF734" s="22"/>
      <c r="AG734" s="22"/>
      <c r="AH734" s="26"/>
    </row>
    <row r="735" spans="1:34" s="21" customFormat="1">
      <c r="A735" s="26"/>
      <c r="B735" s="26"/>
      <c r="C735" s="26"/>
      <c r="D735" s="26"/>
      <c r="E735" s="26"/>
      <c r="F735" s="31"/>
      <c r="G735"/>
      <c r="H735" s="262"/>
      <c r="I735"/>
      <c r="M735" s="26"/>
      <c r="N735" s="22"/>
      <c r="O735" s="22"/>
      <c r="P735" s="22"/>
      <c r="Q735" s="22"/>
      <c r="R735" s="22"/>
      <c r="S735" s="22"/>
      <c r="T735" s="22"/>
      <c r="U735" s="22"/>
      <c r="V735" s="22"/>
      <c r="W735" s="22"/>
      <c r="X735" s="22"/>
      <c r="Y735" s="22"/>
      <c r="Z735" s="22"/>
      <c r="AA735" s="22"/>
      <c r="AB735" s="22"/>
      <c r="AC735" s="22"/>
      <c r="AD735" s="22"/>
      <c r="AE735" s="22"/>
      <c r="AF735" s="22"/>
      <c r="AG735" s="22"/>
      <c r="AH735" s="26"/>
    </row>
    <row r="736" spans="1:34" s="21" customFormat="1">
      <c r="A736" s="26"/>
      <c r="B736" s="26"/>
      <c r="C736" s="26"/>
      <c r="D736" s="26"/>
      <c r="E736" s="26"/>
      <c r="F736" s="31"/>
      <c r="G736"/>
      <c r="H736" s="262"/>
      <c r="I736"/>
      <c r="M736" s="26"/>
      <c r="N736" s="22"/>
      <c r="O736" s="22"/>
      <c r="P736" s="22"/>
      <c r="Q736" s="22"/>
      <c r="R736" s="22"/>
      <c r="S736" s="22"/>
      <c r="T736" s="22"/>
      <c r="U736" s="22"/>
      <c r="V736" s="22"/>
      <c r="W736" s="22"/>
      <c r="X736" s="22"/>
      <c r="Y736" s="22"/>
      <c r="Z736" s="22"/>
      <c r="AA736" s="22"/>
      <c r="AB736" s="22"/>
      <c r="AC736" s="22"/>
      <c r="AD736" s="22"/>
      <c r="AE736" s="22"/>
      <c r="AF736" s="22"/>
      <c r="AG736" s="22"/>
      <c r="AH736" s="26"/>
    </row>
    <row r="737" spans="1:34" s="21" customFormat="1">
      <c r="A737" s="26"/>
      <c r="B737" s="26"/>
      <c r="C737" s="26"/>
      <c r="D737" s="26"/>
      <c r="E737" s="26"/>
      <c r="F737" s="31"/>
      <c r="G737"/>
      <c r="H737" s="262"/>
      <c r="I737"/>
      <c r="M737" s="26"/>
      <c r="N737" s="22"/>
      <c r="O737" s="22"/>
      <c r="P737" s="22"/>
      <c r="Q737" s="22"/>
      <c r="R737" s="22"/>
      <c r="S737" s="22"/>
      <c r="T737" s="22"/>
      <c r="U737" s="22"/>
      <c r="V737" s="22"/>
      <c r="W737" s="22"/>
      <c r="X737" s="22"/>
      <c r="Y737" s="22"/>
      <c r="Z737" s="22"/>
      <c r="AA737" s="22"/>
      <c r="AB737" s="22"/>
      <c r="AC737" s="22"/>
      <c r="AD737" s="22"/>
      <c r="AE737" s="22"/>
      <c r="AF737" s="22"/>
      <c r="AG737" s="22"/>
      <c r="AH737" s="26"/>
    </row>
    <row r="738" spans="1:34" s="21" customFormat="1">
      <c r="A738" s="26"/>
      <c r="B738" s="26"/>
      <c r="C738" s="26"/>
      <c r="D738" s="26"/>
      <c r="E738" s="26"/>
      <c r="F738" s="31"/>
      <c r="G738"/>
      <c r="H738" s="262"/>
      <c r="I738"/>
      <c r="M738" s="26"/>
      <c r="N738" s="22"/>
      <c r="O738" s="22"/>
      <c r="P738" s="22"/>
      <c r="Q738" s="22"/>
      <c r="R738" s="22"/>
      <c r="S738" s="22"/>
      <c r="T738" s="22"/>
      <c r="U738" s="22"/>
      <c r="V738" s="22"/>
      <c r="W738" s="22"/>
      <c r="X738" s="22"/>
      <c r="Y738" s="22"/>
      <c r="Z738" s="22"/>
      <c r="AA738" s="22"/>
      <c r="AB738" s="22"/>
      <c r="AC738" s="22"/>
      <c r="AD738" s="22"/>
      <c r="AE738" s="22"/>
      <c r="AF738" s="22"/>
      <c r="AG738" s="22"/>
      <c r="AH738" s="26"/>
    </row>
    <row r="739" spans="1:34" s="21" customFormat="1">
      <c r="A739" s="26"/>
      <c r="B739" s="26"/>
      <c r="C739" s="26"/>
      <c r="D739" s="26"/>
      <c r="E739" s="26"/>
      <c r="F739" s="31"/>
      <c r="G739"/>
      <c r="H739" s="262"/>
      <c r="I739"/>
      <c r="M739" s="26"/>
      <c r="N739" s="22"/>
      <c r="O739" s="22"/>
      <c r="P739" s="22"/>
      <c r="Q739" s="22"/>
      <c r="R739" s="22"/>
      <c r="S739" s="22"/>
      <c r="T739" s="22"/>
      <c r="U739" s="22"/>
      <c r="V739" s="22"/>
      <c r="W739" s="22"/>
      <c r="X739" s="22"/>
      <c r="Y739" s="22"/>
      <c r="Z739" s="22"/>
      <c r="AA739" s="22"/>
      <c r="AB739" s="22"/>
      <c r="AC739" s="22"/>
      <c r="AD739" s="22"/>
      <c r="AE739" s="22"/>
      <c r="AF739" s="22"/>
      <c r="AG739" s="22"/>
      <c r="AH739" s="26"/>
    </row>
    <row r="740" spans="1:34" s="21" customFormat="1">
      <c r="A740" s="26"/>
      <c r="B740" s="26"/>
      <c r="C740" s="26"/>
      <c r="D740" s="26"/>
      <c r="E740" s="26"/>
      <c r="F740" s="31"/>
      <c r="G740"/>
      <c r="H740" s="262"/>
      <c r="I740"/>
      <c r="M740" s="26"/>
      <c r="N740" s="22"/>
      <c r="O740" s="22"/>
      <c r="P740" s="22"/>
      <c r="Q740" s="22"/>
      <c r="R740" s="22"/>
      <c r="S740" s="22"/>
      <c r="T740" s="22"/>
      <c r="U740" s="22"/>
      <c r="V740" s="22"/>
      <c r="W740" s="22"/>
      <c r="X740" s="22"/>
      <c r="Y740" s="22"/>
      <c r="Z740" s="22"/>
      <c r="AA740" s="22"/>
      <c r="AB740" s="22"/>
      <c r="AC740" s="22"/>
      <c r="AD740" s="22"/>
      <c r="AE740" s="22"/>
      <c r="AF740" s="22"/>
      <c r="AG740" s="22"/>
      <c r="AH740" s="26"/>
    </row>
    <row r="741" spans="1:34" s="21" customFormat="1">
      <c r="A741" s="26"/>
      <c r="B741" s="26"/>
      <c r="C741" s="26"/>
      <c r="D741" s="26"/>
      <c r="E741" s="26"/>
      <c r="F741" s="31"/>
      <c r="G741"/>
      <c r="H741" s="262"/>
      <c r="I741"/>
      <c r="M741" s="26"/>
      <c r="N741" s="22"/>
      <c r="O741" s="22"/>
      <c r="P741" s="22"/>
      <c r="Q741" s="22"/>
      <c r="R741" s="22"/>
      <c r="S741" s="22"/>
      <c r="T741" s="22"/>
      <c r="U741" s="22"/>
      <c r="V741" s="22"/>
      <c r="W741" s="22"/>
      <c r="X741" s="22"/>
      <c r="Y741" s="22"/>
      <c r="Z741" s="22"/>
      <c r="AA741" s="22"/>
      <c r="AB741" s="22"/>
      <c r="AC741" s="22"/>
      <c r="AD741" s="22"/>
      <c r="AE741" s="22"/>
      <c r="AF741" s="22"/>
      <c r="AG741" s="22"/>
      <c r="AH741" s="26"/>
    </row>
    <row r="742" spans="1:34" s="21" customFormat="1">
      <c r="A742" s="26"/>
      <c r="B742" s="26"/>
      <c r="C742" s="26"/>
      <c r="D742" s="26"/>
      <c r="E742" s="26"/>
      <c r="F742" s="31"/>
      <c r="G742"/>
      <c r="H742" s="262"/>
      <c r="I742"/>
      <c r="M742" s="26"/>
      <c r="N742" s="22"/>
      <c r="O742" s="22"/>
      <c r="P742" s="22"/>
      <c r="Q742" s="22"/>
      <c r="R742" s="22"/>
      <c r="S742" s="22"/>
      <c r="T742" s="22"/>
      <c r="U742" s="22"/>
      <c r="V742" s="22"/>
      <c r="W742" s="22"/>
      <c r="X742" s="22"/>
      <c r="Y742" s="22"/>
      <c r="Z742" s="22"/>
      <c r="AA742" s="22"/>
      <c r="AB742" s="22"/>
      <c r="AC742" s="22"/>
      <c r="AD742" s="22"/>
      <c r="AE742" s="22"/>
      <c r="AF742" s="22"/>
      <c r="AG742" s="22"/>
      <c r="AH742" s="26"/>
    </row>
    <row r="743" spans="1:34" s="21" customFormat="1">
      <c r="A743" s="26"/>
      <c r="B743" s="26"/>
      <c r="C743" s="26"/>
      <c r="D743" s="26"/>
      <c r="E743" s="26"/>
      <c r="F743" s="31"/>
      <c r="G743"/>
      <c r="H743" s="262"/>
      <c r="I743"/>
      <c r="M743" s="26"/>
      <c r="N743" s="22"/>
      <c r="O743" s="22"/>
      <c r="P743" s="22"/>
      <c r="Q743" s="22"/>
      <c r="R743" s="22"/>
      <c r="S743" s="22"/>
      <c r="T743" s="22"/>
      <c r="U743" s="22"/>
      <c r="V743" s="22"/>
      <c r="W743" s="22"/>
      <c r="X743" s="22"/>
      <c r="Y743" s="22"/>
      <c r="Z743" s="22"/>
      <c r="AA743" s="22"/>
      <c r="AB743" s="22"/>
      <c r="AC743" s="22"/>
      <c r="AD743" s="22"/>
      <c r="AE743" s="22"/>
      <c r="AF743" s="22"/>
      <c r="AG743" s="22"/>
      <c r="AH743" s="26"/>
    </row>
    <row r="744" spans="1:34" s="21" customFormat="1">
      <c r="A744" s="26"/>
      <c r="B744" s="26"/>
      <c r="C744" s="26"/>
      <c r="D744" s="26"/>
      <c r="E744" s="26"/>
      <c r="F744" s="31"/>
      <c r="G744"/>
      <c r="H744" s="262"/>
      <c r="I744"/>
      <c r="M744" s="26"/>
      <c r="N744" s="22"/>
      <c r="O744" s="22"/>
      <c r="P744" s="22"/>
      <c r="Q744" s="22"/>
      <c r="R744" s="22"/>
      <c r="S744" s="22"/>
      <c r="T744" s="22"/>
      <c r="U744" s="22"/>
      <c r="V744" s="22"/>
      <c r="W744" s="22"/>
      <c r="X744" s="22"/>
      <c r="Y744" s="22"/>
      <c r="Z744" s="22"/>
      <c r="AA744" s="22"/>
      <c r="AB744" s="22"/>
      <c r="AC744" s="22"/>
      <c r="AD744" s="22"/>
      <c r="AE744" s="22"/>
      <c r="AF744" s="22"/>
      <c r="AG744" s="22"/>
      <c r="AH744" s="26"/>
    </row>
    <row r="745" spans="1:34" s="21" customFormat="1">
      <c r="A745" s="26"/>
      <c r="B745" s="26"/>
      <c r="C745" s="26"/>
      <c r="D745" s="26"/>
      <c r="E745" s="26"/>
      <c r="F745" s="31"/>
      <c r="G745"/>
      <c r="H745" s="262"/>
      <c r="I745"/>
      <c r="M745" s="26"/>
      <c r="N745" s="22"/>
      <c r="O745" s="22"/>
      <c r="P745" s="22"/>
      <c r="Q745" s="22"/>
      <c r="R745" s="22"/>
      <c r="S745" s="22"/>
      <c r="T745" s="22"/>
      <c r="U745" s="22"/>
      <c r="V745" s="22"/>
      <c r="W745" s="22"/>
      <c r="X745" s="22"/>
      <c r="Y745" s="22"/>
      <c r="Z745" s="22"/>
      <c r="AA745" s="22"/>
      <c r="AB745" s="22"/>
      <c r="AC745" s="22"/>
      <c r="AD745" s="22"/>
      <c r="AE745" s="22"/>
      <c r="AF745" s="22"/>
      <c r="AG745" s="22"/>
      <c r="AH745" s="26"/>
    </row>
    <row r="746" spans="1:34" s="21" customFormat="1">
      <c r="A746" s="26"/>
      <c r="B746" s="26"/>
      <c r="C746" s="26"/>
      <c r="D746" s="26"/>
      <c r="E746" s="26"/>
      <c r="F746" s="31"/>
      <c r="G746"/>
      <c r="H746" s="262"/>
      <c r="I746"/>
      <c r="M746" s="26"/>
      <c r="N746" s="22"/>
      <c r="O746" s="22"/>
      <c r="P746" s="22"/>
      <c r="Q746" s="22"/>
      <c r="R746" s="22"/>
      <c r="S746" s="22"/>
      <c r="T746" s="22"/>
      <c r="U746" s="22"/>
      <c r="V746" s="22"/>
      <c r="W746" s="22"/>
      <c r="X746" s="22"/>
      <c r="Y746" s="22"/>
      <c r="Z746" s="22"/>
      <c r="AA746" s="22"/>
      <c r="AB746" s="22"/>
      <c r="AC746" s="22"/>
      <c r="AD746" s="22"/>
      <c r="AE746" s="22"/>
      <c r="AF746" s="22"/>
      <c r="AG746" s="22"/>
      <c r="AH746" s="26"/>
    </row>
    <row r="747" spans="1:34" s="21" customFormat="1">
      <c r="A747" s="26"/>
      <c r="B747" s="26"/>
      <c r="C747" s="26"/>
      <c r="D747" s="26"/>
      <c r="E747" s="26"/>
      <c r="F747" s="31"/>
      <c r="G747"/>
      <c r="H747" s="262"/>
      <c r="I747"/>
      <c r="M747" s="26"/>
      <c r="N747" s="22"/>
      <c r="O747" s="22"/>
      <c r="P747" s="22"/>
      <c r="Q747" s="22"/>
      <c r="R747" s="22"/>
      <c r="S747" s="22"/>
      <c r="T747" s="22"/>
      <c r="U747" s="22"/>
      <c r="V747" s="22"/>
      <c r="W747" s="22"/>
      <c r="X747" s="22"/>
      <c r="Y747" s="22"/>
      <c r="Z747" s="22"/>
      <c r="AA747" s="22"/>
      <c r="AB747" s="22"/>
      <c r="AC747" s="22"/>
      <c r="AD747" s="22"/>
      <c r="AE747" s="22"/>
      <c r="AF747" s="22"/>
      <c r="AG747" s="22"/>
      <c r="AH747" s="26"/>
    </row>
    <row r="748" spans="1:34" s="21" customFormat="1">
      <c r="A748" s="26"/>
      <c r="B748" s="26"/>
      <c r="C748" s="26"/>
      <c r="D748" s="26"/>
      <c r="E748" s="26"/>
      <c r="F748" s="31"/>
      <c r="G748"/>
      <c r="H748" s="262"/>
      <c r="I748"/>
      <c r="M748" s="26"/>
      <c r="N748" s="22"/>
      <c r="O748" s="22"/>
      <c r="P748" s="22"/>
      <c r="Q748" s="22"/>
      <c r="R748" s="22"/>
      <c r="S748" s="22"/>
      <c r="T748" s="22"/>
      <c r="U748" s="22"/>
      <c r="V748" s="22"/>
      <c r="W748" s="22"/>
      <c r="X748" s="22"/>
      <c r="Y748" s="22"/>
      <c r="Z748" s="22"/>
      <c r="AA748" s="22"/>
      <c r="AB748" s="22"/>
      <c r="AC748" s="22"/>
      <c r="AD748" s="22"/>
      <c r="AE748" s="22"/>
      <c r="AF748" s="22"/>
      <c r="AG748" s="22"/>
      <c r="AH748" s="26"/>
    </row>
    <row r="749" spans="1:34" s="21" customFormat="1">
      <c r="A749" s="26"/>
      <c r="B749" s="26"/>
      <c r="C749" s="26"/>
      <c r="D749" s="26"/>
      <c r="E749" s="26"/>
      <c r="F749" s="31"/>
      <c r="G749"/>
      <c r="H749" s="262"/>
      <c r="I749"/>
      <c r="M749" s="26"/>
      <c r="N749" s="22"/>
      <c r="O749" s="22"/>
      <c r="P749" s="22"/>
      <c r="Q749" s="22"/>
      <c r="R749" s="22"/>
      <c r="S749" s="22"/>
      <c r="T749" s="22"/>
      <c r="U749" s="22"/>
      <c r="V749" s="22"/>
      <c r="W749" s="22"/>
      <c r="X749" s="22"/>
      <c r="Y749" s="22"/>
      <c r="Z749" s="22"/>
      <c r="AA749" s="22"/>
      <c r="AB749" s="22"/>
      <c r="AC749" s="22"/>
      <c r="AD749" s="22"/>
      <c r="AE749" s="22"/>
      <c r="AF749" s="22"/>
      <c r="AG749" s="22"/>
      <c r="AH749" s="26"/>
    </row>
    <row r="750" spans="1:34" s="21" customFormat="1">
      <c r="A750" s="26"/>
      <c r="B750" s="26"/>
      <c r="C750" s="26"/>
      <c r="D750" s="26"/>
      <c r="E750" s="26"/>
      <c r="F750" s="31"/>
      <c r="G750"/>
      <c r="H750" s="262"/>
      <c r="I750"/>
      <c r="M750" s="26"/>
      <c r="N750" s="22"/>
      <c r="O750" s="22"/>
      <c r="P750" s="22"/>
      <c r="Q750" s="22"/>
      <c r="R750" s="22"/>
      <c r="S750" s="22"/>
      <c r="T750" s="22"/>
      <c r="U750" s="22"/>
      <c r="V750" s="22"/>
      <c r="W750" s="22"/>
      <c r="X750" s="22"/>
      <c r="Y750" s="22"/>
      <c r="Z750" s="22"/>
      <c r="AA750" s="22"/>
      <c r="AB750" s="22"/>
      <c r="AC750" s="22"/>
      <c r="AD750" s="22"/>
      <c r="AE750" s="22"/>
      <c r="AF750" s="22"/>
      <c r="AG750" s="22"/>
      <c r="AH750" s="26"/>
    </row>
    <row r="751" spans="1:34" s="21" customFormat="1">
      <c r="A751" s="26"/>
      <c r="B751" s="26"/>
      <c r="C751" s="26"/>
      <c r="D751" s="26"/>
      <c r="E751" s="26"/>
      <c r="F751" s="31"/>
      <c r="G751"/>
      <c r="H751" s="262"/>
      <c r="I751"/>
      <c r="M751" s="26"/>
      <c r="N751" s="22"/>
      <c r="O751" s="22"/>
      <c r="P751" s="22"/>
      <c r="Q751" s="22"/>
      <c r="R751" s="22"/>
      <c r="S751" s="22"/>
      <c r="T751" s="22"/>
      <c r="U751" s="22"/>
      <c r="V751" s="22"/>
      <c r="W751" s="22"/>
      <c r="X751" s="22"/>
      <c r="Y751" s="22"/>
      <c r="Z751" s="22"/>
      <c r="AA751" s="22"/>
      <c r="AB751" s="22"/>
      <c r="AC751" s="22"/>
      <c r="AD751" s="22"/>
      <c r="AE751" s="22"/>
      <c r="AF751" s="22"/>
      <c r="AG751" s="22"/>
      <c r="AH751" s="26"/>
    </row>
    <row r="752" spans="1:34" s="21" customFormat="1">
      <c r="A752" s="26"/>
      <c r="B752" s="26"/>
      <c r="C752" s="26"/>
      <c r="D752" s="26"/>
      <c r="E752" s="26"/>
      <c r="F752" s="31"/>
      <c r="G752"/>
      <c r="H752" s="262"/>
      <c r="I752"/>
      <c r="M752" s="26"/>
      <c r="N752" s="22"/>
      <c r="O752" s="22"/>
      <c r="P752" s="22"/>
      <c r="Q752" s="22"/>
      <c r="R752" s="22"/>
      <c r="S752" s="22"/>
      <c r="T752" s="22"/>
      <c r="U752" s="22"/>
      <c r="V752" s="22"/>
      <c r="W752" s="22"/>
      <c r="X752" s="22"/>
      <c r="Y752" s="22"/>
      <c r="Z752" s="22"/>
      <c r="AA752" s="22"/>
      <c r="AB752" s="22"/>
      <c r="AC752" s="22"/>
      <c r="AD752" s="22"/>
      <c r="AE752" s="22"/>
      <c r="AF752" s="22"/>
      <c r="AG752" s="22"/>
      <c r="AH752" s="26"/>
    </row>
    <row r="753" spans="1:34" s="21" customFormat="1">
      <c r="A753" s="26"/>
      <c r="B753" s="26"/>
      <c r="C753" s="26"/>
      <c r="D753" s="26"/>
      <c r="E753" s="26"/>
      <c r="F753" s="31"/>
      <c r="G753"/>
      <c r="H753" s="262"/>
      <c r="I753"/>
      <c r="M753" s="26"/>
      <c r="N753" s="22"/>
      <c r="O753" s="22"/>
      <c r="P753" s="22"/>
      <c r="Q753" s="22"/>
      <c r="R753" s="22"/>
      <c r="S753" s="22"/>
      <c r="T753" s="22"/>
      <c r="U753" s="22"/>
      <c r="V753" s="22"/>
      <c r="W753" s="22"/>
      <c r="X753" s="22"/>
      <c r="Y753" s="22"/>
      <c r="Z753" s="22"/>
      <c r="AA753" s="22"/>
      <c r="AB753" s="22"/>
      <c r="AC753" s="22"/>
      <c r="AD753" s="22"/>
      <c r="AE753" s="22"/>
      <c r="AF753" s="22"/>
      <c r="AG753" s="22"/>
      <c r="AH753" s="26"/>
    </row>
  </sheetData>
  <mergeCells count="4">
    <mergeCell ref="AG9:AG10"/>
    <mergeCell ref="C2:C7"/>
    <mergeCell ref="N9:N10"/>
    <mergeCell ref="K2:K3"/>
  </mergeCells>
  <phoneticPr fontId="10" type="noConversion"/>
  <conditionalFormatting sqref="P2">
    <cfRule type="containsText" dxfId="17" priority="1" operator="containsText" text="false">
      <formula>NOT(ISERROR(SEARCH("false",P2)))</formula>
    </cfRule>
    <cfRule type="containsText" dxfId="16" priority="2" operator="containsText" text="true">
      <formula>NOT(ISERROR(SEARCH("true",P2)))</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K91"/>
  <sheetViews>
    <sheetView showGridLines="0" tabSelected="1" zoomScale="40" zoomScaleNormal="40" workbookViewId="0">
      <selection activeCell="P30" sqref="P30"/>
    </sheetView>
  </sheetViews>
  <sheetFormatPr defaultRowHeight="17.350000000000001"/>
  <cols>
    <col min="1" max="2" width="3.44140625" customWidth="1"/>
    <col min="3" max="3" width="39.21875" customWidth="1"/>
    <col min="4" max="19" width="22.21875" customWidth="1"/>
    <col min="20" max="20" width="33.109375" bestFit="1" customWidth="1"/>
    <col min="21" max="22" width="3.44140625" customWidth="1"/>
  </cols>
  <sheetData>
    <row r="1" spans="1:22">
      <c r="A1" s="218"/>
      <c r="B1" s="218"/>
      <c r="C1" s="218"/>
      <c r="D1" s="218"/>
      <c r="E1" s="218"/>
      <c r="F1" s="218"/>
      <c r="G1" s="218"/>
      <c r="H1" s="218"/>
      <c r="I1" s="218"/>
      <c r="J1" s="218"/>
      <c r="K1" s="218"/>
      <c r="L1" s="218"/>
      <c r="M1" s="218"/>
      <c r="N1" s="218"/>
      <c r="O1" s="218"/>
      <c r="P1" s="218"/>
      <c r="Q1" s="218"/>
      <c r="R1" s="218"/>
      <c r="S1" s="218"/>
      <c r="T1" s="218"/>
      <c r="U1" s="218"/>
      <c r="V1" s="218"/>
    </row>
    <row r="2" spans="1:22">
      <c r="A2" s="218"/>
      <c r="D2" s="105"/>
      <c r="E2" s="105"/>
      <c r="F2" s="105"/>
      <c r="G2" s="105"/>
      <c r="H2" s="105"/>
      <c r="I2" s="105"/>
      <c r="J2" s="105"/>
      <c r="K2" s="105"/>
      <c r="L2" s="105"/>
      <c r="M2" s="105"/>
      <c r="N2" s="105"/>
      <c r="O2" s="105"/>
      <c r="P2" s="105"/>
      <c r="Q2" s="105"/>
      <c r="R2" s="105"/>
      <c r="S2" s="105"/>
      <c r="T2" s="105"/>
      <c r="V2" s="218"/>
    </row>
    <row r="3" spans="1:22">
      <c r="A3" s="218"/>
      <c r="D3" s="203" t="s">
        <v>746</v>
      </c>
      <c r="E3" s="203" t="s">
        <v>747</v>
      </c>
      <c r="F3" s="203" t="s">
        <v>748</v>
      </c>
      <c r="G3" s="203" t="s">
        <v>749</v>
      </c>
      <c r="H3" s="203" t="s">
        <v>750</v>
      </c>
      <c r="I3" s="203" t="s">
        <v>751</v>
      </c>
      <c r="J3" s="203" t="s">
        <v>752</v>
      </c>
      <c r="K3" s="203" t="s">
        <v>753</v>
      </c>
      <c r="L3" s="203" t="s">
        <v>754</v>
      </c>
      <c r="M3" s="203" t="s">
        <v>755</v>
      </c>
      <c r="N3" s="203" t="s">
        <v>756</v>
      </c>
      <c r="O3" s="203" t="s">
        <v>757</v>
      </c>
      <c r="P3" s="203" t="s">
        <v>758</v>
      </c>
      <c r="Q3" s="203" t="s">
        <v>759</v>
      </c>
      <c r="R3" s="203" t="s">
        <v>760</v>
      </c>
      <c r="S3" s="203" t="s">
        <v>761</v>
      </c>
      <c r="T3" s="203" t="s">
        <v>762</v>
      </c>
      <c r="V3" s="218"/>
    </row>
    <row r="4" spans="1:22">
      <c r="A4" s="218"/>
      <c r="C4" s="192" t="s">
        <v>41</v>
      </c>
      <c r="D4" s="193">
        <f>'RE33(IRRBB)'!Q3</f>
        <v>130264234.25999998</v>
      </c>
      <c r="E4" s="193">
        <f>'RE33(IRRBB)'!R3</f>
        <v>82224384.589999989</v>
      </c>
      <c r="F4" s="193">
        <f>'RE33(IRRBB)'!S3</f>
        <v>17184060.600000001</v>
      </c>
      <c r="G4" s="193">
        <f>'RE33(IRRBB)'!T3</f>
        <v>28000000</v>
      </c>
      <c r="H4" s="193">
        <f>'RE33(IRRBB)'!U3</f>
        <v>10000000</v>
      </c>
      <c r="I4" s="193">
        <f>'RE33(IRRBB)'!V3</f>
        <v>5053962.5</v>
      </c>
      <c r="J4" s="193">
        <f>'RE33(IRRBB)'!W3</f>
        <v>0</v>
      </c>
      <c r="K4" s="193">
        <f>'RE33(IRRBB)'!X3</f>
        <v>16463021.149999999</v>
      </c>
      <c r="L4" s="193">
        <f>'RE33(IRRBB)'!Y3</f>
        <v>0</v>
      </c>
      <c r="M4" s="193">
        <f>'RE33(IRRBB)'!Z3</f>
        <v>0</v>
      </c>
      <c r="N4" s="193">
        <f>'RE33(IRRBB)'!AA3</f>
        <v>0</v>
      </c>
      <c r="O4" s="193">
        <f>'RE33(IRRBB)'!AB3</f>
        <v>0</v>
      </c>
      <c r="P4" s="193">
        <f>'RE33(IRRBB)'!AC3</f>
        <v>0</v>
      </c>
      <c r="Q4" s="193">
        <f>'RE33(IRRBB)'!AD3</f>
        <v>0</v>
      </c>
      <c r="R4" s="193">
        <f>'RE33(IRRBB)'!AE3</f>
        <v>0</v>
      </c>
      <c r="S4" s="193">
        <f>'RE33(IRRBB)'!AF3</f>
        <v>0</v>
      </c>
      <c r="T4" s="193">
        <f>'RE33(IRRBB)'!AG3</f>
        <v>2765808.7199999946</v>
      </c>
      <c r="V4" s="218"/>
    </row>
    <row r="5" spans="1:22">
      <c r="A5" s="218"/>
      <c r="C5" s="192" t="s">
        <v>43</v>
      </c>
      <c r="D5" s="193">
        <f>'RE33(IRRBB)'!Q4</f>
        <v>0</v>
      </c>
      <c r="E5" s="193">
        <f>'RE33(IRRBB)'!R4</f>
        <v>114260421.72</v>
      </c>
      <c r="F5" s="193">
        <f>'RE33(IRRBB)'!S4</f>
        <v>74955978.659999996</v>
      </c>
      <c r="G5" s="193">
        <f>'RE33(IRRBB)'!T4</f>
        <v>31437553.580000002</v>
      </c>
      <c r="H5" s="193">
        <f>'RE33(IRRBB)'!U4</f>
        <v>15718776.800000001</v>
      </c>
      <c r="I5" s="193">
        <f>'RE33(IRRBB)'!V4</f>
        <v>0</v>
      </c>
      <c r="J5" s="193">
        <f>'RE33(IRRBB)'!W4</f>
        <v>0</v>
      </c>
      <c r="K5" s="193">
        <f>'RE33(IRRBB)'!X4</f>
        <v>0</v>
      </c>
      <c r="L5" s="193">
        <f>'RE33(IRRBB)'!Y4</f>
        <v>0</v>
      </c>
      <c r="M5" s="193">
        <f>'RE33(IRRBB)'!Z4</f>
        <v>0</v>
      </c>
      <c r="N5" s="193">
        <f>'RE33(IRRBB)'!AA4</f>
        <v>0</v>
      </c>
      <c r="O5" s="193">
        <f>'RE33(IRRBB)'!AB4</f>
        <v>0</v>
      </c>
      <c r="P5" s="193">
        <f>'RE33(IRRBB)'!AC4</f>
        <v>0</v>
      </c>
      <c r="Q5" s="193">
        <f>'RE33(IRRBB)'!AD4</f>
        <v>0</v>
      </c>
      <c r="R5" s="193">
        <f>'RE33(IRRBB)'!AE4</f>
        <v>0</v>
      </c>
      <c r="S5" s="193">
        <f>'RE33(IRRBB)'!AF4</f>
        <v>0</v>
      </c>
      <c r="T5" s="193">
        <f>'RE33(IRRBB)'!AG4</f>
        <v>55129543.519999996</v>
      </c>
      <c r="V5" s="218"/>
    </row>
    <row r="6" spans="1:22" ht="6" customHeight="1">
      <c r="A6" s="218"/>
      <c r="D6" s="203"/>
      <c r="E6" s="203"/>
      <c r="F6" s="203"/>
      <c r="G6" s="203"/>
      <c r="H6" s="203"/>
      <c r="I6" s="203"/>
      <c r="J6" s="203"/>
      <c r="K6" s="203"/>
      <c r="L6" s="203"/>
      <c r="M6" s="203"/>
      <c r="N6" s="203"/>
      <c r="O6" s="203"/>
      <c r="P6" s="203"/>
      <c r="Q6" s="203"/>
      <c r="R6" s="203"/>
      <c r="S6" s="203"/>
      <c r="T6" s="203"/>
      <c r="V6" s="218"/>
    </row>
    <row r="7" spans="1:22" ht="20" thickBot="1">
      <c r="A7" s="218"/>
      <c r="C7" s="233" t="s">
        <v>809</v>
      </c>
      <c r="D7" s="177">
        <f>'RE33(IRRBB)'!Q7</f>
        <v>130264234.25999998</v>
      </c>
      <c r="E7" s="177">
        <f>'RE33(IRRBB)'!R7</f>
        <v>-32036037.13000001</v>
      </c>
      <c r="F7" s="177">
        <f>'RE33(IRRBB)'!S7</f>
        <v>-57771918.059999995</v>
      </c>
      <c r="G7" s="177">
        <f>'RE33(IRRBB)'!T7</f>
        <v>-3437553.5800000019</v>
      </c>
      <c r="H7" s="177">
        <f>'RE33(IRRBB)'!U7</f>
        <v>-5718776.8000000007</v>
      </c>
      <c r="I7" s="177">
        <f>'RE33(IRRBB)'!V7</f>
        <v>5053962.5</v>
      </c>
      <c r="J7" s="177">
        <f>'RE33(IRRBB)'!W7</f>
        <v>0</v>
      </c>
      <c r="K7" s="177">
        <f>'RE33(IRRBB)'!X7</f>
        <v>16463021.149999999</v>
      </c>
      <c r="L7" s="177">
        <f>'RE33(IRRBB)'!Y7</f>
        <v>0</v>
      </c>
      <c r="M7" s="177">
        <f>'RE33(IRRBB)'!Z7</f>
        <v>0</v>
      </c>
      <c r="N7" s="177">
        <f>'RE33(IRRBB)'!AA7</f>
        <v>0</v>
      </c>
      <c r="O7" s="177">
        <f>'RE33(IRRBB)'!AB7</f>
        <v>0</v>
      </c>
      <c r="P7" s="177">
        <f>'RE33(IRRBB)'!AC7</f>
        <v>0</v>
      </c>
      <c r="Q7" s="177">
        <f>'RE33(IRRBB)'!AD7</f>
        <v>0</v>
      </c>
      <c r="R7" s="177">
        <f>'RE33(IRRBB)'!AE7</f>
        <v>0</v>
      </c>
      <c r="S7" s="177">
        <f>'RE33(IRRBB)'!AF7</f>
        <v>0</v>
      </c>
      <c r="T7" s="177">
        <f>'RE33(IRRBB)'!AG7</f>
        <v>-52363734.800000004</v>
      </c>
      <c r="V7" s="218"/>
    </row>
    <row r="8" spans="1:22" ht="18" thickTop="1">
      <c r="A8" s="218"/>
      <c r="D8" s="234"/>
      <c r="E8" s="234"/>
      <c r="F8" s="234"/>
      <c r="G8" s="234"/>
      <c r="H8" s="234"/>
      <c r="I8" s="234"/>
      <c r="J8" s="234"/>
      <c r="K8" s="234"/>
      <c r="L8" s="234"/>
      <c r="M8" s="234"/>
      <c r="N8" s="234"/>
      <c r="O8" s="234"/>
      <c r="P8" s="234"/>
      <c r="Q8" s="234"/>
      <c r="R8" s="234"/>
      <c r="S8" s="234"/>
      <c r="T8" s="234"/>
      <c r="V8" s="218"/>
    </row>
    <row r="9" spans="1:22" ht="18" thickBot="1">
      <c r="A9" s="218"/>
      <c r="C9" s="92" t="s">
        <v>810</v>
      </c>
      <c r="V9" s="218"/>
    </row>
    <row r="10" spans="1:22" ht="15" customHeight="1">
      <c r="A10" s="218"/>
      <c r="C10" s="181" t="s">
        <v>740</v>
      </c>
      <c r="D10" s="182">
        <v>0</v>
      </c>
      <c r="E10" s="182">
        <v>1.1999999999999999E-3</v>
      </c>
      <c r="F10" s="182">
        <v>3.5999999999999999E-3</v>
      </c>
      <c r="G10" s="182">
        <v>6.0000000000000001E-3</v>
      </c>
      <c r="H10" s="182">
        <v>1.0700000000000001E-2</v>
      </c>
      <c r="I10" s="182">
        <v>1.7899999999999999E-2</v>
      </c>
      <c r="J10" s="182">
        <v>2.5000000000000001E-2</v>
      </c>
      <c r="K10" s="182">
        <v>4.1500000000000002E-2</v>
      </c>
      <c r="L10" s="182">
        <v>6.7400000000000002E-2</v>
      </c>
      <c r="M10" s="182">
        <v>9.2100000000000015E-2</v>
      </c>
      <c r="N10" s="182">
        <v>0.11560000000000001</v>
      </c>
      <c r="O10" s="182">
        <v>0.15229999999999999</v>
      </c>
      <c r="P10" s="182">
        <v>0.19889999999999999</v>
      </c>
      <c r="Q10" s="182">
        <v>0.26750000000000002</v>
      </c>
      <c r="R10" s="182">
        <v>0.33640000000000003</v>
      </c>
      <c r="S10" s="182">
        <v>0.39039999999999997</v>
      </c>
      <c r="T10" s="183">
        <v>0</v>
      </c>
      <c r="V10" s="218"/>
    </row>
    <row r="11" spans="1:22" ht="18" thickBot="1">
      <c r="A11" s="218"/>
      <c r="C11" s="184">
        <f>SUM(D11:T11)</f>
        <v>445442.92366299999</v>
      </c>
      <c r="D11" s="185">
        <f>$D$7*D10</f>
        <v>0</v>
      </c>
      <c r="E11" s="185">
        <f>$E$7*E10</f>
        <v>-38443.244556000012</v>
      </c>
      <c r="F11" s="185">
        <f>$F$7*F10</f>
        <v>-207978.90501599998</v>
      </c>
      <c r="G11" s="185">
        <f>$G$7*G10</f>
        <v>-20625.321480000013</v>
      </c>
      <c r="H11" s="185">
        <f>$H$7*H10</f>
        <v>-61190.911760000017</v>
      </c>
      <c r="I11" s="185">
        <f>$I$7*I10</f>
        <v>90465.928749999992</v>
      </c>
      <c r="J11" s="185">
        <f>$J$7*J10</f>
        <v>0</v>
      </c>
      <c r="K11" s="185">
        <f>$K$7*K10</f>
        <v>683215.37772500003</v>
      </c>
      <c r="L11" s="185">
        <f>$L$7*L10</f>
        <v>0</v>
      </c>
      <c r="M11" s="185">
        <f>$M$7*M10</f>
        <v>0</v>
      </c>
      <c r="N11" s="185">
        <f>$N$7*N10</f>
        <v>0</v>
      </c>
      <c r="O11" s="185">
        <f>$O$7*O10</f>
        <v>0</v>
      </c>
      <c r="P11" s="185">
        <f>$P$7*P10</f>
        <v>0</v>
      </c>
      <c r="Q11" s="185">
        <f>$Q$7*Q10</f>
        <v>0</v>
      </c>
      <c r="R11" s="185">
        <f>$R$7*R10</f>
        <v>0</v>
      </c>
      <c r="S11" s="185">
        <f>$S$7*S10</f>
        <v>0</v>
      </c>
      <c r="T11" s="186">
        <f>$T$7*T10</f>
        <v>0</v>
      </c>
      <c r="V11" s="218"/>
    </row>
    <row r="12" spans="1:22">
      <c r="A12" s="218"/>
      <c r="C12" s="181" t="s">
        <v>741</v>
      </c>
      <c r="D12" s="182">
        <v>0</v>
      </c>
      <c r="E12" s="182">
        <v>-1.1999999999999999E-3</v>
      </c>
      <c r="F12" s="182">
        <v>-3.5999999999999999E-3</v>
      </c>
      <c r="G12" s="182">
        <v>-6.0000000000000001E-3</v>
      </c>
      <c r="H12" s="182">
        <v>-1.0700000000000001E-2</v>
      </c>
      <c r="I12" s="182">
        <v>-1.7899999999999999E-2</v>
      </c>
      <c r="J12" s="182">
        <v>-2.5000000000000001E-2</v>
      </c>
      <c r="K12" s="182">
        <v>-4.1500000000000002E-2</v>
      </c>
      <c r="L12" s="182">
        <v>-6.7400000000000002E-2</v>
      </c>
      <c r="M12" s="182">
        <v>-9.2100000000000015E-2</v>
      </c>
      <c r="N12" s="182">
        <v>-0.11560000000000001</v>
      </c>
      <c r="O12" s="182">
        <v>-0.15229999999999999</v>
      </c>
      <c r="P12" s="182">
        <v>-0.19889999999999999</v>
      </c>
      <c r="Q12" s="182">
        <v>-0.26750000000000002</v>
      </c>
      <c r="R12" s="182">
        <v>-0.33640000000000003</v>
      </c>
      <c r="S12" s="182">
        <v>-0.39039999999999997</v>
      </c>
      <c r="T12" s="183">
        <v>0</v>
      </c>
      <c r="V12" s="218"/>
    </row>
    <row r="13" spans="1:22" ht="18" thickBot="1">
      <c r="A13" s="218"/>
      <c r="C13" s="184">
        <f>SUM(D13:T13)</f>
        <v>-445442.92366299999</v>
      </c>
      <c r="D13" s="185">
        <f>$D$7*D12</f>
        <v>0</v>
      </c>
      <c r="E13" s="185">
        <f>$E$7*E12</f>
        <v>38443.244556000012</v>
      </c>
      <c r="F13" s="185">
        <f>$F$7*F12</f>
        <v>207978.90501599998</v>
      </c>
      <c r="G13" s="185">
        <f>$G$7*G12</f>
        <v>20625.321480000013</v>
      </c>
      <c r="H13" s="185">
        <f>$H$7*H12</f>
        <v>61190.911760000017</v>
      </c>
      <c r="I13" s="185">
        <f>$I$7*I12</f>
        <v>-90465.928749999992</v>
      </c>
      <c r="J13" s="185">
        <f>$J$7*J12</f>
        <v>0</v>
      </c>
      <c r="K13" s="185">
        <f>$K$7*K12</f>
        <v>-683215.37772500003</v>
      </c>
      <c r="L13" s="185">
        <f>$L$7*L12</f>
        <v>0</v>
      </c>
      <c r="M13" s="185">
        <f>$M$7*M12</f>
        <v>0</v>
      </c>
      <c r="N13" s="185">
        <f>$N$7*N12</f>
        <v>0</v>
      </c>
      <c r="O13" s="185">
        <f>$O$7*O12</f>
        <v>0</v>
      </c>
      <c r="P13" s="185">
        <f>$P$7*P12</f>
        <v>0</v>
      </c>
      <c r="Q13" s="185">
        <f>$Q$7*Q12</f>
        <v>0</v>
      </c>
      <c r="R13" s="185">
        <f>$R$7*R12</f>
        <v>0</v>
      </c>
      <c r="S13" s="185">
        <f>$S$7*S12</f>
        <v>0</v>
      </c>
      <c r="T13" s="186">
        <f>$T$7*T12</f>
        <v>0</v>
      </c>
      <c r="V13" s="218"/>
    </row>
    <row r="14" spans="1:22">
      <c r="A14" s="218"/>
      <c r="C14" s="181" t="s">
        <v>742</v>
      </c>
      <c r="D14" s="182">
        <v>0</v>
      </c>
      <c r="E14" s="182">
        <v>-1.1000000000000001E-3</v>
      </c>
      <c r="F14" s="182">
        <v>-3.3E-3</v>
      </c>
      <c r="G14" s="182">
        <v>-5.3E-3</v>
      </c>
      <c r="H14" s="182">
        <v>-8.8999999999999999E-3</v>
      </c>
      <c r="I14" s="182">
        <v>-1.3300000000000001E-2</v>
      </c>
      <c r="J14" s="182">
        <v>-1.66E-2</v>
      </c>
      <c r="K14" s="182">
        <v>-0.02</v>
      </c>
      <c r="L14" s="182">
        <v>-1.6399999999999998E-2</v>
      </c>
      <c r="M14" s="182">
        <v>-5.1999999999999998E-3</v>
      </c>
      <c r="N14" s="182">
        <v>1.03E-2</v>
      </c>
      <c r="O14" s="182">
        <v>3.78E-2</v>
      </c>
      <c r="P14" s="182">
        <v>8.1900000000000001E-2</v>
      </c>
      <c r="Q14" s="182">
        <v>0.14199999999999999</v>
      </c>
      <c r="R14" s="182">
        <v>0.19519999999999998</v>
      </c>
      <c r="S14" s="182">
        <v>0.23199999999999998</v>
      </c>
      <c r="T14" s="183">
        <v>0</v>
      </c>
      <c r="V14" s="218"/>
    </row>
    <row r="15" spans="1:22" ht="18" thickBot="1">
      <c r="A15" s="218"/>
      <c r="C15" s="184">
        <f>SUM(D15:T15)</f>
        <v>-101475.00631499989</v>
      </c>
      <c r="D15" s="185">
        <f>$D$7*D14</f>
        <v>0</v>
      </c>
      <c r="E15" s="185">
        <f>$E$7*E14</f>
        <v>35239.640843000016</v>
      </c>
      <c r="F15" s="185">
        <f>$F$7*F14</f>
        <v>190647.32959799998</v>
      </c>
      <c r="G15" s="185">
        <f>$G$7*G14</f>
        <v>18219.033974000009</v>
      </c>
      <c r="H15" s="185">
        <f>$H$7*H14</f>
        <v>50897.113520000006</v>
      </c>
      <c r="I15" s="185">
        <f>$I$7*I14</f>
        <v>-67217.701249999998</v>
      </c>
      <c r="J15" s="185">
        <f>$J$7*J14</f>
        <v>0</v>
      </c>
      <c r="K15" s="185">
        <f>$K$7*K14</f>
        <v>-329260.42299999995</v>
      </c>
      <c r="L15" s="185">
        <f>$L$7*L14</f>
        <v>0</v>
      </c>
      <c r="M15" s="185">
        <f>$M$7*M14</f>
        <v>0</v>
      </c>
      <c r="N15" s="185">
        <f>$N$7*N14</f>
        <v>0</v>
      </c>
      <c r="O15" s="185">
        <f>$O$7*O14</f>
        <v>0</v>
      </c>
      <c r="P15" s="185">
        <f>$P$7*P14</f>
        <v>0</v>
      </c>
      <c r="Q15" s="185">
        <f>$Q$7*Q14</f>
        <v>0</v>
      </c>
      <c r="R15" s="185">
        <f>$R$7*R14</f>
        <v>0</v>
      </c>
      <c r="S15" s="185">
        <f>$S$7*S14</f>
        <v>0</v>
      </c>
      <c r="T15" s="186">
        <f>$T$7*T14</f>
        <v>0</v>
      </c>
      <c r="V15" s="218"/>
    </row>
    <row r="16" spans="1:22">
      <c r="A16" s="218"/>
      <c r="C16" s="181" t="s">
        <v>743</v>
      </c>
      <c r="D16" s="182">
        <v>0</v>
      </c>
      <c r="E16" s="182">
        <v>1.4000000000000002E-3</v>
      </c>
      <c r="F16" s="182">
        <v>4.0999999999999995E-3</v>
      </c>
      <c r="G16" s="182">
        <v>6.7000000000000002E-3</v>
      </c>
      <c r="H16" s="182">
        <v>1.1299999999999999E-2</v>
      </c>
      <c r="I16" s="182">
        <v>1.7299999999999999E-2</v>
      </c>
      <c r="J16" s="182">
        <v>2.2099999999999998E-2</v>
      </c>
      <c r="K16" s="182">
        <v>2.8999999999999998E-2</v>
      </c>
      <c r="L16" s="182">
        <v>3.0800000000000001E-2</v>
      </c>
      <c r="M16" s="182">
        <v>2.46E-2</v>
      </c>
      <c r="N16" s="182">
        <v>1.38E-2</v>
      </c>
      <c r="O16" s="182">
        <v>-6.5000000000000006E-3</v>
      </c>
      <c r="P16" s="182">
        <v>-4.1599999999999998E-2</v>
      </c>
      <c r="Q16" s="182">
        <v>-8.8200000000000001E-2</v>
      </c>
      <c r="R16" s="182">
        <v>-0.1278</v>
      </c>
      <c r="S16" s="182">
        <v>-0.15390000000000001</v>
      </c>
      <c r="T16" s="183">
        <v>0</v>
      </c>
      <c r="V16" s="218"/>
    </row>
    <row r="17" spans="1:37" ht="18" thickBot="1">
      <c r="A17" s="218"/>
      <c r="C17" s="184">
        <f>SUM(D17:T17)</f>
        <v>195492.06174599996</v>
      </c>
      <c r="D17" s="185">
        <f>$D$7*D16</f>
        <v>0</v>
      </c>
      <c r="E17" s="185">
        <f>$E$7*E16</f>
        <v>-44850.451982000021</v>
      </c>
      <c r="F17" s="185">
        <f>$F$7*F16</f>
        <v>-236864.86404599994</v>
      </c>
      <c r="G17" s="185">
        <f>$G$7*G16</f>
        <v>-23031.608986000014</v>
      </c>
      <c r="H17" s="185">
        <f>$H$7*H16</f>
        <v>-64622.177840000004</v>
      </c>
      <c r="I17" s="185">
        <f>$I$7*I16</f>
        <v>87433.551250000004</v>
      </c>
      <c r="J17" s="185">
        <f>$J$7*J16</f>
        <v>0</v>
      </c>
      <c r="K17" s="185">
        <f>$K$7*K16</f>
        <v>477427.61334999994</v>
      </c>
      <c r="L17" s="185">
        <f>$L$7*L16</f>
        <v>0</v>
      </c>
      <c r="M17" s="185">
        <f>$M$7*M16</f>
        <v>0</v>
      </c>
      <c r="N17" s="185">
        <f>$N$7*N16</f>
        <v>0</v>
      </c>
      <c r="O17" s="185">
        <f>$O$7*O16</f>
        <v>0</v>
      </c>
      <c r="P17" s="185">
        <f>$P$7*P16</f>
        <v>0</v>
      </c>
      <c r="Q17" s="185">
        <f>$Q$7*Q16</f>
        <v>0</v>
      </c>
      <c r="R17" s="185">
        <f>$R$7*R16</f>
        <v>0</v>
      </c>
      <c r="S17" s="185">
        <f>$S$7*S16</f>
        <v>0</v>
      </c>
      <c r="T17" s="186">
        <f>$T$7*T16</f>
        <v>0</v>
      </c>
      <c r="V17" s="218"/>
    </row>
    <row r="18" spans="1:37">
      <c r="A18" s="218"/>
      <c r="C18" s="181" t="s">
        <v>744</v>
      </c>
      <c r="D18" s="182">
        <v>0</v>
      </c>
      <c r="E18" s="182">
        <v>1.8E-3</v>
      </c>
      <c r="F18" s="182">
        <v>5.1999999999999998E-3</v>
      </c>
      <c r="G18" s="182">
        <v>8.5000000000000006E-3</v>
      </c>
      <c r="H18" s="182">
        <v>1.46E-2</v>
      </c>
      <c r="I18" s="182">
        <v>2.29E-2</v>
      </c>
      <c r="J18" s="182">
        <v>3.0099999999999998E-2</v>
      </c>
      <c r="K18" s="182">
        <v>4.2800000000000005E-2</v>
      </c>
      <c r="L18" s="182">
        <v>5.4100000000000002E-2</v>
      </c>
      <c r="M18" s="182">
        <v>5.7599999999999998E-2</v>
      </c>
      <c r="N18" s="182">
        <v>5.6299999999999996E-2</v>
      </c>
      <c r="O18" s="182">
        <v>5.0999999999999997E-2</v>
      </c>
      <c r="P18" s="182">
        <v>3.56E-2</v>
      </c>
      <c r="Q18" s="182">
        <v>1.7600000000000001E-2</v>
      </c>
      <c r="R18" s="182">
        <v>6.4000000000000003E-3</v>
      </c>
      <c r="S18" s="182">
        <v>2.0999999999999999E-3</v>
      </c>
      <c r="T18" s="183">
        <v>0</v>
      </c>
      <c r="V18" s="218"/>
    </row>
    <row r="19" spans="1:37" ht="18.850000000000001" customHeight="1" thickBot="1">
      <c r="A19" s="218"/>
      <c r="C19" s="184">
        <f>SUM(D19:T19)</f>
        <v>349560.85901399999</v>
      </c>
      <c r="D19" s="185">
        <f>$D$7*D18</f>
        <v>0</v>
      </c>
      <c r="E19" s="185">
        <f>$E$7*E18</f>
        <v>-57664.866834000015</v>
      </c>
      <c r="F19" s="185">
        <f>$F$7*F18</f>
        <v>-300413.97391199996</v>
      </c>
      <c r="G19" s="185">
        <f>$G$7*G18</f>
        <v>-29219.20543000002</v>
      </c>
      <c r="H19" s="185">
        <f>$H$7*H18</f>
        <v>-83494.141280000011</v>
      </c>
      <c r="I19" s="185">
        <f>$I$7*I18</f>
        <v>115735.74125000001</v>
      </c>
      <c r="J19" s="185">
        <f>$J$7*J18</f>
        <v>0</v>
      </c>
      <c r="K19" s="185">
        <f>$K$7*K18</f>
        <v>704617.30521999998</v>
      </c>
      <c r="L19" s="185">
        <f>$L$7*L18</f>
        <v>0</v>
      </c>
      <c r="M19" s="185">
        <f>$M$7*M18</f>
        <v>0</v>
      </c>
      <c r="N19" s="185">
        <f>$N$7*N18</f>
        <v>0</v>
      </c>
      <c r="O19" s="185">
        <f>$O$7*O18</f>
        <v>0</v>
      </c>
      <c r="P19" s="185">
        <f>$P$7*P18</f>
        <v>0</v>
      </c>
      <c r="Q19" s="185">
        <f>$Q$7*Q18</f>
        <v>0</v>
      </c>
      <c r="R19" s="185">
        <f>$R$7*R18</f>
        <v>0</v>
      </c>
      <c r="S19" s="185">
        <f>$S$7*S18</f>
        <v>0</v>
      </c>
      <c r="T19" s="186">
        <f>$T$7*T18</f>
        <v>0</v>
      </c>
      <c r="V19" s="218"/>
    </row>
    <row r="20" spans="1:37">
      <c r="A20" s="218"/>
      <c r="C20" s="181" t="s">
        <v>745</v>
      </c>
      <c r="D20" s="182">
        <v>0</v>
      </c>
      <c r="E20" s="182">
        <v>-1.8E-3</v>
      </c>
      <c r="F20" s="182">
        <v>-5.1999999999999998E-3</v>
      </c>
      <c r="G20" s="182">
        <v>-8.5000000000000006E-3</v>
      </c>
      <c r="H20" s="182">
        <v>-1.46E-2</v>
      </c>
      <c r="I20" s="182">
        <v>-2.29E-2</v>
      </c>
      <c r="J20" s="182">
        <v>-3.0099999999999998E-2</v>
      </c>
      <c r="K20" s="182">
        <v>-4.2800000000000005E-2</v>
      </c>
      <c r="L20" s="182">
        <v>-5.4100000000000002E-2</v>
      </c>
      <c r="M20" s="182">
        <v>-5.7599999999999998E-2</v>
      </c>
      <c r="N20" s="182">
        <v>-5.6299999999999996E-2</v>
      </c>
      <c r="O20" s="182">
        <v>-5.0999999999999997E-2</v>
      </c>
      <c r="P20" s="182">
        <v>-3.56E-2</v>
      </c>
      <c r="Q20" s="182">
        <v>-1.7600000000000001E-2</v>
      </c>
      <c r="R20" s="182">
        <v>-6.4000000000000003E-3</v>
      </c>
      <c r="S20" s="182">
        <v>-2.0999999999999999E-3</v>
      </c>
      <c r="T20" s="183">
        <v>0</v>
      </c>
      <c r="V20" s="218"/>
    </row>
    <row r="21" spans="1:37" ht="18" thickBot="1">
      <c r="A21" s="218"/>
      <c r="C21" s="184">
        <f>SUM(D21:T21)</f>
        <v>-349560.85901399999</v>
      </c>
      <c r="D21" s="185">
        <f>$D$7*D20</f>
        <v>0</v>
      </c>
      <c r="E21" s="185">
        <f>$E$7*E20</f>
        <v>57664.866834000015</v>
      </c>
      <c r="F21" s="185">
        <f>$F$7*F20</f>
        <v>300413.97391199996</v>
      </c>
      <c r="G21" s="185">
        <f>$G$7*G20</f>
        <v>29219.20543000002</v>
      </c>
      <c r="H21" s="185">
        <f>$H$7*H20</f>
        <v>83494.141280000011</v>
      </c>
      <c r="I21" s="185">
        <f>$I$7*I20</f>
        <v>-115735.74125000001</v>
      </c>
      <c r="J21" s="185">
        <f>$J$7*J20</f>
        <v>0</v>
      </c>
      <c r="K21" s="185">
        <f>$K$7*K20</f>
        <v>-704617.30521999998</v>
      </c>
      <c r="L21" s="185">
        <f>$L$7*L20</f>
        <v>0</v>
      </c>
      <c r="M21" s="185">
        <f>$M$7*M20</f>
        <v>0</v>
      </c>
      <c r="N21" s="185">
        <f>$N$7*N20</f>
        <v>0</v>
      </c>
      <c r="O21" s="185">
        <f>$O$7*O20</f>
        <v>0</v>
      </c>
      <c r="P21" s="185">
        <f>$P$7*P20</f>
        <v>0</v>
      </c>
      <c r="Q21" s="185">
        <f>$Q$7*Q20</f>
        <v>0</v>
      </c>
      <c r="R21" s="185">
        <f>$R$7*R20</f>
        <v>0</v>
      </c>
      <c r="S21" s="185">
        <f>$S$7*S20</f>
        <v>0</v>
      </c>
      <c r="T21" s="186">
        <f>$T$7*T20</f>
        <v>0</v>
      </c>
      <c r="V21" s="218"/>
    </row>
    <row r="22" spans="1:37" ht="18" thickBot="1">
      <c r="A22" s="218"/>
      <c r="V22" s="218"/>
    </row>
    <row r="23" spans="1:37" ht="18" thickBot="1">
      <c r="A23" s="218"/>
      <c r="C23" s="94" t="s">
        <v>784</v>
      </c>
      <c r="D23" s="91"/>
      <c r="E23" s="230"/>
      <c r="V23" s="218"/>
      <c r="AK23" s="93">
        <f>$Q$7*Q20/100</f>
        <v>0</v>
      </c>
    </row>
    <row r="24" spans="1:37" ht="18.7" thickTop="1" thickBot="1">
      <c r="A24" s="218"/>
      <c r="C24" s="95">
        <f>MIN(C11,C13,C15,C17,C19,C21)</f>
        <v>-445442.92366299999</v>
      </c>
      <c r="V24" s="218"/>
    </row>
    <row r="25" spans="1:37" ht="15.85" customHeight="1" thickTop="1" thickBot="1">
      <c r="A25" s="218"/>
      <c r="V25" s="218"/>
    </row>
    <row r="26" spans="1:37" ht="16.5" customHeight="1">
      <c r="A26" s="218"/>
      <c r="J26" s="109">
        <v>0.03</v>
      </c>
      <c r="M26" s="239"/>
      <c r="N26" s="240"/>
      <c r="O26" s="241" t="s">
        <v>857</v>
      </c>
      <c r="P26" s="242">
        <f>SUM(D4:J4)</f>
        <v>272726641.94999993</v>
      </c>
      <c r="V26" s="218"/>
    </row>
    <row r="27" spans="1:37" ht="18" thickBot="1">
      <c r="A27" s="218"/>
      <c r="D27" s="96" t="s">
        <v>746</v>
      </c>
      <c r="E27" s="96" t="s">
        <v>747</v>
      </c>
      <c r="F27" s="96" t="s">
        <v>748</v>
      </c>
      <c r="G27" s="96" t="s">
        <v>749</v>
      </c>
      <c r="H27" s="96" t="s">
        <v>750</v>
      </c>
      <c r="I27" s="96" t="s">
        <v>751</v>
      </c>
      <c r="J27" s="96" t="s">
        <v>752</v>
      </c>
      <c r="M27" s="243"/>
      <c r="N27" s="244"/>
      <c r="O27" s="245" t="s">
        <v>856</v>
      </c>
      <c r="P27" s="246">
        <f>SUM(D5:J5)</f>
        <v>236372730.76000002</v>
      </c>
      <c r="V27" s="218"/>
    </row>
    <row r="28" spans="1:37" ht="18.7" thickTop="1" thickBot="1">
      <c r="A28" s="218"/>
      <c r="C28" s="107" t="s">
        <v>783</v>
      </c>
      <c r="D28" s="108">
        <f>364/365</f>
        <v>0.99726027397260275</v>
      </c>
      <c r="E28" s="108">
        <f>(12-0.5)/12</f>
        <v>0.95833333333333337</v>
      </c>
      <c r="F28" s="108">
        <f>(12-1.5)/12</f>
        <v>0.875</v>
      </c>
      <c r="G28" s="108">
        <f>(12-2.5)/12</f>
        <v>0.79166666666666663</v>
      </c>
      <c r="H28" s="108">
        <f>(12-4.5)/12</f>
        <v>0.625</v>
      </c>
      <c r="I28" s="108">
        <f>(12-7.5)/12</f>
        <v>0.375</v>
      </c>
      <c r="J28" s="108">
        <f>(12-10.5)/12</f>
        <v>0.125</v>
      </c>
      <c r="M28" s="247"/>
      <c r="N28" s="248"/>
      <c r="O28" s="249" t="s">
        <v>859</v>
      </c>
      <c r="P28" s="250">
        <f>ABS(P26-P27)</f>
        <v>36353911.189999908</v>
      </c>
      <c r="V28" s="218"/>
    </row>
    <row r="29" spans="1:37" ht="18" thickBot="1">
      <c r="A29" s="218"/>
      <c r="D29" s="106">
        <f t="shared" ref="D29:J29" si="0">D7*$J$26*D28</f>
        <v>3897220.3784087664</v>
      </c>
      <c r="E29" s="106">
        <f t="shared" si="0"/>
        <v>-921036.06748750026</v>
      </c>
      <c r="F29" s="106">
        <f t="shared" si="0"/>
        <v>-1516512.8490749998</v>
      </c>
      <c r="G29" s="106">
        <f t="shared" si="0"/>
        <v>-81641.897525000037</v>
      </c>
      <c r="H29" s="106">
        <f t="shared" si="0"/>
        <v>-107227.065</v>
      </c>
      <c r="I29" s="106">
        <f t="shared" si="0"/>
        <v>56857.078125</v>
      </c>
      <c r="J29" s="106">
        <f t="shared" si="0"/>
        <v>0</v>
      </c>
      <c r="M29" s="235"/>
      <c r="N29" s="236"/>
      <c r="O29" s="237" t="s">
        <v>858</v>
      </c>
      <c r="P29" s="238">
        <f>SUM(D4:S4)</f>
        <v>289189663.0999999</v>
      </c>
      <c r="T29" s="114"/>
      <c r="V29" s="218"/>
    </row>
    <row r="30" spans="1:37" ht="18.7" thickTop="1" thickBot="1">
      <c r="A30" s="218"/>
      <c r="M30" s="251"/>
      <c r="N30" s="252"/>
      <c r="O30" s="253" t="s">
        <v>883</v>
      </c>
      <c r="P30" s="263">
        <f>P28/P29</f>
        <v>0.12570958035048771</v>
      </c>
      <c r="T30" s="114"/>
      <c r="V30" s="218"/>
    </row>
    <row r="31" spans="1:37" ht="18.7" thickTop="1" thickBot="1">
      <c r="A31" s="218"/>
      <c r="J31" s="178">
        <f>SUM(D29:J29)</f>
        <v>1327659.5774462665</v>
      </c>
      <c r="L31" s="114"/>
      <c r="M31" s="114"/>
      <c r="T31" s="114"/>
      <c r="V31" s="218"/>
    </row>
    <row r="32" spans="1:37" ht="18.7" thickTop="1" thickBot="1">
      <c r="A32" s="218"/>
      <c r="L32" s="114"/>
      <c r="M32" s="114"/>
      <c r="T32" s="114"/>
      <c r="V32" s="218"/>
    </row>
    <row r="33" spans="1:22" ht="18.850000000000001" customHeight="1" thickTop="1">
      <c r="A33" s="218"/>
      <c r="D33" s="137"/>
      <c r="E33" s="130"/>
      <c r="F33" s="130"/>
      <c r="G33" s="130"/>
      <c r="H33" s="130"/>
      <c r="I33" s="130"/>
      <c r="J33" s="130"/>
      <c r="K33" s="131"/>
      <c r="V33" s="218"/>
    </row>
    <row r="34" spans="1:22" ht="18.850000000000001" customHeight="1">
      <c r="A34" s="218"/>
      <c r="D34" s="138" t="s">
        <v>813</v>
      </c>
      <c r="E34" s="132"/>
      <c r="F34" s="132"/>
      <c r="G34" s="132"/>
      <c r="H34" s="132"/>
      <c r="I34" s="132"/>
      <c r="J34" s="132"/>
      <c r="K34" s="133"/>
      <c r="V34" s="218"/>
    </row>
    <row r="35" spans="1:22" ht="20" thickBot="1">
      <c r="A35" s="218"/>
      <c r="D35" s="138"/>
      <c r="E35" s="132"/>
      <c r="F35" s="132"/>
      <c r="G35" s="132"/>
      <c r="H35" s="132"/>
      <c r="I35" s="132"/>
      <c r="J35" s="132"/>
      <c r="K35" s="133"/>
      <c r="V35" s="218"/>
    </row>
    <row r="36" spans="1:22">
      <c r="A36" s="218"/>
      <c r="D36" s="128"/>
      <c r="E36" s="278" t="s">
        <v>791</v>
      </c>
      <c r="F36" s="279"/>
      <c r="G36" s="132"/>
      <c r="H36" s="132"/>
      <c r="I36" s="132"/>
      <c r="J36" s="132"/>
      <c r="K36" s="133"/>
      <c r="V36" s="218"/>
    </row>
    <row r="37" spans="1:22">
      <c r="A37" s="218"/>
      <c r="C37" s="91"/>
      <c r="D37" s="128"/>
      <c r="E37" s="110" t="s">
        <v>789</v>
      </c>
      <c r="F37" s="111">
        <f>ABS(C24)</f>
        <v>445442.92366299999</v>
      </c>
      <c r="G37" s="132"/>
      <c r="H37" s="132"/>
      <c r="I37" s="132"/>
      <c r="J37" s="132"/>
      <c r="K37" s="133"/>
      <c r="V37" s="218"/>
    </row>
    <row r="38" spans="1:22" ht="18" thickBot="1">
      <c r="A38" s="218"/>
      <c r="C38" s="91"/>
      <c r="D38" s="128"/>
      <c r="E38" s="112" t="s">
        <v>790</v>
      </c>
      <c r="F38" s="113">
        <f>ABS(J31)</f>
        <v>1327659.5774462665</v>
      </c>
      <c r="G38" s="132"/>
      <c r="H38" s="132"/>
      <c r="I38" s="132"/>
      <c r="J38" s="132"/>
      <c r="K38" s="133"/>
      <c r="V38" s="218"/>
    </row>
    <row r="39" spans="1:22" ht="18" thickBot="1">
      <c r="A39" s="218"/>
      <c r="C39" s="91"/>
      <c r="D39" s="128"/>
      <c r="E39" s="112" t="s">
        <v>792</v>
      </c>
      <c r="F39" s="113">
        <f>SUM('RE33(IRRBB)'!Q3:AG3)</f>
        <v>291955471.81999987</v>
      </c>
      <c r="G39" s="134"/>
      <c r="H39" s="134"/>
      <c r="I39" s="134"/>
      <c r="J39" s="134"/>
      <c r="K39" s="133"/>
      <c r="V39" s="218"/>
    </row>
    <row r="40" spans="1:22" ht="18" thickBot="1">
      <c r="A40" s="218"/>
      <c r="D40" s="128"/>
      <c r="E40" s="134"/>
      <c r="F40" s="134"/>
      <c r="G40" s="134"/>
      <c r="H40" s="134"/>
      <c r="I40" s="134"/>
      <c r="J40" s="134"/>
      <c r="K40" s="133"/>
      <c r="V40" s="218"/>
    </row>
    <row r="41" spans="1:22" ht="32.700000000000003">
      <c r="A41" s="218"/>
      <c r="D41" s="128"/>
      <c r="E41" s="205" t="s">
        <v>775</v>
      </c>
      <c r="F41" s="206" t="s">
        <v>776</v>
      </c>
      <c r="G41" s="207" t="s">
        <v>777</v>
      </c>
      <c r="H41" s="208" t="s">
        <v>778</v>
      </c>
      <c r="I41" s="209" t="s">
        <v>779</v>
      </c>
      <c r="J41" s="210" t="s">
        <v>780</v>
      </c>
      <c r="K41" s="133"/>
      <c r="V41" s="218"/>
    </row>
    <row r="42" spans="1:22">
      <c r="A42" s="218"/>
      <c r="D42" s="128"/>
      <c r="E42" s="211" t="s">
        <v>781</v>
      </c>
      <c r="F42" s="117">
        <f>F37/$F$39</f>
        <v>1.5257221277141541E-3</v>
      </c>
      <c r="G42" s="116">
        <v>1.4999999999999999E-2</v>
      </c>
      <c r="H42" s="204" t="str">
        <f>IF(F42&lt;G42,"N","Y")</f>
        <v>N</v>
      </c>
      <c r="I42" s="116">
        <v>0.02</v>
      </c>
      <c r="J42" s="212" t="str">
        <f>IF(F42&lt;I42,"N","Y")</f>
        <v>N</v>
      </c>
      <c r="K42" s="133"/>
      <c r="V42" s="218"/>
    </row>
    <row r="43" spans="1:22" ht="18" thickBot="1">
      <c r="A43" s="218"/>
      <c r="D43" s="128"/>
      <c r="E43" s="213" t="s">
        <v>782</v>
      </c>
      <c r="F43" s="214">
        <f>F38/$F$39</f>
        <v>4.5474728360796477E-3</v>
      </c>
      <c r="G43" s="215">
        <v>0.02</v>
      </c>
      <c r="H43" s="216" t="str">
        <f>IF(F43&lt;G43,"N","Y")</f>
        <v>N</v>
      </c>
      <c r="I43" s="215">
        <v>2.5000000000000001E-2</v>
      </c>
      <c r="J43" s="217" t="str">
        <f>IF(F43&lt;I43,"N","Y")</f>
        <v>N</v>
      </c>
      <c r="K43" s="133"/>
      <c r="V43" s="218"/>
    </row>
    <row r="44" spans="1:22" ht="18" thickBot="1">
      <c r="A44" s="218"/>
      <c r="D44" s="129"/>
      <c r="E44" s="135"/>
      <c r="F44" s="135"/>
      <c r="G44" s="135"/>
      <c r="H44" s="135"/>
      <c r="I44" s="135"/>
      <c r="J44" s="135"/>
      <c r="K44" s="136"/>
      <c r="V44" s="218"/>
    </row>
    <row r="45" spans="1:22" ht="18" thickTop="1">
      <c r="A45" s="218"/>
      <c r="V45" s="218"/>
    </row>
    <row r="46" spans="1:22">
      <c r="A46" s="218"/>
      <c r="B46" s="218"/>
      <c r="C46" s="218"/>
      <c r="D46" s="218"/>
      <c r="E46" s="218"/>
      <c r="F46" s="218"/>
      <c r="G46" s="218"/>
      <c r="H46" s="218"/>
      <c r="I46" s="218"/>
      <c r="J46" s="218"/>
      <c r="K46" s="218"/>
      <c r="L46" s="218"/>
      <c r="M46" s="218"/>
      <c r="N46" s="218"/>
      <c r="O46" s="218"/>
      <c r="P46" s="218"/>
      <c r="Q46" s="218"/>
      <c r="R46" s="218"/>
      <c r="S46" s="218"/>
      <c r="T46" s="218"/>
      <c r="U46" s="218"/>
      <c r="V46" s="218"/>
    </row>
    <row r="47" spans="1:22" ht="18" thickBot="1">
      <c r="A47" s="218"/>
      <c r="V47" s="218"/>
    </row>
    <row r="48" spans="1:22" ht="25.5" customHeight="1" thickTop="1">
      <c r="A48" s="218"/>
      <c r="C48" s="280" t="s">
        <v>812</v>
      </c>
      <c r="D48" s="282" t="s">
        <v>808</v>
      </c>
      <c r="E48" s="284">
        <v>1</v>
      </c>
      <c r="V48" s="218"/>
    </row>
    <row r="49" spans="1:22" ht="25.5" customHeight="1" thickBot="1">
      <c r="A49" s="218"/>
      <c r="C49" s="281"/>
      <c r="D49" s="283"/>
      <c r="E49" s="285"/>
      <c r="V49" s="218"/>
    </row>
    <row r="50" spans="1:22" ht="18" thickTop="1">
      <c r="A50" s="218"/>
      <c r="V50" s="218"/>
    </row>
    <row r="51" spans="1:22">
      <c r="A51" s="218"/>
      <c r="D51" s="96" t="s">
        <v>746</v>
      </c>
      <c r="E51" s="96" t="s">
        <v>747</v>
      </c>
      <c r="F51" s="96" t="s">
        <v>748</v>
      </c>
      <c r="G51" s="96" t="s">
        <v>749</v>
      </c>
      <c r="H51" s="96" t="s">
        <v>750</v>
      </c>
      <c r="I51" s="96" t="s">
        <v>751</v>
      </c>
      <c r="J51" s="96" t="s">
        <v>752</v>
      </c>
      <c r="K51" s="96" t="s">
        <v>753</v>
      </c>
      <c r="L51" s="96" t="s">
        <v>754</v>
      </c>
      <c r="M51" s="96" t="s">
        <v>755</v>
      </c>
      <c r="N51" s="96" t="s">
        <v>756</v>
      </c>
      <c r="O51" s="96" t="s">
        <v>757</v>
      </c>
      <c r="P51" s="96" t="s">
        <v>758</v>
      </c>
      <c r="Q51" s="96" t="s">
        <v>759</v>
      </c>
      <c r="R51" s="96" t="s">
        <v>760</v>
      </c>
      <c r="S51" s="96" t="s">
        <v>761</v>
      </c>
      <c r="T51" s="96" t="s">
        <v>762</v>
      </c>
      <c r="V51" s="218"/>
    </row>
    <row r="52" spans="1:22" ht="22">
      <c r="A52" s="218"/>
      <c r="C52" s="179" t="s">
        <v>809</v>
      </c>
      <c r="D52" s="180">
        <f t="shared" ref="D52:T52" si="1">D7</f>
        <v>130264234.25999998</v>
      </c>
      <c r="E52" s="180">
        <f t="shared" si="1"/>
        <v>-32036037.13000001</v>
      </c>
      <c r="F52" s="180">
        <f t="shared" si="1"/>
        <v>-57771918.059999995</v>
      </c>
      <c r="G52" s="180">
        <f t="shared" si="1"/>
        <v>-3437553.5800000019</v>
      </c>
      <c r="H52" s="180">
        <f t="shared" si="1"/>
        <v>-5718776.8000000007</v>
      </c>
      <c r="I52" s="180">
        <f t="shared" si="1"/>
        <v>5053962.5</v>
      </c>
      <c r="J52" s="180">
        <f t="shared" si="1"/>
        <v>0</v>
      </c>
      <c r="K52" s="180">
        <f t="shared" si="1"/>
        <v>16463021.149999999</v>
      </c>
      <c r="L52" s="180">
        <f t="shared" si="1"/>
        <v>0</v>
      </c>
      <c r="M52" s="180">
        <f t="shared" si="1"/>
        <v>0</v>
      </c>
      <c r="N52" s="180">
        <f t="shared" si="1"/>
        <v>0</v>
      </c>
      <c r="O52" s="180">
        <f t="shared" si="1"/>
        <v>0</v>
      </c>
      <c r="P52" s="180">
        <f t="shared" si="1"/>
        <v>0</v>
      </c>
      <c r="Q52" s="180">
        <f t="shared" si="1"/>
        <v>0</v>
      </c>
      <c r="R52" s="180">
        <f t="shared" si="1"/>
        <v>0</v>
      </c>
      <c r="S52" s="180">
        <f t="shared" si="1"/>
        <v>0</v>
      </c>
      <c r="T52" s="180">
        <f t="shared" si="1"/>
        <v>-52363734.800000004</v>
      </c>
      <c r="V52" s="218"/>
    </row>
    <row r="53" spans="1:22">
      <c r="A53" s="218"/>
      <c r="V53" s="218"/>
    </row>
    <row r="54" spans="1:22" ht="18" thickBot="1">
      <c r="A54" s="218"/>
      <c r="C54" s="92" t="s">
        <v>815</v>
      </c>
      <c r="V54" s="218"/>
    </row>
    <row r="55" spans="1:22">
      <c r="A55" s="218"/>
      <c r="C55" s="181" t="s">
        <v>740</v>
      </c>
      <c r="D55" s="182">
        <f>'IRBB Weighting factors'!I35</f>
        <v>0</v>
      </c>
      <c r="E55" s="182">
        <f>'IRBB Weighting factors'!I36</f>
        <v>1.6000000000000001E-3</v>
      </c>
      <c r="F55" s="182">
        <f>'IRBB Weighting factors'!I37</f>
        <v>4.7999999999999996E-3</v>
      </c>
      <c r="G55" s="182">
        <f>'IRBB Weighting factors'!I38</f>
        <v>8.0000000000000002E-3</v>
      </c>
      <c r="H55" s="182">
        <f>'IRBB Weighting factors'!I39</f>
        <v>1.4266666666666667E-2</v>
      </c>
      <c r="I55" s="182">
        <f>'IRBB Weighting factors'!I40</f>
        <v>2.3866666666666668E-2</v>
      </c>
      <c r="J55" s="182">
        <f>'IRBB Weighting factors'!I41</f>
        <v>3.3333333333333333E-2</v>
      </c>
      <c r="K55" s="182">
        <f>'IRBB Weighting factors'!I42</f>
        <v>5.5333333333333339E-2</v>
      </c>
      <c r="L55" s="182">
        <f>'IRBB Weighting factors'!I43</f>
        <v>8.9866666666666664E-2</v>
      </c>
      <c r="M55" s="182">
        <f>'IRBB Weighting factors'!I44</f>
        <v>0.12280000000000001</v>
      </c>
      <c r="N55" s="182">
        <f>'IRBB Weighting factors'!I45</f>
        <v>0.15413333333333334</v>
      </c>
      <c r="O55" s="182">
        <f>'IRBB Weighting factors'!I46</f>
        <v>0.20306666666666667</v>
      </c>
      <c r="P55" s="182">
        <f>'IRBB Weighting factors'!I47</f>
        <v>0.26519999999999999</v>
      </c>
      <c r="Q55" s="182">
        <f>'IRBB Weighting factors'!I48</f>
        <v>0.35666666666666663</v>
      </c>
      <c r="R55" s="182">
        <f>'IRBB Weighting factors'!I49</f>
        <v>0.44853333333333334</v>
      </c>
      <c r="S55" s="182">
        <f>'IRBB Weighting factors'!I50</f>
        <v>0.52053333333333329</v>
      </c>
      <c r="T55" s="183">
        <f>'IRBB Weighting factors'!I51</f>
        <v>0</v>
      </c>
      <c r="V55" s="218"/>
    </row>
    <row r="56" spans="1:22" ht="18" thickBot="1">
      <c r="A56" s="218"/>
      <c r="C56" s="184">
        <f>SUM(D56:T56)</f>
        <v>593923.89821733325</v>
      </c>
      <c r="D56" s="185">
        <f>$D$7*D55</f>
        <v>0</v>
      </c>
      <c r="E56" s="185">
        <f>$E$7*E55</f>
        <v>-51257.659408000021</v>
      </c>
      <c r="F56" s="185">
        <f>$F$7*F55</f>
        <v>-277305.20668799995</v>
      </c>
      <c r="G56" s="185">
        <f>$G$7*G55</f>
        <v>-27500.428640000016</v>
      </c>
      <c r="H56" s="185">
        <f>$H$7*H55</f>
        <v>-81587.88234666668</v>
      </c>
      <c r="I56" s="185">
        <f>$I$7*I55</f>
        <v>120621.23833333334</v>
      </c>
      <c r="J56" s="185">
        <f>$J$7*J55</f>
        <v>0</v>
      </c>
      <c r="K56" s="185">
        <f>$K$7*K55</f>
        <v>910953.83696666663</v>
      </c>
      <c r="L56" s="185">
        <f>$L$7*L55</f>
        <v>0</v>
      </c>
      <c r="M56" s="185">
        <f>$M$7*M55</f>
        <v>0</v>
      </c>
      <c r="N56" s="185">
        <f>$N$7*N55</f>
        <v>0</v>
      </c>
      <c r="O56" s="185">
        <f>$O$7*O55</f>
        <v>0</v>
      </c>
      <c r="P56" s="185">
        <f>$P$7*P55</f>
        <v>0</v>
      </c>
      <c r="Q56" s="185">
        <f>$Q$7*Q55</f>
        <v>0</v>
      </c>
      <c r="R56" s="185">
        <f>$R$7*R55</f>
        <v>0</v>
      </c>
      <c r="S56" s="185">
        <f>$S$7*S55</f>
        <v>0</v>
      </c>
      <c r="T56" s="186">
        <f>$T$7*T55</f>
        <v>0</v>
      </c>
      <c r="V56" s="218"/>
    </row>
    <row r="57" spans="1:22">
      <c r="A57" s="218"/>
      <c r="C57" s="181" t="s">
        <v>741</v>
      </c>
      <c r="D57" s="182">
        <f>'IRBB Weighting factors'!J35</f>
        <v>0</v>
      </c>
      <c r="E57" s="182">
        <f>'IRBB Weighting factors'!J36</f>
        <v>-1.6000000000000001E-3</v>
      </c>
      <c r="F57" s="182">
        <f>'IRBB Weighting factors'!J37</f>
        <v>-4.7999999999999996E-3</v>
      </c>
      <c r="G57" s="182">
        <f>'IRBB Weighting factors'!J38</f>
        <v>-8.0000000000000002E-3</v>
      </c>
      <c r="H57" s="182">
        <f>'IRBB Weighting factors'!J39</f>
        <v>-1.4266666666666667E-2</v>
      </c>
      <c r="I57" s="182">
        <f>'IRBB Weighting factors'!J40</f>
        <v>-2.3866666666666668E-2</v>
      </c>
      <c r="J57" s="182">
        <f>'IRBB Weighting factors'!J41</f>
        <v>-3.3333333333333333E-2</v>
      </c>
      <c r="K57" s="182">
        <f>'IRBB Weighting factors'!J42</f>
        <v>-5.5333333333333339E-2</v>
      </c>
      <c r="L57" s="182">
        <f>'IRBB Weighting factors'!J43</f>
        <v>-8.9866666666666664E-2</v>
      </c>
      <c r="M57" s="182">
        <f>'IRBB Weighting factors'!J44</f>
        <v>-0.12280000000000001</v>
      </c>
      <c r="N57" s="182">
        <f>'IRBB Weighting factors'!J45</f>
        <v>-0.15413333333333334</v>
      </c>
      <c r="O57" s="182">
        <f>'IRBB Weighting factors'!J46</f>
        <v>-0.20306666666666667</v>
      </c>
      <c r="P57" s="182">
        <f>'IRBB Weighting factors'!J47</f>
        <v>-0.26519999999999999</v>
      </c>
      <c r="Q57" s="182">
        <f>'IRBB Weighting factors'!J48</f>
        <v>-0.35666666666666663</v>
      </c>
      <c r="R57" s="182">
        <f>'IRBB Weighting factors'!J49</f>
        <v>-0.44853333333333334</v>
      </c>
      <c r="S57" s="182">
        <f>'IRBB Weighting factors'!J50</f>
        <v>-0.52053333333333329</v>
      </c>
      <c r="T57" s="183">
        <f>'IRBB Weighting factors'!J51</f>
        <v>0</v>
      </c>
      <c r="V57" s="218"/>
    </row>
    <row r="58" spans="1:22" ht="18" thickBot="1">
      <c r="A58" s="218"/>
      <c r="C58" s="184">
        <f>SUM(D58:T58)</f>
        <v>-593923.89821733325</v>
      </c>
      <c r="D58" s="185">
        <f>$D$7*D57</f>
        <v>0</v>
      </c>
      <c r="E58" s="185">
        <f>$E$7*E57</f>
        <v>51257.659408000021</v>
      </c>
      <c r="F58" s="185">
        <f>$F$7*F57</f>
        <v>277305.20668799995</v>
      </c>
      <c r="G58" s="185">
        <f>$G$7*G57</f>
        <v>27500.428640000016</v>
      </c>
      <c r="H58" s="185">
        <f>$H$7*H57</f>
        <v>81587.88234666668</v>
      </c>
      <c r="I58" s="185">
        <f>$I$7*I57</f>
        <v>-120621.23833333334</v>
      </c>
      <c r="J58" s="185">
        <f>$J$7*J57</f>
        <v>0</v>
      </c>
      <c r="K58" s="185">
        <f>$K$7*K57</f>
        <v>-910953.83696666663</v>
      </c>
      <c r="L58" s="185">
        <f>$L$7*L57</f>
        <v>0</v>
      </c>
      <c r="M58" s="185">
        <f>$M$7*M57</f>
        <v>0</v>
      </c>
      <c r="N58" s="185">
        <f>$N$7*N57</f>
        <v>0</v>
      </c>
      <c r="O58" s="185">
        <f>$O$7*O57</f>
        <v>0</v>
      </c>
      <c r="P58" s="185">
        <f>$P$7*P57</f>
        <v>0</v>
      </c>
      <c r="Q58" s="185">
        <f>$Q$7*Q57</f>
        <v>0</v>
      </c>
      <c r="R58" s="185">
        <f>$R$7*R57</f>
        <v>0</v>
      </c>
      <c r="S58" s="185">
        <f>$S$7*S57</f>
        <v>0</v>
      </c>
      <c r="T58" s="186">
        <f>$T$7*T57</f>
        <v>0</v>
      </c>
      <c r="V58" s="218"/>
    </row>
    <row r="59" spans="1:22">
      <c r="A59" s="218"/>
      <c r="C59" s="181" t="s">
        <v>742</v>
      </c>
      <c r="D59" s="182">
        <f>INDEX('IRBB Weighting factors'!M35:N35,1)</f>
        <v>0</v>
      </c>
      <c r="E59" s="182">
        <f>INDEX('IRBB Weighting factors'!M36:N36,1)</f>
        <v>-1.4039691714472968E-3</v>
      </c>
      <c r="F59" s="182">
        <f>INDEX('IRBB Weighting factors'!M37:N37,1)</f>
        <v>-4.0583262556068709E-3</v>
      </c>
      <c r="G59" s="182">
        <f>INDEX('IRBB Weighting factors'!M38:N38,1)</f>
        <v>-6.5131837565898538E-3</v>
      </c>
      <c r="H59" s="182">
        <f>INDEX('IRBB Weighting factors'!M39:N39,1)</f>
        <v>-1.074798064631965E-2</v>
      </c>
      <c r="I59" s="182">
        <f>INDEX('IRBB Weighting factors'!M40:N40,1)</f>
        <v>-1.5914841842162658E-2</v>
      </c>
      <c r="J59" s="182">
        <f>INDEX('IRBB Weighting factors'!M41:N41,1)</f>
        <v>-1.9517534582490469E-2</v>
      </c>
      <c r="K59" s="182">
        <f>INDEX('IRBB Weighting factors'!M42:N42,1)</f>
        <v>-2.2309573104384688E-2</v>
      </c>
      <c r="L59" s="182">
        <f>INDEX('IRBB Weighting factors'!M43:N43,1)</f>
        <v>-1.4800264090226386E-2</v>
      </c>
      <c r="M59" s="182">
        <f>INDEX('IRBB Weighting factors'!M44:N44,1)</f>
        <v>2.5846583740829349E-3</v>
      </c>
      <c r="N59" s="182">
        <f>INDEX('IRBB Weighting factors'!M45:N45,1)</f>
        <v>2.5540115567642234E-2</v>
      </c>
      <c r="O59" s="182">
        <f>INDEX('IRBB Weighting factors'!M46:N46,1)</f>
        <v>6.5989470241316073E-2</v>
      </c>
      <c r="P59" s="182">
        <f>INDEX('IRBB Weighting factors'!M47:N47,1)</f>
        <v>0.12932200362957597</v>
      </c>
      <c r="Q59" s="182">
        <f>INDEX('IRBB Weighting factors'!M48:N48,1)</f>
        <v>0.21616637028491972</v>
      </c>
      <c r="R59" s="182">
        <f>INDEX('IRBB Weighting factors'!M49:N49,1)</f>
        <v>0.29390252155300789</v>
      </c>
      <c r="S59" s="182">
        <f>INDEX('IRBB Weighting factors'!M50:N50,1)</f>
        <v>0.34841492863063805</v>
      </c>
      <c r="T59" s="183">
        <f>INDEX('IRBB Weighting factors'!M51:N51,1)</f>
        <v>0</v>
      </c>
      <c r="V59" s="218"/>
    </row>
    <row r="60" spans="1:22" ht="18" thickBot="1">
      <c r="A60" s="218"/>
      <c r="C60" s="184">
        <f>SUM(D60:T60)</f>
        <v>-84426.366816464462</v>
      </c>
      <c r="D60" s="185">
        <f>$D$7*D59</f>
        <v>0</v>
      </c>
      <c r="E60" s="185">
        <f>$E$7*E59</f>
        <v>44977.608505860953</v>
      </c>
      <c r="F60" s="185">
        <f>$F$7*F59</f>
        <v>234457.29189966674</v>
      </c>
      <c r="G60" s="185">
        <f>$G$7*G59</f>
        <v>22389.418139663314</v>
      </c>
      <c r="H60" s="185">
        <f>$H$7*H59</f>
        <v>61465.302367021824</v>
      </c>
      <c r="I60" s="185">
        <f>$I$7*I59</f>
        <v>-80433.013863720989</v>
      </c>
      <c r="J60" s="185">
        <f>$J$7*J59</f>
        <v>0</v>
      </c>
      <c r="K60" s="185">
        <f>$K$7*K59</f>
        <v>-367282.97386495624</v>
      </c>
      <c r="L60" s="185">
        <f>$L$7*L59</f>
        <v>0</v>
      </c>
      <c r="M60" s="185">
        <f>$M$7*M59</f>
        <v>0</v>
      </c>
      <c r="N60" s="185">
        <f>$N$7*N59</f>
        <v>0</v>
      </c>
      <c r="O60" s="185">
        <f>$O$7*O59</f>
        <v>0</v>
      </c>
      <c r="P60" s="185">
        <f>$P$7*P59</f>
        <v>0</v>
      </c>
      <c r="Q60" s="185">
        <f>$Q$7*Q59</f>
        <v>0</v>
      </c>
      <c r="R60" s="185">
        <f>$R$7*R59</f>
        <v>0</v>
      </c>
      <c r="S60" s="185">
        <f>$S$7*S59</f>
        <v>0</v>
      </c>
      <c r="T60" s="186">
        <f>$T$7*T59</f>
        <v>0</v>
      </c>
      <c r="V60" s="218"/>
    </row>
    <row r="61" spans="1:22">
      <c r="A61" s="218"/>
      <c r="C61" s="181" t="s">
        <v>743</v>
      </c>
      <c r="D61" s="182">
        <f>INDEX('IRBB Weighting factors'!O35:P35,1)</f>
        <v>0</v>
      </c>
      <c r="E61" s="182">
        <f>INDEX('IRBB Weighting factors'!O36:P36,1)</f>
        <v>1.7342802968881657E-3</v>
      </c>
      <c r="F61" s="182">
        <f>INDEX('IRBB Weighting factors'!O37:P37,1)</f>
        <v>5.0510952645040005E-3</v>
      </c>
      <c r="G61" s="182">
        <f>INDEX('IRBB Weighting factors'!O38:P38,1)</f>
        <v>8.1707951061126844E-3</v>
      </c>
      <c r="H61" s="182">
        <f>INDEX('IRBB Weighting factors'!O39:P39,1)</f>
        <v>1.3714419124650492E-2</v>
      </c>
      <c r="I61" s="182">
        <f>INDEX('IRBB Weighting factors'!O40:P40,1)</f>
        <v>2.0902074808192585E-2</v>
      </c>
      <c r="J61" s="182">
        <f>INDEX('IRBB Weighting factors'!O41:P41,1)</f>
        <v>2.6515332973934807E-2</v>
      </c>
      <c r="K61" s="182">
        <f>INDEX('IRBB Weighting factors'!O42:P42,1)</f>
        <v>3.4046510477639062E-2</v>
      </c>
      <c r="L61" s="182">
        <f>INDEX('IRBB Weighting factors'!O43:P43,1)</f>
        <v>3.4118348583171892E-2</v>
      </c>
      <c r="M61" s="182">
        <f>INDEX('IRBB Weighting factors'!O44:P44,1)</f>
        <v>2.4085516825607292E-2</v>
      </c>
      <c r="N61" s="182">
        <f>INDEX('IRBB Weighting factors'!O45:P45,1)</f>
        <v>8.2016388016921474E-3</v>
      </c>
      <c r="O61" s="182">
        <f>INDEX('IRBB Weighting factors'!O46:P46,1)</f>
        <v>-2.114903832608122E-2</v>
      </c>
      <c r="P61" s="182">
        <f>INDEX('IRBB Weighting factors'!O47:P47,1)</f>
        <v>-7.0245884064282227E-2</v>
      </c>
      <c r="Q61" s="182">
        <f>INDEX('IRBB Weighting factors'!O48:P48,1)</f>
        <v>-0.13621019852852623</v>
      </c>
      <c r="R61" s="182">
        <f>INDEX('IRBB Weighting factors'!O49:P49,1)</f>
        <v>-0.19308838782926674</v>
      </c>
      <c r="S61" s="182">
        <f>INDEX('IRBB Weighting factors'!O50:P50,1)</f>
        <v>-0.23133012868684552</v>
      </c>
      <c r="T61" s="183">
        <f>INDEX('IRBB Weighting factors'!O51:P51,1)</f>
        <v>0</v>
      </c>
      <c r="V61" s="218"/>
    </row>
    <row r="62" spans="1:22" ht="18" thickBot="1">
      <c r="A62" s="218"/>
      <c r="C62" s="184">
        <f>SUM(D62:T62)</f>
        <v>212258.54672676098</v>
      </c>
      <c r="D62" s="185">
        <f>$D$7*D61</f>
        <v>0</v>
      </c>
      <c r="E62" s="185">
        <f>$E$7*E61</f>
        <v>-55559.467984936717</v>
      </c>
      <c r="F62" s="185">
        <f>$F$7*F61</f>
        <v>-291811.46173417912</v>
      </c>
      <c r="G62" s="185">
        <f>$G$7*G61</f>
        <v>-28087.545968464154</v>
      </c>
      <c r="H62" s="185">
        <f>$H$7*H61</f>
        <v>-78429.701915527548</v>
      </c>
      <c r="I62" s="185">
        <f>$I$7*I61</f>
        <v>105638.30225280001</v>
      </c>
      <c r="J62" s="185">
        <f>$J$7*J61</f>
        <v>0</v>
      </c>
      <c r="K62" s="185">
        <f>$K$7*K61</f>
        <v>560508.42207706848</v>
      </c>
      <c r="L62" s="185">
        <f>$L$7*L61</f>
        <v>0</v>
      </c>
      <c r="M62" s="185">
        <f>$M$7*M61</f>
        <v>0</v>
      </c>
      <c r="N62" s="185">
        <f>$N$7*N61</f>
        <v>0</v>
      </c>
      <c r="O62" s="185">
        <f>$O$7*O61</f>
        <v>0</v>
      </c>
      <c r="P62" s="185">
        <f>$P$7*P61</f>
        <v>0</v>
      </c>
      <c r="Q62" s="185">
        <f>$Q$7*Q61</f>
        <v>0</v>
      </c>
      <c r="R62" s="185">
        <f>$R$7*R61</f>
        <v>0</v>
      </c>
      <c r="S62" s="185">
        <f>$S$7*S61</f>
        <v>0</v>
      </c>
      <c r="T62" s="186">
        <f>$T$7*T61</f>
        <v>0</v>
      </c>
      <c r="V62" s="218"/>
    </row>
    <row r="63" spans="1:22">
      <c r="A63" s="218"/>
      <c r="C63" s="181" t="s">
        <v>744</v>
      </c>
      <c r="D63" s="182">
        <f>'IRBB Weighting factors'!K35</f>
        <v>0</v>
      </c>
      <c r="E63" s="182">
        <f>'IRBB Weighting factors'!K36</f>
        <v>2.177184134336276E-3</v>
      </c>
      <c r="F63" s="182">
        <f>'IRBB Weighting factors'!K37</f>
        <v>6.3969393475438712E-3</v>
      </c>
      <c r="G63" s="182">
        <f>'IRBB Weighting factors'!K38</f>
        <v>1.0441834368325768E-2</v>
      </c>
      <c r="H63" s="182">
        <f>'IRBB Weighting factors'!K39</f>
        <v>1.7861178255738339E-2</v>
      </c>
      <c r="I63" s="182">
        <f>'IRBB Weighting factors'!K40</f>
        <v>2.8069582491138584E-2</v>
      </c>
      <c r="J63" s="182">
        <f>'IRBB Weighting factors'!K41</f>
        <v>3.682811796074862E-2</v>
      </c>
      <c r="K63" s="182">
        <f>'IRBB Weighting factors'!K42</f>
        <v>5.2291259294679815E-2</v>
      </c>
      <c r="L63" s="182">
        <f>'IRBB Weighting factors'!K43</f>
        <v>6.6140470517329894E-2</v>
      </c>
      <c r="M63" s="182">
        <f>'IRBB Weighting factors'!K44</f>
        <v>7.0387152022716143E-2</v>
      </c>
      <c r="N63" s="182">
        <f>'IRBB Weighting factors'!K45</f>
        <v>6.8804679582146255E-2</v>
      </c>
      <c r="O63" s="182">
        <f>'IRBB Weighting factors'!K46</f>
        <v>6.2301659549444083E-2</v>
      </c>
      <c r="P63" s="182">
        <f>'IRBB Weighting factors'!K47</f>
        <v>4.3551231878459301E-2</v>
      </c>
      <c r="Q63" s="182">
        <f>'IRBB Weighting factors'!K48</f>
        <v>2.1547404531146057E-2</v>
      </c>
      <c r="R63" s="182">
        <f>'IRBB Weighting factors'!K49</f>
        <v>7.7635269256504614E-3</v>
      </c>
      <c r="S63" s="182">
        <f>'IRBB Weighting factors'!K50</f>
        <v>2.5813374552176587E-3</v>
      </c>
      <c r="T63" s="183">
        <f>'IRBB Weighting factors'!K51</f>
        <v>0</v>
      </c>
      <c r="V63" s="218"/>
    </row>
    <row r="64" spans="1:22" ht="18" thickBot="1">
      <c r="A64" s="218"/>
      <c r="C64" s="184">
        <f>SUM(D64:T64)</f>
        <v>425384.46049759432</v>
      </c>
      <c r="D64" s="185">
        <f>$D$7*D63</f>
        <v>0</v>
      </c>
      <c r="E64" s="185">
        <f>$E$7*E63</f>
        <v>-69748.35176644387</v>
      </c>
      <c r="F64" s="185">
        <f>$F$7*F63</f>
        <v>-369563.45582109434</v>
      </c>
      <c r="G64" s="185">
        <f>$G$7*G63</f>
        <v>-35894.365114605302</v>
      </c>
      <c r="H64" s="185">
        <f>$H$7*H63</f>
        <v>-102144.0918295809</v>
      </c>
      <c r="I64" s="185">
        <f>$I$7*I63</f>
        <v>141862.61730087097</v>
      </c>
      <c r="J64" s="185">
        <f>$J$7*J63</f>
        <v>0</v>
      </c>
      <c r="K64" s="185">
        <f>$K$7*K63</f>
        <v>860872.10772844777</v>
      </c>
      <c r="L64" s="185">
        <f>$L$7*L63</f>
        <v>0</v>
      </c>
      <c r="M64" s="185">
        <f>$M$7*M63</f>
        <v>0</v>
      </c>
      <c r="N64" s="185">
        <f>$N$7*N63</f>
        <v>0</v>
      </c>
      <c r="O64" s="185">
        <f>$O$7*O63</f>
        <v>0</v>
      </c>
      <c r="P64" s="185">
        <f>$P$7*P63</f>
        <v>0</v>
      </c>
      <c r="Q64" s="185">
        <f>$Q$7*Q63</f>
        <v>0</v>
      </c>
      <c r="R64" s="185">
        <f>$R$7*R63</f>
        <v>0</v>
      </c>
      <c r="S64" s="185">
        <f>$S$7*S63</f>
        <v>0</v>
      </c>
      <c r="T64" s="186">
        <f>$T$7*T63</f>
        <v>0</v>
      </c>
      <c r="V64" s="218"/>
    </row>
    <row r="65" spans="1:22">
      <c r="A65" s="218"/>
      <c r="C65" s="181" t="s">
        <v>745</v>
      </c>
      <c r="D65" s="182">
        <f>'IRBB Weighting factors'!L35</f>
        <v>0</v>
      </c>
      <c r="E65" s="182">
        <f>'IRBB Weighting factors'!L36</f>
        <v>-2.177184134336276E-3</v>
      </c>
      <c r="F65" s="182">
        <f>'IRBB Weighting factors'!L37</f>
        <v>-6.3969393475438712E-3</v>
      </c>
      <c r="G65" s="182">
        <f>'IRBB Weighting factors'!L38</f>
        <v>-1.0441834368325768E-2</v>
      </c>
      <c r="H65" s="182">
        <f>'IRBB Weighting factors'!L39</f>
        <v>-1.7861178255738339E-2</v>
      </c>
      <c r="I65" s="182">
        <f>'IRBB Weighting factors'!L40</f>
        <v>-2.8069582491138584E-2</v>
      </c>
      <c r="J65" s="182">
        <f>'IRBB Weighting factors'!L41</f>
        <v>-3.682811796074862E-2</v>
      </c>
      <c r="K65" s="182">
        <f>'IRBB Weighting factors'!L42</f>
        <v>-5.2291259294679815E-2</v>
      </c>
      <c r="L65" s="182">
        <f>'IRBB Weighting factors'!L43</f>
        <v>-6.6140470517329894E-2</v>
      </c>
      <c r="M65" s="182">
        <f>'IRBB Weighting factors'!L44</f>
        <v>-7.0387152022716143E-2</v>
      </c>
      <c r="N65" s="182">
        <f>'IRBB Weighting factors'!L45</f>
        <v>-6.8804679582146255E-2</v>
      </c>
      <c r="O65" s="182">
        <f>'IRBB Weighting factors'!L46</f>
        <v>-6.2301659549444083E-2</v>
      </c>
      <c r="P65" s="182">
        <f>'IRBB Weighting factors'!L47</f>
        <v>-4.3551231878459301E-2</v>
      </c>
      <c r="Q65" s="182">
        <f>'IRBB Weighting factors'!L48</f>
        <v>-2.1547404531146057E-2</v>
      </c>
      <c r="R65" s="182">
        <f>'IRBB Weighting factors'!L49</f>
        <v>-7.7635269256504614E-3</v>
      </c>
      <c r="S65" s="182">
        <f>'IRBB Weighting factors'!L50</f>
        <v>-2.5813374552176587E-3</v>
      </c>
      <c r="T65" s="183">
        <f>'IRBB Weighting factors'!L51</f>
        <v>0</v>
      </c>
      <c r="V65" s="218"/>
    </row>
    <row r="66" spans="1:22" ht="18" thickBot="1">
      <c r="A66" s="218"/>
      <c r="C66" s="184">
        <f>SUM(D66:T66)</f>
        <v>-425384.46049759432</v>
      </c>
      <c r="D66" s="185">
        <f>$D$7*D65</f>
        <v>0</v>
      </c>
      <c r="E66" s="185">
        <f>$E$7*E65</f>
        <v>69748.35176644387</v>
      </c>
      <c r="F66" s="185">
        <f>$F$7*F65</f>
        <v>369563.45582109434</v>
      </c>
      <c r="G66" s="185">
        <f>$G$7*G65</f>
        <v>35894.365114605302</v>
      </c>
      <c r="H66" s="185">
        <f>$H$7*H65</f>
        <v>102144.0918295809</v>
      </c>
      <c r="I66" s="185">
        <f>$I$7*I65</f>
        <v>-141862.61730087097</v>
      </c>
      <c r="J66" s="185">
        <f>$J$7*J65</f>
        <v>0</v>
      </c>
      <c r="K66" s="185">
        <f>$K$7*K65</f>
        <v>-860872.10772844777</v>
      </c>
      <c r="L66" s="185">
        <f>$L$7*L65</f>
        <v>0</v>
      </c>
      <c r="M66" s="185">
        <f>$M$7*M65</f>
        <v>0</v>
      </c>
      <c r="N66" s="185">
        <f>$N$7*N65</f>
        <v>0</v>
      </c>
      <c r="O66" s="185">
        <f>$O$7*O65</f>
        <v>0</v>
      </c>
      <c r="P66" s="185">
        <f>$P$7*P65</f>
        <v>0</v>
      </c>
      <c r="Q66" s="185">
        <f>$Q$7*Q65</f>
        <v>0</v>
      </c>
      <c r="R66" s="185">
        <f>$R$7*R65</f>
        <v>0</v>
      </c>
      <c r="S66" s="185">
        <f>$S$7*S65</f>
        <v>0</v>
      </c>
      <c r="T66" s="186">
        <f>$T$7*T65</f>
        <v>0</v>
      </c>
      <c r="V66" s="218"/>
    </row>
    <row r="67" spans="1:22" ht="18" thickBot="1">
      <c r="A67" s="218"/>
      <c r="V67" s="218"/>
    </row>
    <row r="68" spans="1:22" ht="18" thickBot="1">
      <c r="A68" s="218"/>
      <c r="C68" s="94" t="s">
        <v>784</v>
      </c>
      <c r="V68" s="218"/>
    </row>
    <row r="69" spans="1:22" ht="18.7" thickTop="1" thickBot="1">
      <c r="A69" s="218"/>
      <c r="C69" s="95">
        <f>MIN(C56,C58,C60,C62,C64,C66)</f>
        <v>-593923.89821733325</v>
      </c>
      <c r="V69" s="218"/>
    </row>
    <row r="70" spans="1:22" ht="18" thickTop="1">
      <c r="A70" s="218"/>
      <c r="V70" s="218"/>
    </row>
    <row r="71" spans="1:22">
      <c r="A71" s="218"/>
      <c r="J71" s="109">
        <f>J26+(E48/100)</f>
        <v>0.04</v>
      </c>
      <c r="V71" s="218"/>
    </row>
    <row r="72" spans="1:22">
      <c r="A72" s="218"/>
      <c r="D72" s="96" t="s">
        <v>746</v>
      </c>
      <c r="E72" s="96" t="s">
        <v>747</v>
      </c>
      <c r="F72" s="96" t="s">
        <v>748</v>
      </c>
      <c r="G72" s="96" t="s">
        <v>749</v>
      </c>
      <c r="H72" s="96" t="s">
        <v>750</v>
      </c>
      <c r="I72" s="96" t="s">
        <v>751</v>
      </c>
      <c r="J72" s="96" t="s">
        <v>752</v>
      </c>
      <c r="V72" s="218"/>
    </row>
    <row r="73" spans="1:22">
      <c r="A73" s="218"/>
      <c r="C73" s="107" t="s">
        <v>783</v>
      </c>
      <c r="D73" s="108">
        <f>364/365</f>
        <v>0.99726027397260275</v>
      </c>
      <c r="E73" s="108">
        <f>(12-0.5)/12</f>
        <v>0.95833333333333337</v>
      </c>
      <c r="F73" s="108">
        <f>(12-1.5)/12</f>
        <v>0.875</v>
      </c>
      <c r="G73" s="108">
        <f>(12-2.5)/12</f>
        <v>0.79166666666666663</v>
      </c>
      <c r="H73" s="108">
        <f>(12-4.5)/12</f>
        <v>0.625</v>
      </c>
      <c r="I73" s="108">
        <f>(12-7.5)/12</f>
        <v>0.375</v>
      </c>
      <c r="J73" s="108">
        <f>(12-10.5)/12</f>
        <v>0.125</v>
      </c>
      <c r="V73" s="218"/>
    </row>
    <row r="74" spans="1:22" ht="18" thickBot="1">
      <c r="A74" s="218"/>
      <c r="D74" s="106">
        <f>D52*$J$71*D73</f>
        <v>5196293.8378783558</v>
      </c>
      <c r="E74" s="106">
        <f t="shared" ref="E74:J74" si="2">E52*$J$71*E73</f>
        <v>-1228048.0899833338</v>
      </c>
      <c r="F74" s="106">
        <f t="shared" si="2"/>
        <v>-2022017.1320999998</v>
      </c>
      <c r="G74" s="106">
        <f t="shared" si="2"/>
        <v>-108855.86336666673</v>
      </c>
      <c r="H74" s="106">
        <f t="shared" si="2"/>
        <v>-142969.42000000004</v>
      </c>
      <c r="I74" s="106">
        <f t="shared" si="2"/>
        <v>75809.4375</v>
      </c>
      <c r="J74" s="106">
        <f t="shared" si="2"/>
        <v>0</v>
      </c>
      <c r="V74" s="218"/>
    </row>
    <row r="75" spans="1:22" ht="18.7" thickTop="1" thickBot="1">
      <c r="A75" s="218"/>
      <c r="V75" s="218"/>
    </row>
    <row r="76" spans="1:22" ht="18.7" thickTop="1" thickBot="1">
      <c r="A76" s="218"/>
      <c r="J76" s="178">
        <f>SUM(D74:J74)</f>
        <v>1770212.7699283552</v>
      </c>
      <c r="V76" s="218"/>
    </row>
    <row r="77" spans="1:22" ht="18.7" thickTop="1" thickBot="1">
      <c r="A77" s="218"/>
      <c r="V77" s="218"/>
    </row>
    <row r="78" spans="1:22" ht="20" thickTop="1">
      <c r="A78" s="218"/>
      <c r="D78" s="137"/>
      <c r="E78" s="130"/>
      <c r="F78" s="130"/>
      <c r="G78" s="130"/>
      <c r="H78" s="130"/>
      <c r="I78" s="130"/>
      <c r="J78" s="130"/>
      <c r="K78" s="131"/>
      <c r="V78" s="218"/>
    </row>
    <row r="79" spans="1:22" ht="19.350000000000001">
      <c r="A79" s="218"/>
      <c r="D79" s="138" t="s">
        <v>814</v>
      </c>
      <c r="E79" s="132"/>
      <c r="F79" s="132"/>
      <c r="G79" s="132"/>
      <c r="H79" s="132"/>
      <c r="I79" s="132"/>
      <c r="J79" s="132"/>
      <c r="K79" s="133"/>
      <c r="V79" s="218"/>
    </row>
    <row r="80" spans="1:22" ht="20" thickBot="1">
      <c r="A80" s="218"/>
      <c r="D80" s="138"/>
      <c r="E80" s="132"/>
      <c r="F80" s="132"/>
      <c r="G80" s="132"/>
      <c r="H80" s="132"/>
      <c r="I80" s="132"/>
      <c r="J80" s="132"/>
      <c r="K80" s="133"/>
      <c r="V80" s="218"/>
    </row>
    <row r="81" spans="1:22">
      <c r="A81" s="218"/>
      <c r="D81" s="128"/>
      <c r="E81" s="278" t="s">
        <v>791</v>
      </c>
      <c r="F81" s="279"/>
      <c r="G81" s="132"/>
      <c r="H81" s="132"/>
      <c r="I81" s="132"/>
      <c r="J81" s="132"/>
      <c r="K81" s="133"/>
      <c r="V81" s="218"/>
    </row>
    <row r="82" spans="1:22">
      <c r="A82" s="218"/>
      <c r="D82" s="128"/>
      <c r="E82" s="110" t="s">
        <v>789</v>
      </c>
      <c r="F82" s="111">
        <f>ABS(C69)</f>
        <v>593923.89821733325</v>
      </c>
      <c r="G82" s="132"/>
      <c r="H82" s="132"/>
      <c r="I82" s="132"/>
      <c r="J82" s="132"/>
      <c r="K82" s="133"/>
      <c r="V82" s="218"/>
    </row>
    <row r="83" spans="1:22" ht="18" thickBot="1">
      <c r="A83" s="218"/>
      <c r="D83" s="128"/>
      <c r="E83" s="112" t="s">
        <v>790</v>
      </c>
      <c r="F83" s="113">
        <f>ABS(J76)</f>
        <v>1770212.7699283552</v>
      </c>
      <c r="G83" s="132"/>
      <c r="H83" s="132"/>
      <c r="I83" s="132"/>
      <c r="J83" s="132"/>
      <c r="K83" s="133"/>
      <c r="V83" s="218"/>
    </row>
    <row r="84" spans="1:22" ht="18" thickBot="1">
      <c r="A84" s="218"/>
      <c r="D84" s="128"/>
      <c r="E84" s="112" t="s">
        <v>792</v>
      </c>
      <c r="F84" s="113">
        <f>F39</f>
        <v>291955471.81999987</v>
      </c>
      <c r="G84" s="134"/>
      <c r="H84" s="134"/>
      <c r="I84" s="134"/>
      <c r="J84" s="134"/>
      <c r="K84" s="133"/>
      <c r="V84" s="218"/>
    </row>
    <row r="85" spans="1:22" ht="18" thickBot="1">
      <c r="A85" s="218"/>
      <c r="D85" s="128"/>
      <c r="E85" s="134"/>
      <c r="F85" s="134"/>
      <c r="G85" s="134"/>
      <c r="H85" s="134"/>
      <c r="I85" s="134"/>
      <c r="J85" s="134"/>
      <c r="K85" s="133"/>
      <c r="V85" s="218"/>
    </row>
    <row r="86" spans="1:22" ht="33.35" thickTop="1">
      <c r="A86" s="218"/>
      <c r="D86" s="128"/>
      <c r="E86" s="118" t="s">
        <v>775</v>
      </c>
      <c r="F86" s="119" t="s">
        <v>776</v>
      </c>
      <c r="G86" s="120" t="s">
        <v>777</v>
      </c>
      <c r="H86" s="121" t="s">
        <v>778</v>
      </c>
      <c r="I86" s="122" t="s">
        <v>779</v>
      </c>
      <c r="J86" s="123" t="s">
        <v>780</v>
      </c>
      <c r="K86" s="133"/>
      <c r="V86" s="218"/>
    </row>
    <row r="87" spans="1:22">
      <c r="A87" s="218"/>
      <c r="D87" s="128"/>
      <c r="E87" s="124" t="s">
        <v>781</v>
      </c>
      <c r="F87" s="117">
        <f>F82/$F$39</f>
        <v>2.0342961702855388E-3</v>
      </c>
      <c r="G87" s="116">
        <v>1.4999999999999999E-2</v>
      </c>
      <c r="H87" s="204" t="str">
        <f>IF(F87&lt;G87,"N","Y")</f>
        <v>N</v>
      </c>
      <c r="I87" s="116">
        <v>0.02</v>
      </c>
      <c r="J87" s="212" t="str">
        <f>IF(F87&lt;I87,"N","Y")</f>
        <v>N</v>
      </c>
      <c r="K87" s="133"/>
      <c r="V87" s="218"/>
    </row>
    <row r="88" spans="1:22" ht="18" thickBot="1">
      <c r="A88" s="218"/>
      <c r="D88" s="128"/>
      <c r="E88" s="125" t="s">
        <v>782</v>
      </c>
      <c r="F88" s="126">
        <f>F83/$F$39</f>
        <v>6.0632971147728636E-3</v>
      </c>
      <c r="G88" s="127">
        <v>0.02</v>
      </c>
      <c r="H88" s="216" t="str">
        <f>IF(F88&lt;G88,"N","Y")</f>
        <v>N</v>
      </c>
      <c r="I88" s="127">
        <v>2.5000000000000001E-2</v>
      </c>
      <c r="J88" s="217" t="str">
        <f>IF(F88&lt;I88,"N","Y")</f>
        <v>N</v>
      </c>
      <c r="K88" s="133"/>
      <c r="V88" s="218"/>
    </row>
    <row r="89" spans="1:22" ht="18.7" thickTop="1" thickBot="1">
      <c r="A89" s="218"/>
      <c r="D89" s="129"/>
      <c r="E89" s="135"/>
      <c r="F89" s="135"/>
      <c r="G89" s="135"/>
      <c r="H89" s="135"/>
      <c r="I89" s="135"/>
      <c r="J89" s="135"/>
      <c r="K89" s="136"/>
      <c r="V89" s="218"/>
    </row>
    <row r="90" spans="1:22" ht="18" thickTop="1">
      <c r="A90" s="218"/>
      <c r="V90" s="218"/>
    </row>
    <row r="91" spans="1:22">
      <c r="A91" s="218"/>
      <c r="B91" s="218"/>
      <c r="C91" s="218"/>
      <c r="D91" s="218"/>
      <c r="E91" s="218"/>
      <c r="F91" s="218"/>
      <c r="G91" s="218"/>
      <c r="H91" s="218"/>
      <c r="I91" s="218"/>
      <c r="J91" s="218"/>
      <c r="K91" s="218"/>
      <c r="L91" s="218"/>
      <c r="M91" s="218"/>
      <c r="N91" s="218"/>
      <c r="O91" s="218"/>
      <c r="P91" s="218"/>
      <c r="Q91" s="218"/>
      <c r="R91" s="218"/>
      <c r="S91" s="218"/>
      <c r="T91" s="218"/>
      <c r="U91" s="218"/>
      <c r="V91" s="218"/>
    </row>
  </sheetData>
  <mergeCells count="5">
    <mergeCell ref="E36:F36"/>
    <mergeCell ref="C48:C49"/>
    <mergeCell ref="D48:D49"/>
    <mergeCell ref="E48:E49"/>
    <mergeCell ref="E81:F81"/>
  </mergeCells>
  <phoneticPr fontId="10" type="noConversion"/>
  <conditionalFormatting sqref="H42">
    <cfRule type="expression" dxfId="15" priority="15">
      <formula>$H$42="Y"</formula>
    </cfRule>
    <cfRule type="expression" dxfId="14" priority="16">
      <formula>$H$42="N"</formula>
    </cfRule>
  </conditionalFormatting>
  <conditionalFormatting sqref="H43">
    <cfRule type="expression" dxfId="13" priority="13">
      <formula>$H$43="Y"</formula>
    </cfRule>
    <cfRule type="expression" dxfId="12" priority="14">
      <formula>$H$43="N"</formula>
    </cfRule>
  </conditionalFormatting>
  <conditionalFormatting sqref="J42">
    <cfRule type="expression" dxfId="11" priority="11">
      <formula>$J$42="Y"</formula>
    </cfRule>
    <cfRule type="expression" dxfId="10" priority="12">
      <formula>$J$42="N"</formula>
    </cfRule>
  </conditionalFormatting>
  <conditionalFormatting sqref="J43">
    <cfRule type="expression" dxfId="9" priority="9">
      <formula>$J$43="Y"</formula>
    </cfRule>
    <cfRule type="expression" dxfId="8" priority="10">
      <formula>$J$43="N"</formula>
    </cfRule>
  </conditionalFormatting>
  <conditionalFormatting sqref="H87">
    <cfRule type="expression" dxfId="7" priority="7">
      <formula>$H$87="Y"</formula>
    </cfRule>
    <cfRule type="expression" dxfId="6" priority="8">
      <formula>$H$87="N"</formula>
    </cfRule>
  </conditionalFormatting>
  <conditionalFormatting sqref="H88">
    <cfRule type="expression" dxfId="5" priority="5">
      <formula>$H$88="Y"</formula>
    </cfRule>
    <cfRule type="expression" dxfId="4" priority="6">
      <formula>$H$88="N"</formula>
    </cfRule>
  </conditionalFormatting>
  <conditionalFormatting sqref="J87">
    <cfRule type="expression" dxfId="3" priority="3">
      <formula>$J$87="Y"</formula>
    </cfRule>
    <cfRule type="expression" dxfId="2" priority="4">
      <formula>$J$87="N"</formula>
    </cfRule>
  </conditionalFormatting>
  <conditionalFormatting sqref="J88">
    <cfRule type="expression" dxfId="1" priority="1">
      <formula>$J$88="Y"</formula>
    </cfRule>
    <cfRule type="expression" dxfId="0" priority="2">
      <formula>$J$88="N"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R53"/>
  <sheetViews>
    <sheetView showGridLines="0" zoomScale="85" zoomScaleNormal="85" workbookViewId="0">
      <selection activeCell="I19" sqref="I19"/>
    </sheetView>
  </sheetViews>
  <sheetFormatPr defaultColWidth="9" defaultRowHeight="17.350000000000001"/>
  <cols>
    <col min="1" max="2" width="3.21875" style="36" customWidth="1"/>
    <col min="3" max="3" width="25.33203125" style="36" customWidth="1"/>
    <col min="4" max="4" width="8.21875" style="36" bestFit="1" customWidth="1"/>
    <col min="5" max="5" width="11.44140625" style="36" customWidth="1"/>
    <col min="6" max="7" width="16.44140625" style="36" customWidth="1"/>
    <col min="8" max="8" width="3.21875" style="36" customWidth="1"/>
    <col min="9" max="16" width="15.44140625" style="36" customWidth="1"/>
    <col min="17" max="18" width="3.21875" style="36" customWidth="1"/>
    <col min="19" max="16384" width="9" style="36"/>
  </cols>
  <sheetData>
    <row r="1" spans="1:18">
      <c r="A1" s="139"/>
      <c r="B1" s="139"/>
      <c r="C1" s="139"/>
      <c r="D1" s="139"/>
      <c r="E1" s="140"/>
      <c r="F1" s="139"/>
      <c r="G1" s="139"/>
      <c r="H1" s="139"/>
      <c r="I1" s="139"/>
      <c r="J1" s="139"/>
      <c r="K1" s="139"/>
      <c r="L1" s="139"/>
      <c r="M1" s="139"/>
      <c r="N1" s="139"/>
      <c r="O1" s="139"/>
      <c r="P1" s="139"/>
      <c r="Q1" s="139"/>
      <c r="R1" s="139"/>
    </row>
    <row r="2" spans="1:18" ht="18" thickBot="1">
      <c r="A2" s="139"/>
      <c r="E2" s="141"/>
      <c r="R2" s="139"/>
    </row>
    <row r="3" spans="1:18">
      <c r="A3" s="139"/>
      <c r="C3" s="290" t="s">
        <v>793</v>
      </c>
      <c r="D3" s="291"/>
      <c r="E3" s="291"/>
      <c r="F3" s="291"/>
      <c r="G3" s="291"/>
      <c r="H3" s="291"/>
      <c r="I3" s="291"/>
      <c r="J3" s="291"/>
      <c r="K3" s="291"/>
      <c r="L3" s="291"/>
      <c r="M3" s="291"/>
      <c r="N3" s="291"/>
      <c r="O3" s="291"/>
      <c r="P3" s="292"/>
      <c r="R3" s="139"/>
    </row>
    <row r="4" spans="1:18" ht="18" thickBot="1">
      <c r="A4" s="139"/>
      <c r="C4" s="293"/>
      <c r="D4" s="294"/>
      <c r="E4" s="294"/>
      <c r="F4" s="294"/>
      <c r="G4" s="294"/>
      <c r="H4" s="294"/>
      <c r="I4" s="294"/>
      <c r="J4" s="294"/>
      <c r="K4" s="294"/>
      <c r="L4" s="294"/>
      <c r="M4" s="294"/>
      <c r="N4" s="294"/>
      <c r="O4" s="294"/>
      <c r="P4" s="295"/>
      <c r="R4" s="139"/>
    </row>
    <row r="5" spans="1:18" ht="18" thickBot="1">
      <c r="A5" s="139"/>
      <c r="E5" s="141"/>
      <c r="I5" s="142"/>
      <c r="R5" s="139"/>
    </row>
    <row r="6" spans="1:18" ht="41.35" thickTop="1" thickBot="1">
      <c r="A6" s="139"/>
      <c r="E6" s="141"/>
      <c r="I6" s="143" t="s">
        <v>794</v>
      </c>
      <c r="J6" s="144" t="s">
        <v>795</v>
      </c>
      <c r="K6" s="143" t="s">
        <v>796</v>
      </c>
      <c r="L6" s="144" t="s">
        <v>797</v>
      </c>
      <c r="M6" s="145" t="s">
        <v>797</v>
      </c>
      <c r="N6" s="146" t="s">
        <v>798</v>
      </c>
      <c r="O6" s="147" t="s">
        <v>796</v>
      </c>
      <c r="P6" s="148" t="s">
        <v>799</v>
      </c>
      <c r="R6" s="139"/>
    </row>
    <row r="7" spans="1:18" ht="27.35" thickTop="1">
      <c r="A7" s="139"/>
      <c r="E7" s="149" t="s">
        <v>800</v>
      </c>
      <c r="F7" s="150" t="s">
        <v>801</v>
      </c>
      <c r="G7" s="151" t="s">
        <v>802</v>
      </c>
      <c r="I7" s="152">
        <v>3</v>
      </c>
      <c r="J7" s="153">
        <f>-I7</f>
        <v>-3</v>
      </c>
      <c r="K7" s="152">
        <v>4.5</v>
      </c>
      <c r="L7" s="153">
        <f>-K7</f>
        <v>-4.5</v>
      </c>
      <c r="M7" s="154">
        <f>L7</f>
        <v>-4.5</v>
      </c>
      <c r="N7" s="155">
        <v>2</v>
      </c>
      <c r="O7" s="156">
        <v>4.5</v>
      </c>
      <c r="P7" s="157">
        <v>-2</v>
      </c>
      <c r="R7" s="139"/>
    </row>
    <row r="8" spans="1:18" ht="26" thickBot="1">
      <c r="A8" s="139"/>
      <c r="C8" s="151" t="s">
        <v>739</v>
      </c>
      <c r="D8" s="151" t="s">
        <v>803</v>
      </c>
      <c r="E8" s="158" t="s">
        <v>804</v>
      </c>
      <c r="F8" s="159"/>
      <c r="G8" s="160"/>
      <c r="I8" s="161" t="s">
        <v>740</v>
      </c>
      <c r="J8" s="162" t="s">
        <v>741</v>
      </c>
      <c r="K8" s="161" t="s">
        <v>744</v>
      </c>
      <c r="L8" s="162" t="s">
        <v>805</v>
      </c>
      <c r="M8" s="296" t="s">
        <v>806</v>
      </c>
      <c r="N8" s="297"/>
      <c r="O8" s="298" t="s">
        <v>807</v>
      </c>
      <c r="P8" s="299"/>
      <c r="R8" s="139"/>
    </row>
    <row r="9" spans="1:18" ht="18" thickTop="1">
      <c r="A9" s="139"/>
      <c r="C9" s="163" t="s">
        <v>746</v>
      </c>
      <c r="D9" s="164">
        <f>ROUND(1/365,4)</f>
        <v>2.7000000000000001E-3</v>
      </c>
      <c r="E9" s="165">
        <v>0</v>
      </c>
      <c r="F9" s="166">
        <f>EXP(-D9/4)</f>
        <v>0.99932522776125088</v>
      </c>
      <c r="G9" s="167">
        <f>1-F9</f>
        <v>6.7477223874912173E-4</v>
      </c>
      <c r="I9" s="168">
        <f>E9*$I$7</f>
        <v>0</v>
      </c>
      <c r="J9" s="168">
        <f>E9*$J$7</f>
        <v>0</v>
      </c>
      <c r="K9" s="168">
        <f>(E9*F9)*$K$7</f>
        <v>0</v>
      </c>
      <c r="L9" s="168">
        <f t="shared" ref="L9:L25" si="0">(E9*F9)*$L$7</f>
        <v>0</v>
      </c>
      <c r="M9" s="286">
        <f t="shared" ref="M9:M25" si="1">(((E9*F9)*$M$7)*0.65+((E9*G9)*$N$7)*0.9)</f>
        <v>0</v>
      </c>
      <c r="N9" s="287"/>
      <c r="O9" s="286">
        <f t="shared" ref="O9:O25" si="2">(((E9*F9)*$O$7)*0.8+((E9*G9)*$P$7)*0.6)</f>
        <v>0</v>
      </c>
      <c r="P9" s="287"/>
      <c r="R9" s="139"/>
    </row>
    <row r="10" spans="1:18">
      <c r="A10" s="139"/>
      <c r="C10" s="163" t="s">
        <v>747</v>
      </c>
      <c r="D10" s="164">
        <f>ROUND(0.5/12,4)</f>
        <v>4.1700000000000001E-2</v>
      </c>
      <c r="E10" s="165">
        <v>4.0000000000000002E-4</v>
      </c>
      <c r="F10" s="166">
        <f t="shared" ref="F10:F24" si="3">EXP(-D10/4)</f>
        <v>0.98962915197103463</v>
      </c>
      <c r="G10" s="167">
        <f t="shared" ref="G10:G24" si="4">1-F10</f>
        <v>1.0370848028965374E-2</v>
      </c>
      <c r="I10" s="169">
        <f>E10*$I$7</f>
        <v>1.2000000000000001E-3</v>
      </c>
      <c r="J10" s="169">
        <f t="shared" ref="J10:J25" si="5">E10*$J$7</f>
        <v>-1.2000000000000001E-3</v>
      </c>
      <c r="K10" s="169">
        <f t="shared" ref="K10:K25" si="6">(E10*F10)*$K$7</f>
        <v>1.7813324735478624E-3</v>
      </c>
      <c r="L10" s="169">
        <f t="shared" si="0"/>
        <v>-1.7813324735478624E-3</v>
      </c>
      <c r="M10" s="286">
        <f t="shared" si="1"/>
        <v>-1.1503990972252555E-3</v>
      </c>
      <c r="N10" s="287"/>
      <c r="O10" s="286">
        <f t="shared" si="2"/>
        <v>1.4200879717843867E-3</v>
      </c>
      <c r="P10" s="287"/>
      <c r="R10" s="139"/>
    </row>
    <row r="11" spans="1:18">
      <c r="A11" s="139"/>
      <c r="C11" s="163" t="s">
        <v>748</v>
      </c>
      <c r="D11" s="167">
        <f>ROUND(1.5/12,4)</f>
        <v>0.125</v>
      </c>
      <c r="E11" s="165">
        <v>1.1999999999999999E-3</v>
      </c>
      <c r="F11" s="166">
        <f t="shared" si="3"/>
        <v>0.96923323447634413</v>
      </c>
      <c r="G11" s="167">
        <f t="shared" si="4"/>
        <v>3.076676552365587E-2</v>
      </c>
      <c r="I11" s="169">
        <f t="shared" ref="I11:I25" si="7">E11*$I$7</f>
        <v>3.5999999999999999E-3</v>
      </c>
      <c r="J11" s="169">
        <f t="shared" si="5"/>
        <v>-3.5999999999999999E-3</v>
      </c>
      <c r="K11" s="169">
        <f t="shared" si="6"/>
        <v>5.2338594661722575E-3</v>
      </c>
      <c r="L11" s="169">
        <f t="shared" si="0"/>
        <v>-5.2338594661722575E-3</v>
      </c>
      <c r="M11" s="286">
        <f t="shared" si="1"/>
        <v>-3.3355524394808708E-3</v>
      </c>
      <c r="N11" s="287"/>
      <c r="O11" s="286">
        <f t="shared" si="2"/>
        <v>4.142783430583742E-3</v>
      </c>
      <c r="P11" s="287"/>
      <c r="R11" s="139"/>
    </row>
    <row r="12" spans="1:18">
      <c r="A12" s="139"/>
      <c r="C12" s="163" t="s">
        <v>749</v>
      </c>
      <c r="D12" s="167">
        <f>ROUND(2.5/12,4)</f>
        <v>0.20830000000000001</v>
      </c>
      <c r="E12" s="165">
        <v>2E-3</v>
      </c>
      <c r="F12" s="166">
        <f t="shared" si="3"/>
        <v>0.94925766984779703</v>
      </c>
      <c r="G12" s="167">
        <f t="shared" si="4"/>
        <v>5.0742330152202975E-2</v>
      </c>
      <c r="I12" s="169">
        <f t="shared" si="7"/>
        <v>6.0000000000000001E-3</v>
      </c>
      <c r="J12" s="169">
        <f t="shared" si="5"/>
        <v>-6.0000000000000001E-3</v>
      </c>
      <c r="K12" s="169">
        <f t="shared" si="6"/>
        <v>8.5433190286301735E-3</v>
      </c>
      <c r="L12" s="169">
        <f t="shared" si="0"/>
        <v>-8.5433190286301735E-3</v>
      </c>
      <c r="M12" s="286">
        <f t="shared" si="1"/>
        <v>-5.370484980061682E-3</v>
      </c>
      <c r="N12" s="287"/>
      <c r="O12" s="286">
        <f t="shared" si="2"/>
        <v>6.7128736305388514E-3</v>
      </c>
      <c r="P12" s="287"/>
      <c r="R12" s="139"/>
    </row>
    <row r="13" spans="1:18">
      <c r="A13" s="139"/>
      <c r="C13" s="163" t="s">
        <v>750</v>
      </c>
      <c r="D13" s="167">
        <f>ROUND(4.5/12,4)</f>
        <v>0.375</v>
      </c>
      <c r="E13" s="165">
        <v>3.5666666666666668E-3</v>
      </c>
      <c r="F13" s="166">
        <f t="shared" si="3"/>
        <v>0.91051036138003416</v>
      </c>
      <c r="G13" s="167">
        <f t="shared" si="4"/>
        <v>8.9489638619965839E-2</v>
      </c>
      <c r="I13" s="169">
        <f t="shared" si="7"/>
        <v>1.0700000000000001E-2</v>
      </c>
      <c r="J13" s="169">
        <f t="shared" si="5"/>
        <v>-1.0700000000000001E-2</v>
      </c>
      <c r="K13" s="169">
        <f t="shared" si="6"/>
        <v>1.4613691300149549E-2</v>
      </c>
      <c r="L13" s="169">
        <f t="shared" si="0"/>
        <v>-1.4613691300149549E-2</v>
      </c>
      <c r="M13" s="286">
        <f t="shared" si="1"/>
        <v>-8.9243758651570276E-3</v>
      </c>
      <c r="N13" s="287"/>
      <c r="O13" s="286">
        <f t="shared" si="2"/>
        <v>1.1307937386826186E-2</v>
      </c>
      <c r="P13" s="287"/>
      <c r="R13" s="139"/>
    </row>
    <row r="14" spans="1:18">
      <c r="A14" s="139"/>
      <c r="C14" s="163" t="s">
        <v>751</v>
      </c>
      <c r="D14" s="167">
        <f>ROUND(7.5/12,4)</f>
        <v>0.625</v>
      </c>
      <c r="E14" s="165">
        <v>5.966666666666667E-3</v>
      </c>
      <c r="F14" s="166">
        <f t="shared" si="3"/>
        <v>0.85534532730742252</v>
      </c>
      <c r="G14" s="167">
        <f t="shared" si="4"/>
        <v>0.14465467269257748</v>
      </c>
      <c r="I14" s="169">
        <f t="shared" si="7"/>
        <v>1.7899999999999999E-2</v>
      </c>
      <c r="J14" s="169">
        <f t="shared" si="5"/>
        <v>-1.7899999999999999E-2</v>
      </c>
      <c r="K14" s="169">
        <f t="shared" si="6"/>
        <v>2.2966022038204296E-2</v>
      </c>
      <c r="L14" s="169">
        <f t="shared" si="0"/>
        <v>-2.2966022038204296E-2</v>
      </c>
      <c r="M14" s="286">
        <f t="shared" si="1"/>
        <v>-1.3374323140114511E-2</v>
      </c>
      <c r="N14" s="287"/>
      <c r="O14" s="286">
        <f t="shared" si="2"/>
        <v>1.7337090174084583E-2</v>
      </c>
      <c r="P14" s="287"/>
      <c r="R14" s="139"/>
    </row>
    <row r="15" spans="1:18">
      <c r="A15" s="139"/>
      <c r="C15" s="163" t="s">
        <v>752</v>
      </c>
      <c r="D15" s="167">
        <f>ROUND(10.5/12,4)</f>
        <v>0.875</v>
      </c>
      <c r="E15" s="165">
        <v>8.3333333333333332E-3</v>
      </c>
      <c r="F15" s="166">
        <f t="shared" si="3"/>
        <v>0.80352257368906077</v>
      </c>
      <c r="G15" s="167">
        <f t="shared" si="4"/>
        <v>0.19647742631093923</v>
      </c>
      <c r="I15" s="169">
        <f t="shared" si="7"/>
        <v>2.5000000000000001E-2</v>
      </c>
      <c r="J15" s="169">
        <f t="shared" si="5"/>
        <v>-2.5000000000000001E-2</v>
      </c>
      <c r="K15" s="169">
        <f t="shared" si="6"/>
        <v>3.0132096513339781E-2</v>
      </c>
      <c r="L15" s="169">
        <f t="shared" si="0"/>
        <v>-3.0132096513339781E-2</v>
      </c>
      <c r="M15" s="286">
        <f t="shared" si="1"/>
        <v>-1.6638701339006769E-2</v>
      </c>
      <c r="N15" s="287"/>
      <c r="O15" s="286">
        <f t="shared" si="2"/>
        <v>2.2140902947562435E-2</v>
      </c>
      <c r="P15" s="287"/>
      <c r="R15" s="139"/>
    </row>
    <row r="16" spans="1:18">
      <c r="A16" s="139"/>
      <c r="C16" s="163" t="s">
        <v>753</v>
      </c>
      <c r="D16" s="167">
        <v>1.5</v>
      </c>
      <c r="E16" s="165">
        <v>1.3833333333333335E-2</v>
      </c>
      <c r="F16" s="166">
        <f t="shared" si="3"/>
        <v>0.68728927879097224</v>
      </c>
      <c r="G16" s="167">
        <f t="shared" si="4"/>
        <v>0.31271072120902776</v>
      </c>
      <c r="I16" s="169">
        <f t="shared" si="7"/>
        <v>4.1500000000000002E-2</v>
      </c>
      <c r="J16" s="169">
        <f t="shared" si="5"/>
        <v>-4.1500000000000002E-2</v>
      </c>
      <c r="K16" s="169">
        <f t="shared" si="6"/>
        <v>4.2783757604738029E-2</v>
      </c>
      <c r="L16" s="169">
        <f t="shared" si="0"/>
        <v>-4.2783757604738029E-2</v>
      </c>
      <c r="M16" s="286">
        <f t="shared" si="1"/>
        <v>-2.0022945484974925E-2</v>
      </c>
      <c r="N16" s="287"/>
      <c r="O16" s="286">
        <f t="shared" si="2"/>
        <v>2.9036008111720562E-2</v>
      </c>
      <c r="P16" s="287"/>
      <c r="R16" s="139"/>
    </row>
    <row r="17" spans="1:18">
      <c r="A17" s="139"/>
      <c r="C17" s="163" t="s">
        <v>754</v>
      </c>
      <c r="D17" s="164">
        <v>2.5</v>
      </c>
      <c r="E17" s="165">
        <v>2.2466666666666666E-2</v>
      </c>
      <c r="F17" s="166">
        <f t="shared" si="3"/>
        <v>0.53526142851899028</v>
      </c>
      <c r="G17" s="167">
        <f t="shared" si="4"/>
        <v>0.46473857148100972</v>
      </c>
      <c r="I17" s="169">
        <f t="shared" si="7"/>
        <v>6.7400000000000002E-2</v>
      </c>
      <c r="J17" s="169">
        <f t="shared" si="5"/>
        <v>-6.7400000000000002E-2</v>
      </c>
      <c r="K17" s="169">
        <f t="shared" si="6"/>
        <v>5.4114930423269918E-2</v>
      </c>
      <c r="L17" s="169">
        <f t="shared" si="0"/>
        <v>-5.4114930423269918E-2</v>
      </c>
      <c r="M17" s="286">
        <f t="shared" si="1"/>
        <v>-1.6380676944433417E-2</v>
      </c>
      <c r="N17" s="287"/>
      <c r="O17" s="286">
        <f t="shared" si="2"/>
        <v>3.0762592451487918E-2</v>
      </c>
      <c r="P17" s="287"/>
      <c r="R17" s="139"/>
    </row>
    <row r="18" spans="1:18">
      <c r="A18" s="139"/>
      <c r="C18" s="163" t="s">
        <v>755</v>
      </c>
      <c r="D18" s="164">
        <v>3.5</v>
      </c>
      <c r="E18" s="165">
        <v>3.0700000000000002E-2</v>
      </c>
      <c r="F18" s="166">
        <f t="shared" si="3"/>
        <v>0.41686201967850839</v>
      </c>
      <c r="G18" s="167">
        <f t="shared" si="4"/>
        <v>0.58313798032149156</v>
      </c>
      <c r="I18" s="169">
        <f t="shared" si="7"/>
        <v>9.2100000000000001E-2</v>
      </c>
      <c r="J18" s="169">
        <f t="shared" si="5"/>
        <v>-9.2100000000000001E-2</v>
      </c>
      <c r="K18" s="169">
        <f t="shared" si="6"/>
        <v>5.758948801858594E-2</v>
      </c>
      <c r="L18" s="169">
        <f t="shared" si="0"/>
        <v>-5.758948801858594E-2</v>
      </c>
      <c r="M18" s="286">
        <f t="shared" si="1"/>
        <v>-5.2089624195152395E-3</v>
      </c>
      <c r="N18" s="287"/>
      <c r="O18" s="286">
        <f t="shared" si="2"/>
        <v>2.4588787219825003E-2</v>
      </c>
      <c r="P18" s="287"/>
      <c r="R18" s="139"/>
    </row>
    <row r="19" spans="1:18">
      <c r="A19" s="139"/>
      <c r="C19" s="163" t="s">
        <v>756</v>
      </c>
      <c r="D19" s="164">
        <v>4.5</v>
      </c>
      <c r="E19" s="165">
        <v>3.8533333333333336E-2</v>
      </c>
      <c r="F19" s="166">
        <f t="shared" si="3"/>
        <v>0.32465246735834974</v>
      </c>
      <c r="G19" s="167">
        <f t="shared" si="4"/>
        <v>0.67534753264165026</v>
      </c>
      <c r="I19" s="169">
        <f t="shared" si="7"/>
        <v>0.11560000000000001</v>
      </c>
      <c r="J19" s="169">
        <f t="shared" si="5"/>
        <v>-0.11560000000000001</v>
      </c>
      <c r="K19" s="169">
        <f t="shared" si="6"/>
        <v>5.6294737839937853E-2</v>
      </c>
      <c r="L19" s="169">
        <f t="shared" si="0"/>
        <v>-5.6294737839937853E-2</v>
      </c>
      <c r="M19" s="286">
        <f t="shared" si="1"/>
        <v>1.0250525268065261E-2</v>
      </c>
      <c r="N19" s="287"/>
      <c r="O19" s="286">
        <f t="shared" si="2"/>
        <v>1.3807720362600376E-2</v>
      </c>
      <c r="P19" s="287"/>
      <c r="R19" s="139"/>
    </row>
    <row r="20" spans="1:18">
      <c r="A20" s="139"/>
      <c r="C20" s="163" t="s">
        <v>757</v>
      </c>
      <c r="D20" s="164">
        <v>6</v>
      </c>
      <c r="E20" s="165">
        <v>5.0766666666666668E-2</v>
      </c>
      <c r="F20" s="166">
        <f t="shared" si="3"/>
        <v>0.22313016014842982</v>
      </c>
      <c r="G20" s="167">
        <f t="shared" si="4"/>
        <v>0.77686983985157021</v>
      </c>
      <c r="I20" s="169">
        <f t="shared" si="7"/>
        <v>0.15229999999999999</v>
      </c>
      <c r="J20" s="169">
        <f t="shared" si="5"/>
        <v>-0.15229999999999999</v>
      </c>
      <c r="K20" s="169">
        <f t="shared" si="6"/>
        <v>5.0974085085908796E-2</v>
      </c>
      <c r="L20" s="169">
        <f t="shared" si="0"/>
        <v>-5.0974085085908796E-2</v>
      </c>
      <c r="M20" s="286">
        <f t="shared" si="1"/>
        <v>3.7857210659795769E-2</v>
      </c>
      <c r="N20" s="287"/>
      <c r="O20" s="286">
        <f t="shared" si="2"/>
        <v>-6.5476425750306197E-3</v>
      </c>
      <c r="P20" s="287"/>
      <c r="R20" s="139"/>
    </row>
    <row r="21" spans="1:18">
      <c r="A21" s="139"/>
      <c r="C21" s="163" t="s">
        <v>758</v>
      </c>
      <c r="D21" s="164">
        <v>8.5</v>
      </c>
      <c r="E21" s="165">
        <v>6.6299999999999998E-2</v>
      </c>
      <c r="F21" s="166">
        <f t="shared" si="3"/>
        <v>0.11943296826671962</v>
      </c>
      <c r="G21" s="167">
        <f t="shared" si="4"/>
        <v>0.88056703173328033</v>
      </c>
      <c r="I21" s="169">
        <f t="shared" si="7"/>
        <v>0.19889999999999999</v>
      </c>
      <c r="J21" s="169">
        <f t="shared" si="5"/>
        <v>-0.19889999999999999</v>
      </c>
      <c r="K21" s="169">
        <f t="shared" si="6"/>
        <v>3.5632826082375793E-2</v>
      </c>
      <c r="L21" s="169">
        <f t="shared" si="0"/>
        <v>-3.5632826082375793E-2</v>
      </c>
      <c r="M21" s="286">
        <f t="shared" si="1"/>
        <v>8.1925532613505408E-2</v>
      </c>
      <c r="N21" s="287"/>
      <c r="O21" s="286">
        <f t="shared" si="2"/>
        <v>-4.1551652178799137E-2</v>
      </c>
      <c r="P21" s="287"/>
      <c r="R21" s="139"/>
    </row>
    <row r="22" spans="1:18">
      <c r="A22" s="139"/>
      <c r="C22" s="163" t="s">
        <v>759</v>
      </c>
      <c r="D22" s="164">
        <v>12.5</v>
      </c>
      <c r="E22" s="165">
        <v>8.9166666666666658E-2</v>
      </c>
      <c r="F22" s="166">
        <f t="shared" si="3"/>
        <v>4.393693362340742E-2</v>
      </c>
      <c r="G22" s="167">
        <f t="shared" si="4"/>
        <v>0.95606306637659255</v>
      </c>
      <c r="I22" s="169">
        <f t="shared" si="7"/>
        <v>0.26749999999999996</v>
      </c>
      <c r="J22" s="169">
        <f t="shared" si="5"/>
        <v>-0.26749999999999996</v>
      </c>
      <c r="K22" s="169">
        <f t="shared" si="6"/>
        <v>1.7629694616392227E-2</v>
      </c>
      <c r="L22" s="169">
        <f t="shared" si="0"/>
        <v>-1.7629694616392227E-2</v>
      </c>
      <c r="M22" s="286">
        <f t="shared" si="1"/>
        <v>0.14198882065278814</v>
      </c>
      <c r="N22" s="287"/>
      <c r="O22" s="286">
        <f t="shared" si="2"/>
        <v>-8.8194992409181605E-2</v>
      </c>
      <c r="P22" s="287"/>
      <c r="R22" s="139"/>
    </row>
    <row r="23" spans="1:18">
      <c r="A23" s="139"/>
      <c r="C23" s="163" t="s">
        <v>760</v>
      </c>
      <c r="D23" s="164">
        <v>17.5</v>
      </c>
      <c r="E23" s="165">
        <v>0.11213333333333333</v>
      </c>
      <c r="F23" s="166">
        <f t="shared" si="3"/>
        <v>1.2588142242433998E-2</v>
      </c>
      <c r="G23" s="167">
        <f t="shared" si="4"/>
        <v>0.98741185775756601</v>
      </c>
      <c r="I23" s="169">
        <f t="shared" si="7"/>
        <v>0.33640000000000003</v>
      </c>
      <c r="J23" s="169">
        <f t="shared" si="5"/>
        <v>-0.33640000000000003</v>
      </c>
      <c r="K23" s="169">
        <f t="shared" si="6"/>
        <v>6.3519765755321953E-3</v>
      </c>
      <c r="L23" s="169">
        <f t="shared" si="0"/>
        <v>-6.3519765755321953E-3</v>
      </c>
      <c r="M23" s="286">
        <f t="shared" si="1"/>
        <v>0.1951704245956912</v>
      </c>
      <c r="N23" s="287"/>
      <c r="O23" s="286">
        <f t="shared" si="2"/>
        <v>-0.12778455831943231</v>
      </c>
      <c r="P23" s="287"/>
      <c r="R23" s="139"/>
    </row>
    <row r="24" spans="1:18">
      <c r="A24" s="139"/>
      <c r="C24" s="163" t="s">
        <v>761</v>
      </c>
      <c r="D24" s="170">
        <v>22.5</v>
      </c>
      <c r="E24" s="165">
        <v>0.13013333333333332</v>
      </c>
      <c r="F24" s="166">
        <f t="shared" si="3"/>
        <v>3.6065631360157305E-3</v>
      </c>
      <c r="G24" s="167">
        <f t="shared" si="4"/>
        <v>0.99639343686398429</v>
      </c>
      <c r="I24" s="169">
        <f t="shared" si="7"/>
        <v>0.39039999999999997</v>
      </c>
      <c r="J24" s="169">
        <f t="shared" si="5"/>
        <v>-0.39039999999999997</v>
      </c>
      <c r="K24" s="169">
        <f t="shared" si="6"/>
        <v>2.1120033724508118E-3</v>
      </c>
      <c r="L24" s="169">
        <f t="shared" si="0"/>
        <v>-2.1120033724508118E-3</v>
      </c>
      <c r="M24" s="286">
        <f t="shared" si="1"/>
        <v>0.23202239645892667</v>
      </c>
      <c r="N24" s="287"/>
      <c r="O24" s="286">
        <f t="shared" si="2"/>
        <v>-0.15390719640271913</v>
      </c>
      <c r="P24" s="287"/>
      <c r="R24" s="139"/>
    </row>
    <row r="25" spans="1:18" ht="18" thickBot="1">
      <c r="A25" s="139"/>
      <c r="C25" s="163" t="s">
        <v>762</v>
      </c>
      <c r="D25" s="171"/>
      <c r="E25" s="172">
        <v>0</v>
      </c>
      <c r="F25" s="173"/>
      <c r="G25" s="171"/>
      <c r="I25" s="174">
        <f t="shared" si="7"/>
        <v>0</v>
      </c>
      <c r="J25" s="174">
        <f t="shared" si="5"/>
        <v>0</v>
      </c>
      <c r="K25" s="174">
        <f t="shared" si="6"/>
        <v>0</v>
      </c>
      <c r="L25" s="174">
        <f t="shared" si="0"/>
        <v>0</v>
      </c>
      <c r="M25" s="288">
        <f t="shared" si="1"/>
        <v>0</v>
      </c>
      <c r="N25" s="289"/>
      <c r="O25" s="288">
        <f t="shared" si="2"/>
        <v>0</v>
      </c>
      <c r="P25" s="289"/>
      <c r="R25" s="139"/>
    </row>
    <row r="26" spans="1:18" ht="18" thickTop="1">
      <c r="A26" s="139"/>
      <c r="R26" s="139"/>
    </row>
    <row r="27" spans="1:18">
      <c r="A27" s="139"/>
      <c r="B27" s="139"/>
      <c r="C27" s="139"/>
      <c r="D27" s="139"/>
      <c r="E27" s="139"/>
      <c r="F27" s="139"/>
      <c r="G27" s="139"/>
      <c r="H27" s="139"/>
      <c r="I27" s="139"/>
      <c r="J27" s="139"/>
      <c r="K27" s="139"/>
      <c r="L27" s="139"/>
      <c r="M27" s="139"/>
      <c r="N27" s="139"/>
      <c r="O27" s="139"/>
      <c r="P27" s="139"/>
      <c r="Q27" s="139"/>
      <c r="R27" s="139"/>
    </row>
    <row r="28" spans="1:18" ht="18" thickBot="1">
      <c r="A28" s="139"/>
      <c r="R28" s="139"/>
    </row>
    <row r="29" spans="1:18">
      <c r="A29" s="139"/>
      <c r="C29" s="290" t="s">
        <v>811</v>
      </c>
      <c r="D29" s="291"/>
      <c r="E29" s="291"/>
      <c r="F29" s="291"/>
      <c r="G29" s="291"/>
      <c r="H29" s="291"/>
      <c r="I29" s="291"/>
      <c r="J29" s="291"/>
      <c r="K29" s="291"/>
      <c r="L29" s="291"/>
      <c r="M29" s="291"/>
      <c r="N29" s="291"/>
      <c r="O29" s="291"/>
      <c r="P29" s="292"/>
      <c r="R29" s="139"/>
    </row>
    <row r="30" spans="1:18" ht="18" thickBot="1">
      <c r="A30" s="139"/>
      <c r="C30" s="293"/>
      <c r="D30" s="294"/>
      <c r="E30" s="294"/>
      <c r="F30" s="294"/>
      <c r="G30" s="294"/>
      <c r="H30" s="294"/>
      <c r="I30" s="294"/>
      <c r="J30" s="294"/>
      <c r="K30" s="294"/>
      <c r="L30" s="294"/>
      <c r="M30" s="294"/>
      <c r="N30" s="294"/>
      <c r="O30" s="294"/>
      <c r="P30" s="295"/>
      <c r="R30" s="139"/>
    </row>
    <row r="31" spans="1:18" ht="18" thickBot="1">
      <c r="A31" s="139"/>
      <c r="E31" s="141"/>
      <c r="R31" s="139"/>
    </row>
    <row r="32" spans="1:18" ht="53.35" thickTop="1" thickBot="1">
      <c r="A32" s="139"/>
      <c r="E32" s="141"/>
      <c r="F32" s="175" t="s">
        <v>808</v>
      </c>
      <c r="G32" s="187">
        <f>Summary_IRRBB!E48</f>
        <v>1</v>
      </c>
      <c r="I32" s="143" t="s">
        <v>794</v>
      </c>
      <c r="J32" s="144" t="s">
        <v>795</v>
      </c>
      <c r="K32" s="143" t="s">
        <v>796</v>
      </c>
      <c r="L32" s="144" t="s">
        <v>797</v>
      </c>
      <c r="M32" s="145" t="s">
        <v>797</v>
      </c>
      <c r="N32" s="146" t="s">
        <v>798</v>
      </c>
      <c r="O32" s="147" t="s">
        <v>796</v>
      </c>
      <c r="P32" s="148" t="s">
        <v>799</v>
      </c>
      <c r="R32" s="139"/>
    </row>
    <row r="33" spans="1:18" ht="27.35" thickTop="1">
      <c r="A33" s="139"/>
      <c r="E33" s="149" t="s">
        <v>800</v>
      </c>
      <c r="F33" s="150" t="s">
        <v>801</v>
      </c>
      <c r="G33" s="176" t="s">
        <v>802</v>
      </c>
      <c r="I33" s="152">
        <f>+(ABS(I7)+$G$32)</f>
        <v>4</v>
      </c>
      <c r="J33" s="153">
        <f>-(ABS(J7)+$G$32)</f>
        <v>-4</v>
      </c>
      <c r="K33" s="152">
        <f>+(ABS(K7)+$G$32)</f>
        <v>5.5</v>
      </c>
      <c r="L33" s="153">
        <f>-(ABS(L7)+$G$32)</f>
        <v>-5.5</v>
      </c>
      <c r="M33" s="154">
        <f>-(ABS(M7)+$G$32)</f>
        <v>-5.5</v>
      </c>
      <c r="N33" s="155">
        <f>+(ABS(N7)+$G$32)</f>
        <v>3</v>
      </c>
      <c r="O33" s="156">
        <f>+(ABS(O7)+$G$32)</f>
        <v>5.5</v>
      </c>
      <c r="P33" s="157">
        <f>-(ABS(P7)+$G$32)</f>
        <v>-3</v>
      </c>
      <c r="R33" s="139"/>
    </row>
    <row r="34" spans="1:18" ht="26" thickBot="1">
      <c r="A34" s="139"/>
      <c r="C34" s="151" t="s">
        <v>739</v>
      </c>
      <c r="D34" s="151" t="s">
        <v>803</v>
      </c>
      <c r="E34" s="158" t="s">
        <v>804</v>
      </c>
      <c r="F34" s="159"/>
      <c r="G34" s="160"/>
      <c r="I34" s="161" t="s">
        <v>740</v>
      </c>
      <c r="J34" s="162" t="s">
        <v>741</v>
      </c>
      <c r="K34" s="161" t="s">
        <v>744</v>
      </c>
      <c r="L34" s="162" t="s">
        <v>805</v>
      </c>
      <c r="M34" s="296" t="s">
        <v>806</v>
      </c>
      <c r="N34" s="297"/>
      <c r="O34" s="298" t="s">
        <v>807</v>
      </c>
      <c r="P34" s="299"/>
      <c r="R34" s="139"/>
    </row>
    <row r="35" spans="1:18" ht="18" thickTop="1">
      <c r="A35" s="139"/>
      <c r="C35" s="163" t="s">
        <v>746</v>
      </c>
      <c r="D35" s="164">
        <f>ROUND(1/365,4)</f>
        <v>2.7000000000000001E-3</v>
      </c>
      <c r="E35" s="165">
        <f>E9</f>
        <v>0</v>
      </c>
      <c r="F35" s="166">
        <f t="shared" ref="F35:F50" si="8">EXP(-D35/4)</f>
        <v>0.99932522776125088</v>
      </c>
      <c r="G35" s="167">
        <f>1-F35</f>
        <v>6.7477223874912173E-4</v>
      </c>
      <c r="I35" s="168">
        <f>E35*$I$33</f>
        <v>0</v>
      </c>
      <c r="J35" s="168">
        <f>E35*$J$33</f>
        <v>0</v>
      </c>
      <c r="K35" s="168">
        <f>(E35*F35)*$K$33</f>
        <v>0</v>
      </c>
      <c r="L35" s="168">
        <f>(E35*F35)*$L$33</f>
        <v>0</v>
      </c>
      <c r="M35" s="286">
        <f>(((E35*F35)*$M$33)*0.65+((E35*G35)*$N$33)*0.9)</f>
        <v>0</v>
      </c>
      <c r="N35" s="287"/>
      <c r="O35" s="286">
        <f>(((E35*F35)*$O$33)*0.8+((E35*G35)*$P$33)*0.6)</f>
        <v>0</v>
      </c>
      <c r="P35" s="287"/>
      <c r="R35" s="139"/>
    </row>
    <row r="36" spans="1:18">
      <c r="A36" s="139"/>
      <c r="C36" s="163" t="s">
        <v>747</v>
      </c>
      <c r="D36" s="164">
        <f>ROUND(0.5/12,4)</f>
        <v>4.1700000000000001E-2</v>
      </c>
      <c r="E36" s="165">
        <f t="shared" ref="E36:E51" si="9">E10</f>
        <v>4.0000000000000002E-4</v>
      </c>
      <c r="F36" s="166">
        <f t="shared" si="8"/>
        <v>0.98962915197103463</v>
      </c>
      <c r="G36" s="167">
        <f t="shared" ref="G36:G50" si="10">1-F36</f>
        <v>1.0370848028965374E-2</v>
      </c>
      <c r="I36" s="169">
        <f t="shared" ref="I36:I51" si="11">E36*$I$33</f>
        <v>1.6000000000000001E-3</v>
      </c>
      <c r="J36" s="169">
        <f t="shared" ref="J36:J51" si="12">E36*$J$33</f>
        <v>-1.6000000000000001E-3</v>
      </c>
      <c r="K36" s="169">
        <f t="shared" ref="K36:K51" si="13">(E36*F36)*$K$33</f>
        <v>2.177184134336276E-3</v>
      </c>
      <c r="L36" s="169">
        <f t="shared" ref="L36:L51" si="14">(E36*F36)*$L$33</f>
        <v>-2.177184134336276E-3</v>
      </c>
      <c r="M36" s="286">
        <f t="shared" ref="M36:M51" si="15">(((E36*F36)*$M$33)*0.65+((E36*G36)*$N$33)*0.9)</f>
        <v>-1.4039691714472968E-3</v>
      </c>
      <c r="N36" s="287"/>
      <c r="O36" s="286">
        <f t="shared" ref="O36:O51" si="16">(((E36*F36)*$O$33)*0.8+((E36*G36)*$P$33)*0.6)</f>
        <v>1.7342802968881657E-3</v>
      </c>
      <c r="P36" s="287"/>
      <c r="R36" s="139"/>
    </row>
    <row r="37" spans="1:18">
      <c r="A37" s="139"/>
      <c r="C37" s="163" t="s">
        <v>748</v>
      </c>
      <c r="D37" s="167">
        <f>ROUND(1.5/12,4)</f>
        <v>0.125</v>
      </c>
      <c r="E37" s="165">
        <f t="shared" si="9"/>
        <v>1.1999999999999999E-3</v>
      </c>
      <c r="F37" s="166">
        <f t="shared" si="8"/>
        <v>0.96923323447634413</v>
      </c>
      <c r="G37" s="167">
        <f t="shared" si="10"/>
        <v>3.076676552365587E-2</v>
      </c>
      <c r="I37" s="169">
        <f t="shared" si="11"/>
        <v>4.7999999999999996E-3</v>
      </c>
      <c r="J37" s="169">
        <f t="shared" si="12"/>
        <v>-4.7999999999999996E-3</v>
      </c>
      <c r="K37" s="169">
        <f t="shared" si="13"/>
        <v>6.3969393475438712E-3</v>
      </c>
      <c r="L37" s="169">
        <f t="shared" si="14"/>
        <v>-6.3969393475438712E-3</v>
      </c>
      <c r="M37" s="286">
        <f>(((E37*F37)*$M$33)*0.65+((E37*G37)*$N$33)*0.9)</f>
        <v>-4.0583262556068709E-3</v>
      </c>
      <c r="N37" s="287"/>
      <c r="O37" s="286">
        <f t="shared" si="16"/>
        <v>5.0510952645040005E-3</v>
      </c>
      <c r="P37" s="287"/>
      <c r="R37" s="139"/>
    </row>
    <row r="38" spans="1:18">
      <c r="A38" s="139"/>
      <c r="C38" s="163" t="s">
        <v>749</v>
      </c>
      <c r="D38" s="167">
        <f>ROUND(2.5/12,4)</f>
        <v>0.20830000000000001</v>
      </c>
      <c r="E38" s="165">
        <f t="shared" si="9"/>
        <v>2E-3</v>
      </c>
      <c r="F38" s="166">
        <f t="shared" si="8"/>
        <v>0.94925766984779703</v>
      </c>
      <c r="G38" s="167">
        <f t="shared" si="10"/>
        <v>5.0742330152202975E-2</v>
      </c>
      <c r="I38" s="169">
        <f t="shared" si="11"/>
        <v>8.0000000000000002E-3</v>
      </c>
      <c r="J38" s="169">
        <f t="shared" si="12"/>
        <v>-8.0000000000000002E-3</v>
      </c>
      <c r="K38" s="169">
        <f t="shared" si="13"/>
        <v>1.0441834368325768E-2</v>
      </c>
      <c r="L38" s="169">
        <f t="shared" si="14"/>
        <v>-1.0441834368325768E-2</v>
      </c>
      <c r="M38" s="286">
        <f t="shared" si="15"/>
        <v>-6.5131837565898538E-3</v>
      </c>
      <c r="N38" s="287"/>
      <c r="O38" s="286">
        <f t="shared" si="16"/>
        <v>8.1707951061126844E-3</v>
      </c>
      <c r="P38" s="287"/>
      <c r="R38" s="139"/>
    </row>
    <row r="39" spans="1:18">
      <c r="A39" s="139"/>
      <c r="C39" s="163" t="s">
        <v>750</v>
      </c>
      <c r="D39" s="167">
        <f>ROUND(4.5/12,4)</f>
        <v>0.375</v>
      </c>
      <c r="E39" s="165">
        <f t="shared" si="9"/>
        <v>3.5666666666666668E-3</v>
      </c>
      <c r="F39" s="166">
        <f t="shared" si="8"/>
        <v>0.91051036138003416</v>
      </c>
      <c r="G39" s="167">
        <f t="shared" si="10"/>
        <v>8.9489638619965839E-2</v>
      </c>
      <c r="I39" s="169">
        <f t="shared" si="11"/>
        <v>1.4266666666666667E-2</v>
      </c>
      <c r="J39" s="169">
        <f t="shared" si="12"/>
        <v>-1.4266666666666667E-2</v>
      </c>
      <c r="K39" s="169">
        <f t="shared" si="13"/>
        <v>1.7861178255738339E-2</v>
      </c>
      <c r="L39" s="169">
        <f t="shared" si="14"/>
        <v>-1.7861178255738339E-2</v>
      </c>
      <c r="M39" s="286">
        <f>(((E39*F39)*$M$33)*0.65+((E39*G39)*$N$33)*0.9)</f>
        <v>-1.074798064631965E-2</v>
      </c>
      <c r="N39" s="287"/>
      <c r="O39" s="286">
        <f t="shared" si="16"/>
        <v>1.3714419124650492E-2</v>
      </c>
      <c r="P39" s="287"/>
      <c r="R39" s="139"/>
    </row>
    <row r="40" spans="1:18">
      <c r="A40" s="139"/>
      <c r="C40" s="163" t="s">
        <v>751</v>
      </c>
      <c r="D40" s="167">
        <f>ROUND(7.5/12,4)</f>
        <v>0.625</v>
      </c>
      <c r="E40" s="165">
        <f t="shared" si="9"/>
        <v>5.966666666666667E-3</v>
      </c>
      <c r="F40" s="166">
        <f t="shared" si="8"/>
        <v>0.85534532730742252</v>
      </c>
      <c r="G40" s="167">
        <f t="shared" si="10"/>
        <v>0.14465467269257748</v>
      </c>
      <c r="I40" s="169">
        <f t="shared" si="11"/>
        <v>2.3866666666666668E-2</v>
      </c>
      <c r="J40" s="169">
        <f t="shared" si="12"/>
        <v>-2.3866666666666668E-2</v>
      </c>
      <c r="K40" s="169">
        <f t="shared" si="13"/>
        <v>2.8069582491138584E-2</v>
      </c>
      <c r="L40" s="169">
        <f t="shared" si="14"/>
        <v>-2.8069582491138584E-2</v>
      </c>
      <c r="M40" s="286">
        <f t="shared" si="15"/>
        <v>-1.5914841842162658E-2</v>
      </c>
      <c r="N40" s="287"/>
      <c r="O40" s="286">
        <f t="shared" si="16"/>
        <v>2.0902074808192585E-2</v>
      </c>
      <c r="P40" s="287"/>
      <c r="R40" s="139"/>
    </row>
    <row r="41" spans="1:18">
      <c r="A41" s="139"/>
      <c r="C41" s="163" t="s">
        <v>752</v>
      </c>
      <c r="D41" s="167">
        <f>ROUND(10.5/12,4)</f>
        <v>0.875</v>
      </c>
      <c r="E41" s="165">
        <f t="shared" si="9"/>
        <v>8.3333333333333332E-3</v>
      </c>
      <c r="F41" s="166">
        <f t="shared" si="8"/>
        <v>0.80352257368906077</v>
      </c>
      <c r="G41" s="167">
        <f t="shared" si="10"/>
        <v>0.19647742631093923</v>
      </c>
      <c r="I41" s="169">
        <f t="shared" si="11"/>
        <v>3.3333333333333333E-2</v>
      </c>
      <c r="J41" s="169">
        <f t="shared" si="12"/>
        <v>-3.3333333333333333E-2</v>
      </c>
      <c r="K41" s="169">
        <f t="shared" si="13"/>
        <v>3.682811796074862E-2</v>
      </c>
      <c r="L41" s="169">
        <f t="shared" si="14"/>
        <v>-3.682811796074862E-2</v>
      </c>
      <c r="M41" s="286">
        <f t="shared" si="15"/>
        <v>-1.9517534582490469E-2</v>
      </c>
      <c r="N41" s="287"/>
      <c r="O41" s="286">
        <f t="shared" si="16"/>
        <v>2.6515332973934807E-2</v>
      </c>
      <c r="P41" s="287"/>
      <c r="R41" s="139"/>
    </row>
    <row r="42" spans="1:18">
      <c r="A42" s="139"/>
      <c r="C42" s="163" t="s">
        <v>753</v>
      </c>
      <c r="D42" s="167">
        <v>1.5</v>
      </c>
      <c r="E42" s="165">
        <f t="shared" si="9"/>
        <v>1.3833333333333335E-2</v>
      </c>
      <c r="F42" s="166">
        <f t="shared" si="8"/>
        <v>0.68728927879097224</v>
      </c>
      <c r="G42" s="167">
        <f t="shared" si="10"/>
        <v>0.31271072120902776</v>
      </c>
      <c r="I42" s="169">
        <f t="shared" si="11"/>
        <v>5.5333333333333339E-2</v>
      </c>
      <c r="J42" s="169">
        <f t="shared" si="12"/>
        <v>-5.5333333333333339E-2</v>
      </c>
      <c r="K42" s="169">
        <f t="shared" si="13"/>
        <v>5.2291259294679815E-2</v>
      </c>
      <c r="L42" s="169">
        <f t="shared" si="14"/>
        <v>-5.2291259294679815E-2</v>
      </c>
      <c r="M42" s="286">
        <f t="shared" si="15"/>
        <v>-2.2309573104384688E-2</v>
      </c>
      <c r="N42" s="287"/>
      <c r="O42" s="286">
        <f t="shared" si="16"/>
        <v>3.4046510477639062E-2</v>
      </c>
      <c r="P42" s="287"/>
      <c r="R42" s="139"/>
    </row>
    <row r="43" spans="1:18">
      <c r="A43" s="139"/>
      <c r="C43" s="163" t="s">
        <v>754</v>
      </c>
      <c r="D43" s="164">
        <v>2.5</v>
      </c>
      <c r="E43" s="165">
        <f t="shared" si="9"/>
        <v>2.2466666666666666E-2</v>
      </c>
      <c r="F43" s="166">
        <f t="shared" si="8"/>
        <v>0.53526142851899028</v>
      </c>
      <c r="G43" s="167">
        <f t="shared" si="10"/>
        <v>0.46473857148100972</v>
      </c>
      <c r="I43" s="169">
        <f t="shared" si="11"/>
        <v>8.9866666666666664E-2</v>
      </c>
      <c r="J43" s="169">
        <f t="shared" si="12"/>
        <v>-8.9866666666666664E-2</v>
      </c>
      <c r="K43" s="169">
        <f t="shared" si="13"/>
        <v>6.6140470517329894E-2</v>
      </c>
      <c r="L43" s="169">
        <f t="shared" si="14"/>
        <v>-6.6140470517329894E-2</v>
      </c>
      <c r="M43" s="286">
        <f t="shared" si="15"/>
        <v>-1.4800264090226386E-2</v>
      </c>
      <c r="N43" s="287"/>
      <c r="O43" s="286">
        <f t="shared" si="16"/>
        <v>3.4118348583171892E-2</v>
      </c>
      <c r="P43" s="287"/>
      <c r="R43" s="139"/>
    </row>
    <row r="44" spans="1:18">
      <c r="A44" s="139"/>
      <c r="C44" s="163" t="s">
        <v>755</v>
      </c>
      <c r="D44" s="164">
        <v>3.5</v>
      </c>
      <c r="E44" s="165">
        <f t="shared" si="9"/>
        <v>3.0700000000000002E-2</v>
      </c>
      <c r="F44" s="166">
        <f t="shared" si="8"/>
        <v>0.41686201967850839</v>
      </c>
      <c r="G44" s="167">
        <f t="shared" si="10"/>
        <v>0.58313798032149156</v>
      </c>
      <c r="I44" s="169">
        <f t="shared" si="11"/>
        <v>0.12280000000000001</v>
      </c>
      <c r="J44" s="169">
        <f t="shared" si="12"/>
        <v>-0.12280000000000001</v>
      </c>
      <c r="K44" s="169">
        <f t="shared" si="13"/>
        <v>7.0387152022716143E-2</v>
      </c>
      <c r="L44" s="169">
        <f t="shared" si="14"/>
        <v>-7.0387152022716143E-2</v>
      </c>
      <c r="M44" s="286">
        <f t="shared" si="15"/>
        <v>2.5846583740829349E-3</v>
      </c>
      <c r="N44" s="287"/>
      <c r="O44" s="286">
        <f t="shared" si="16"/>
        <v>2.4085516825607292E-2</v>
      </c>
      <c r="P44" s="287"/>
      <c r="R44" s="139"/>
    </row>
    <row r="45" spans="1:18">
      <c r="A45" s="139"/>
      <c r="C45" s="163" t="s">
        <v>756</v>
      </c>
      <c r="D45" s="164">
        <v>4.5</v>
      </c>
      <c r="E45" s="165">
        <f t="shared" si="9"/>
        <v>3.8533333333333336E-2</v>
      </c>
      <c r="F45" s="166">
        <f t="shared" si="8"/>
        <v>0.32465246735834974</v>
      </c>
      <c r="G45" s="167">
        <f t="shared" si="10"/>
        <v>0.67534753264165026</v>
      </c>
      <c r="I45" s="169">
        <f t="shared" si="11"/>
        <v>0.15413333333333334</v>
      </c>
      <c r="J45" s="169">
        <f t="shared" si="12"/>
        <v>-0.15413333333333334</v>
      </c>
      <c r="K45" s="169">
        <f t="shared" si="13"/>
        <v>6.8804679582146255E-2</v>
      </c>
      <c r="L45" s="169">
        <f t="shared" si="14"/>
        <v>-6.8804679582146255E-2</v>
      </c>
      <c r="M45" s="286">
        <f t="shared" si="15"/>
        <v>2.5540115567642234E-2</v>
      </c>
      <c r="N45" s="287"/>
      <c r="O45" s="286">
        <f t="shared" si="16"/>
        <v>8.2016388016921474E-3</v>
      </c>
      <c r="P45" s="287"/>
      <c r="R45" s="139"/>
    </row>
    <row r="46" spans="1:18">
      <c r="A46" s="139"/>
      <c r="C46" s="163" t="s">
        <v>757</v>
      </c>
      <c r="D46" s="164">
        <v>6</v>
      </c>
      <c r="E46" s="165">
        <f t="shared" si="9"/>
        <v>5.0766666666666668E-2</v>
      </c>
      <c r="F46" s="166">
        <f t="shared" si="8"/>
        <v>0.22313016014842982</v>
      </c>
      <c r="G46" s="167">
        <f t="shared" si="10"/>
        <v>0.77686983985157021</v>
      </c>
      <c r="I46" s="169">
        <f t="shared" si="11"/>
        <v>0.20306666666666667</v>
      </c>
      <c r="J46" s="169">
        <f t="shared" si="12"/>
        <v>-0.20306666666666667</v>
      </c>
      <c r="K46" s="169">
        <f t="shared" si="13"/>
        <v>6.2301659549444083E-2</v>
      </c>
      <c r="L46" s="169">
        <f t="shared" si="14"/>
        <v>-6.2301659549444083E-2</v>
      </c>
      <c r="M46" s="286">
        <f t="shared" si="15"/>
        <v>6.5989470241316073E-2</v>
      </c>
      <c r="N46" s="287"/>
      <c r="O46" s="286">
        <f t="shared" si="16"/>
        <v>-2.114903832608122E-2</v>
      </c>
      <c r="P46" s="287"/>
      <c r="R46" s="139"/>
    </row>
    <row r="47" spans="1:18">
      <c r="A47" s="139"/>
      <c r="C47" s="163" t="s">
        <v>758</v>
      </c>
      <c r="D47" s="164">
        <v>8.5</v>
      </c>
      <c r="E47" s="165">
        <f t="shared" si="9"/>
        <v>6.6299999999999998E-2</v>
      </c>
      <c r="F47" s="166">
        <f t="shared" si="8"/>
        <v>0.11943296826671962</v>
      </c>
      <c r="G47" s="167">
        <f t="shared" si="10"/>
        <v>0.88056703173328033</v>
      </c>
      <c r="I47" s="169">
        <f t="shared" si="11"/>
        <v>0.26519999999999999</v>
      </c>
      <c r="J47" s="169">
        <f t="shared" si="12"/>
        <v>-0.26519999999999999</v>
      </c>
      <c r="K47" s="169">
        <f t="shared" si="13"/>
        <v>4.3551231878459301E-2</v>
      </c>
      <c r="L47" s="169">
        <f t="shared" si="14"/>
        <v>-4.3551231878459301E-2</v>
      </c>
      <c r="M47" s="286">
        <f t="shared" si="15"/>
        <v>0.12932200362957597</v>
      </c>
      <c r="N47" s="287"/>
      <c r="O47" s="286">
        <f t="shared" si="16"/>
        <v>-7.0245884064282227E-2</v>
      </c>
      <c r="P47" s="287"/>
      <c r="R47" s="139"/>
    </row>
    <row r="48" spans="1:18">
      <c r="A48" s="139"/>
      <c r="C48" s="163" t="s">
        <v>759</v>
      </c>
      <c r="D48" s="164">
        <v>12.5</v>
      </c>
      <c r="E48" s="165">
        <f t="shared" si="9"/>
        <v>8.9166666666666658E-2</v>
      </c>
      <c r="F48" s="166">
        <f t="shared" si="8"/>
        <v>4.393693362340742E-2</v>
      </c>
      <c r="G48" s="167">
        <f t="shared" si="10"/>
        <v>0.95606306637659255</v>
      </c>
      <c r="I48" s="169">
        <f t="shared" si="11"/>
        <v>0.35666666666666663</v>
      </c>
      <c r="J48" s="169">
        <f t="shared" si="12"/>
        <v>-0.35666666666666663</v>
      </c>
      <c r="K48" s="169">
        <f t="shared" si="13"/>
        <v>2.1547404531146057E-2</v>
      </c>
      <c r="L48" s="169">
        <f t="shared" si="14"/>
        <v>-2.1547404531146057E-2</v>
      </c>
      <c r="M48" s="286">
        <f t="shared" si="15"/>
        <v>0.21616637028491972</v>
      </c>
      <c r="N48" s="287"/>
      <c r="O48" s="286">
        <f t="shared" si="16"/>
        <v>-0.13621019852852623</v>
      </c>
      <c r="P48" s="287"/>
      <c r="R48" s="139"/>
    </row>
    <row r="49" spans="1:18">
      <c r="A49" s="139"/>
      <c r="C49" s="163" t="s">
        <v>760</v>
      </c>
      <c r="D49" s="164">
        <v>17.5</v>
      </c>
      <c r="E49" s="165">
        <f t="shared" si="9"/>
        <v>0.11213333333333333</v>
      </c>
      <c r="F49" s="166">
        <f t="shared" si="8"/>
        <v>1.2588142242433998E-2</v>
      </c>
      <c r="G49" s="167">
        <f t="shared" si="10"/>
        <v>0.98741185775756601</v>
      </c>
      <c r="I49" s="169">
        <f t="shared" si="11"/>
        <v>0.44853333333333334</v>
      </c>
      <c r="J49" s="169">
        <f t="shared" si="12"/>
        <v>-0.44853333333333334</v>
      </c>
      <c r="K49" s="169">
        <f t="shared" si="13"/>
        <v>7.7635269256504614E-3</v>
      </c>
      <c r="L49" s="169">
        <f t="shared" si="14"/>
        <v>-7.7635269256504614E-3</v>
      </c>
      <c r="M49" s="286">
        <f t="shared" si="15"/>
        <v>0.29390252155300789</v>
      </c>
      <c r="N49" s="287"/>
      <c r="O49" s="286">
        <f t="shared" si="16"/>
        <v>-0.19308838782926674</v>
      </c>
      <c r="P49" s="287"/>
      <c r="R49" s="139"/>
    </row>
    <row r="50" spans="1:18">
      <c r="A50" s="139"/>
      <c r="C50" s="163" t="s">
        <v>761</v>
      </c>
      <c r="D50" s="170">
        <v>22.5</v>
      </c>
      <c r="E50" s="165">
        <f t="shared" si="9"/>
        <v>0.13013333333333332</v>
      </c>
      <c r="F50" s="166">
        <f t="shared" si="8"/>
        <v>3.6065631360157305E-3</v>
      </c>
      <c r="G50" s="167">
        <f t="shared" si="10"/>
        <v>0.99639343686398429</v>
      </c>
      <c r="I50" s="169">
        <f t="shared" si="11"/>
        <v>0.52053333333333329</v>
      </c>
      <c r="J50" s="169">
        <f t="shared" si="12"/>
        <v>-0.52053333333333329</v>
      </c>
      <c r="K50" s="169">
        <f t="shared" si="13"/>
        <v>2.5813374552176587E-3</v>
      </c>
      <c r="L50" s="169">
        <f t="shared" si="14"/>
        <v>-2.5813374552176587E-3</v>
      </c>
      <c r="M50" s="286">
        <f t="shared" si="15"/>
        <v>0.34841492863063805</v>
      </c>
      <c r="N50" s="287"/>
      <c r="O50" s="286">
        <f t="shared" si="16"/>
        <v>-0.23133012868684552</v>
      </c>
      <c r="P50" s="287"/>
      <c r="R50" s="139"/>
    </row>
    <row r="51" spans="1:18" ht="18" thickBot="1">
      <c r="A51" s="139"/>
      <c r="C51" s="163" t="s">
        <v>762</v>
      </c>
      <c r="D51" s="171"/>
      <c r="E51" s="172">
        <f t="shared" si="9"/>
        <v>0</v>
      </c>
      <c r="F51" s="173"/>
      <c r="G51" s="171"/>
      <c r="I51" s="174">
        <f t="shared" si="11"/>
        <v>0</v>
      </c>
      <c r="J51" s="174">
        <f t="shared" si="12"/>
        <v>0</v>
      </c>
      <c r="K51" s="174">
        <f t="shared" si="13"/>
        <v>0</v>
      </c>
      <c r="L51" s="174">
        <f t="shared" si="14"/>
        <v>0</v>
      </c>
      <c r="M51" s="288">
        <f t="shared" si="15"/>
        <v>0</v>
      </c>
      <c r="N51" s="289"/>
      <c r="O51" s="288">
        <f t="shared" si="16"/>
        <v>0</v>
      </c>
      <c r="P51" s="289"/>
      <c r="R51" s="139"/>
    </row>
    <row r="52" spans="1:18" ht="18" thickTop="1">
      <c r="A52" s="139"/>
      <c r="R52" s="139"/>
    </row>
    <row r="53" spans="1:18">
      <c r="A53" s="139"/>
      <c r="B53" s="139"/>
      <c r="C53" s="139"/>
      <c r="D53" s="139"/>
      <c r="E53" s="139"/>
      <c r="F53" s="139"/>
      <c r="G53" s="139"/>
      <c r="H53" s="139"/>
      <c r="I53" s="139"/>
      <c r="J53" s="139"/>
      <c r="K53" s="139"/>
      <c r="L53" s="139"/>
      <c r="M53" s="139"/>
      <c r="N53" s="139"/>
      <c r="O53" s="139"/>
      <c r="P53" s="139"/>
      <c r="Q53" s="139"/>
      <c r="R53" s="139"/>
    </row>
  </sheetData>
  <mergeCells count="74">
    <mergeCell ref="M10:N10"/>
    <mergeCell ref="O10:P10"/>
    <mergeCell ref="C3:P4"/>
    <mergeCell ref="M8:N8"/>
    <mergeCell ref="O8:P8"/>
    <mergeCell ref="M9:N9"/>
    <mergeCell ref="O9:P9"/>
    <mergeCell ref="M11:N11"/>
    <mergeCell ref="O11:P11"/>
    <mergeCell ref="M12:N12"/>
    <mergeCell ref="O12:P12"/>
    <mergeCell ref="M13:N13"/>
    <mergeCell ref="O13:P13"/>
    <mergeCell ref="M14:N14"/>
    <mergeCell ref="O14:P14"/>
    <mergeCell ref="M15:N15"/>
    <mergeCell ref="O15:P15"/>
    <mergeCell ref="M16:N16"/>
    <mergeCell ref="O16:P16"/>
    <mergeCell ref="M17:N17"/>
    <mergeCell ref="O17:P17"/>
    <mergeCell ref="M18:N18"/>
    <mergeCell ref="O18:P18"/>
    <mergeCell ref="M19:N19"/>
    <mergeCell ref="O19:P19"/>
    <mergeCell ref="M20:N20"/>
    <mergeCell ref="O20:P20"/>
    <mergeCell ref="M21:N21"/>
    <mergeCell ref="O21:P21"/>
    <mergeCell ref="M22:N22"/>
    <mergeCell ref="O22:P22"/>
    <mergeCell ref="M36:N36"/>
    <mergeCell ref="O36:P36"/>
    <mergeCell ref="M23:N23"/>
    <mergeCell ref="O23:P23"/>
    <mergeCell ref="M24:N24"/>
    <mergeCell ref="O24:P24"/>
    <mergeCell ref="M25:N25"/>
    <mergeCell ref="O25:P25"/>
    <mergeCell ref="C29:P30"/>
    <mergeCell ref="M34:N34"/>
    <mergeCell ref="O34:P34"/>
    <mergeCell ref="M35:N35"/>
    <mergeCell ref="O35:P35"/>
    <mergeCell ref="M37:N37"/>
    <mergeCell ref="O37:P37"/>
    <mergeCell ref="M38:N38"/>
    <mergeCell ref="O38:P38"/>
    <mergeCell ref="M39:N39"/>
    <mergeCell ref="O39:P39"/>
    <mergeCell ref="M40:N40"/>
    <mergeCell ref="O40:P40"/>
    <mergeCell ref="M41:N41"/>
    <mergeCell ref="O41:P41"/>
    <mergeCell ref="M42:N42"/>
    <mergeCell ref="O42:P42"/>
    <mergeCell ref="M43:N43"/>
    <mergeCell ref="O43:P43"/>
    <mergeCell ref="M44:N44"/>
    <mergeCell ref="O44:P44"/>
    <mergeCell ref="M45:N45"/>
    <mergeCell ref="O45:P45"/>
    <mergeCell ref="M46:N46"/>
    <mergeCell ref="O46:P46"/>
    <mergeCell ref="M47:N47"/>
    <mergeCell ref="O47:P47"/>
    <mergeCell ref="M48:N48"/>
    <mergeCell ref="O48:P48"/>
    <mergeCell ref="M49:N49"/>
    <mergeCell ref="O49:P49"/>
    <mergeCell ref="M50:N50"/>
    <mergeCell ref="O50:P50"/>
    <mergeCell ref="M51:N51"/>
    <mergeCell ref="O51:P51"/>
  </mergeCells>
  <phoneticPr fontId="10" type="noConversion"/>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249977111117893"/>
  </sheetPr>
  <dimension ref="A1:G171"/>
  <sheetViews>
    <sheetView zoomScale="85" zoomScaleNormal="85" workbookViewId="0">
      <selection activeCell="C100" sqref="C100"/>
    </sheetView>
  </sheetViews>
  <sheetFormatPr defaultColWidth="16.88671875" defaultRowHeight="17.350000000000001"/>
  <cols>
    <col min="1" max="1" width="13.33203125" style="19" customWidth="1"/>
    <col min="2" max="2" width="68.33203125" style="19" bestFit="1" customWidth="1"/>
    <col min="3" max="3" width="20.33203125" style="19" bestFit="1" customWidth="1"/>
    <col min="4" max="4" width="5.44140625" style="19" customWidth="1"/>
    <col min="5" max="5" width="39.109375" style="19" bestFit="1" customWidth="1"/>
    <col min="6" max="6" width="33.109375" style="19" bestFit="1" customWidth="1"/>
    <col min="7" max="16384" width="16.88671875" style="19"/>
  </cols>
  <sheetData>
    <row r="1" spans="1:6" ht="18" thickBot="1"/>
    <row r="2" spans="1:6" ht="18" thickTop="1">
      <c r="A2" s="39" t="s">
        <v>1</v>
      </c>
      <c r="B2" s="40" t="s">
        <v>2</v>
      </c>
      <c r="C2" s="32" t="s">
        <v>55</v>
      </c>
      <c r="E2" s="35" t="s">
        <v>85</v>
      </c>
      <c r="F2" s="35" t="s">
        <v>86</v>
      </c>
    </row>
    <row r="3" spans="1:6">
      <c r="A3" s="41">
        <v>10101001</v>
      </c>
      <c r="B3" s="42" t="s">
        <v>56</v>
      </c>
      <c r="C3" s="33" t="s">
        <v>54</v>
      </c>
      <c r="E3" s="37" t="s">
        <v>87</v>
      </c>
      <c r="F3" s="37" t="s">
        <v>88</v>
      </c>
    </row>
    <row r="4" spans="1:6">
      <c r="A4" s="41">
        <v>10103001</v>
      </c>
      <c r="B4" s="42" t="s">
        <v>57</v>
      </c>
      <c r="C4" s="33" t="s">
        <v>54</v>
      </c>
      <c r="E4" s="37" t="s">
        <v>87</v>
      </c>
      <c r="F4" s="37" t="s">
        <v>88</v>
      </c>
    </row>
    <row r="5" spans="1:6">
      <c r="A5" s="41">
        <v>10211001</v>
      </c>
      <c r="B5" s="42" t="s">
        <v>58</v>
      </c>
      <c r="C5" s="43">
        <f>'RE33(IRRBB)'!$M$10+1</f>
        <v>46059</v>
      </c>
      <c r="E5" s="37" t="s">
        <v>89</v>
      </c>
      <c r="F5" s="37" t="s">
        <v>90</v>
      </c>
    </row>
    <row r="6" spans="1:6">
      <c r="A6" s="41">
        <v>10212001</v>
      </c>
      <c r="B6" s="42" t="s">
        <v>3</v>
      </c>
      <c r="C6" s="43">
        <f>'RE33(IRRBB)'!$M$10+1</f>
        <v>46059</v>
      </c>
      <c r="E6" s="37" t="s">
        <v>89</v>
      </c>
      <c r="F6" s="37" t="s">
        <v>90</v>
      </c>
    </row>
    <row r="7" spans="1:6">
      <c r="A7" s="41">
        <v>10212002</v>
      </c>
      <c r="B7" s="42" t="s">
        <v>59</v>
      </c>
      <c r="C7" s="43">
        <f>'RE33(IRRBB)'!$M$10+1</f>
        <v>46059</v>
      </c>
      <c r="E7" s="37" t="s">
        <v>89</v>
      </c>
      <c r="F7" s="37" t="s">
        <v>90</v>
      </c>
    </row>
    <row r="8" spans="1:6">
      <c r="A8" s="41">
        <v>10680001</v>
      </c>
      <c r="B8" s="42" t="s">
        <v>93</v>
      </c>
      <c r="C8" s="33" t="s">
        <v>54</v>
      </c>
      <c r="E8" s="37" t="s">
        <v>94</v>
      </c>
      <c r="F8" s="37" t="s">
        <v>95</v>
      </c>
    </row>
    <row r="9" spans="1:6">
      <c r="A9" s="41">
        <v>10680002</v>
      </c>
      <c r="B9" s="42" t="s">
        <v>96</v>
      </c>
      <c r="C9" s="33" t="s">
        <v>54</v>
      </c>
      <c r="E9" s="37" t="s">
        <v>97</v>
      </c>
      <c r="F9" s="37" t="s">
        <v>98</v>
      </c>
    </row>
    <row r="10" spans="1:6">
      <c r="A10" s="41">
        <v>10690001</v>
      </c>
      <c r="B10" s="42" t="s">
        <v>45</v>
      </c>
      <c r="C10" s="33" t="s">
        <v>54</v>
      </c>
      <c r="E10" s="38"/>
      <c r="F10" s="38"/>
    </row>
    <row r="11" spans="1:6">
      <c r="A11" s="41">
        <v>10690002</v>
      </c>
      <c r="B11" s="42" t="s">
        <v>99</v>
      </c>
      <c r="C11" s="33" t="s">
        <v>54</v>
      </c>
      <c r="E11" s="38"/>
      <c r="F11" s="38"/>
    </row>
    <row r="12" spans="1:6">
      <c r="A12" s="41">
        <v>10690003</v>
      </c>
      <c r="B12" s="42" t="s">
        <v>100</v>
      </c>
      <c r="C12" s="33" t="s">
        <v>54</v>
      </c>
      <c r="E12" s="38"/>
      <c r="F12" s="38"/>
    </row>
    <row r="13" spans="1:6">
      <c r="A13" s="41">
        <v>10690004</v>
      </c>
      <c r="B13" s="42" t="s">
        <v>101</v>
      </c>
      <c r="C13" s="33" t="s">
        <v>54</v>
      </c>
      <c r="E13" s="38"/>
      <c r="F13" s="38"/>
    </row>
    <row r="14" spans="1:6">
      <c r="A14" s="41">
        <v>10690005</v>
      </c>
      <c r="B14" s="42" t="s">
        <v>102</v>
      </c>
      <c r="C14" s="33" t="s">
        <v>54</v>
      </c>
      <c r="E14" s="38"/>
      <c r="F14" s="38"/>
    </row>
    <row r="15" spans="1:6">
      <c r="A15" s="41">
        <v>10690006</v>
      </c>
      <c r="B15" s="42" t="s">
        <v>103</v>
      </c>
      <c r="C15" s="33" t="s">
        <v>54</v>
      </c>
      <c r="E15" s="38"/>
      <c r="F15" s="38"/>
    </row>
    <row r="16" spans="1:6">
      <c r="A16" s="41">
        <v>10690007</v>
      </c>
      <c r="B16" s="42" t="s">
        <v>104</v>
      </c>
      <c r="C16" s="33" t="s">
        <v>54</v>
      </c>
      <c r="E16" s="38"/>
      <c r="F16" s="38"/>
    </row>
    <row r="17" spans="1:7">
      <c r="A17" s="41">
        <v>10690008</v>
      </c>
      <c r="B17" s="42" t="s">
        <v>105</v>
      </c>
      <c r="C17" s="33" t="s">
        <v>54</v>
      </c>
      <c r="E17" s="38"/>
      <c r="F17" s="38"/>
      <c r="G17" s="219"/>
    </row>
    <row r="18" spans="1:7">
      <c r="A18" s="41">
        <v>10910001</v>
      </c>
      <c r="B18" s="42" t="s">
        <v>106</v>
      </c>
      <c r="C18" s="33" t="s">
        <v>54</v>
      </c>
      <c r="E18" s="37" t="s">
        <v>107</v>
      </c>
      <c r="F18" s="37" t="s">
        <v>108</v>
      </c>
    </row>
    <row r="19" spans="1:7">
      <c r="A19" s="41">
        <v>10910002</v>
      </c>
      <c r="B19" s="42" t="s">
        <v>109</v>
      </c>
      <c r="C19" s="33" t="s">
        <v>54</v>
      </c>
      <c r="E19" s="37" t="s">
        <v>107</v>
      </c>
      <c r="F19" s="37" t="s">
        <v>108</v>
      </c>
    </row>
    <row r="20" spans="1:7">
      <c r="A20" s="41">
        <v>10910003</v>
      </c>
      <c r="B20" s="42" t="s">
        <v>42</v>
      </c>
      <c r="C20" s="33" t="s">
        <v>54</v>
      </c>
      <c r="E20" s="37" t="s">
        <v>107</v>
      </c>
      <c r="F20" s="37" t="s">
        <v>108</v>
      </c>
    </row>
    <row r="21" spans="1:7">
      <c r="A21" s="41">
        <v>10910004</v>
      </c>
      <c r="B21" s="42" t="s">
        <v>110</v>
      </c>
      <c r="C21" s="33" t="s">
        <v>54</v>
      </c>
      <c r="E21" s="37" t="s">
        <v>107</v>
      </c>
      <c r="F21" s="37" t="s">
        <v>108</v>
      </c>
    </row>
    <row r="22" spans="1:7">
      <c r="A22" s="41">
        <v>10910005</v>
      </c>
      <c r="B22" s="42" t="s">
        <v>111</v>
      </c>
      <c r="C22" s="33" t="s">
        <v>54</v>
      </c>
      <c r="E22" s="37" t="s">
        <v>107</v>
      </c>
      <c r="F22" s="37" t="s">
        <v>108</v>
      </c>
    </row>
    <row r="23" spans="1:7">
      <c r="A23" s="41">
        <v>10910006</v>
      </c>
      <c r="B23" s="42" t="s">
        <v>112</v>
      </c>
      <c r="C23" s="33" t="s">
        <v>54</v>
      </c>
      <c r="E23" s="37" t="s">
        <v>107</v>
      </c>
      <c r="F23" s="37" t="s">
        <v>108</v>
      </c>
    </row>
    <row r="24" spans="1:7">
      <c r="A24" s="41">
        <v>10910007</v>
      </c>
      <c r="B24" s="42" t="s">
        <v>113</v>
      </c>
      <c r="C24" s="33" t="s">
        <v>54</v>
      </c>
      <c r="E24" s="37" t="s">
        <v>107</v>
      </c>
      <c r="F24" s="37" t="s">
        <v>108</v>
      </c>
    </row>
    <row r="25" spans="1:7">
      <c r="A25" s="41">
        <v>10910008</v>
      </c>
      <c r="B25" s="42" t="s">
        <v>114</v>
      </c>
      <c r="C25" s="33" t="s">
        <v>54</v>
      </c>
      <c r="E25" s="37" t="s">
        <v>107</v>
      </c>
      <c r="F25" s="37" t="s">
        <v>108</v>
      </c>
    </row>
    <row r="26" spans="1:7">
      <c r="A26" s="41">
        <v>10910009</v>
      </c>
      <c r="B26" s="42" t="s">
        <v>115</v>
      </c>
      <c r="C26" s="33" t="s">
        <v>54</v>
      </c>
      <c r="E26" s="37" t="s">
        <v>107</v>
      </c>
      <c r="F26" s="37" t="s">
        <v>108</v>
      </c>
    </row>
    <row r="27" spans="1:7">
      <c r="A27" s="41">
        <v>10910010</v>
      </c>
      <c r="B27" s="42" t="s">
        <v>116</v>
      </c>
      <c r="C27" s="33" t="s">
        <v>54</v>
      </c>
      <c r="E27" s="37" t="s">
        <v>107</v>
      </c>
      <c r="F27" s="37" t="s">
        <v>108</v>
      </c>
    </row>
    <row r="28" spans="1:7">
      <c r="A28" s="41">
        <v>10910011</v>
      </c>
      <c r="B28" s="42" t="s">
        <v>117</v>
      </c>
      <c r="C28" s="33" t="s">
        <v>54</v>
      </c>
      <c r="E28" s="37" t="s">
        <v>107</v>
      </c>
      <c r="F28" s="37" t="s">
        <v>108</v>
      </c>
    </row>
    <row r="29" spans="1:7">
      <c r="A29" s="41">
        <v>10910012</v>
      </c>
      <c r="B29" s="42" t="s">
        <v>118</v>
      </c>
      <c r="C29" s="33" t="s">
        <v>54</v>
      </c>
      <c r="E29" s="37" t="s">
        <v>107</v>
      </c>
      <c r="F29" s="37" t="s">
        <v>108</v>
      </c>
    </row>
    <row r="30" spans="1:7">
      <c r="A30" s="41">
        <v>10910013</v>
      </c>
      <c r="B30" s="42" t="s">
        <v>119</v>
      </c>
      <c r="C30" s="33" t="s">
        <v>54</v>
      </c>
      <c r="E30" s="37" t="s">
        <v>107</v>
      </c>
      <c r="F30" s="37" t="s">
        <v>108</v>
      </c>
    </row>
    <row r="31" spans="1:7">
      <c r="A31" s="41">
        <v>10910014</v>
      </c>
      <c r="B31" s="42" t="s">
        <v>120</v>
      </c>
      <c r="C31" s="33" t="s">
        <v>54</v>
      </c>
      <c r="E31" s="37" t="s">
        <v>107</v>
      </c>
      <c r="F31" s="37" t="s">
        <v>108</v>
      </c>
    </row>
    <row r="32" spans="1:7">
      <c r="A32" s="41">
        <v>10910015</v>
      </c>
      <c r="B32" s="42" t="s">
        <v>121</v>
      </c>
      <c r="C32" s="33" t="s">
        <v>54</v>
      </c>
      <c r="E32" s="37" t="s">
        <v>107</v>
      </c>
      <c r="F32" s="37" t="s">
        <v>108</v>
      </c>
    </row>
    <row r="33" spans="1:6">
      <c r="A33" s="41">
        <v>10910016</v>
      </c>
      <c r="B33" s="42" t="s">
        <v>122</v>
      </c>
      <c r="C33" s="33" t="s">
        <v>54</v>
      </c>
      <c r="E33" s="37" t="s">
        <v>107</v>
      </c>
      <c r="F33" s="37" t="s">
        <v>108</v>
      </c>
    </row>
    <row r="34" spans="1:6">
      <c r="A34" s="41">
        <v>10910017</v>
      </c>
      <c r="B34" s="42" t="s">
        <v>123</v>
      </c>
      <c r="C34" s="33" t="s">
        <v>54</v>
      </c>
      <c r="E34" s="37" t="s">
        <v>107</v>
      </c>
      <c r="F34" s="37" t="s">
        <v>108</v>
      </c>
    </row>
    <row r="35" spans="1:6">
      <c r="A35" s="41">
        <v>10910018</v>
      </c>
      <c r="B35" s="42" t="s">
        <v>124</v>
      </c>
      <c r="C35" s="33" t="s">
        <v>54</v>
      </c>
      <c r="E35" s="37" t="s">
        <v>107</v>
      </c>
      <c r="F35" s="37" t="s">
        <v>108</v>
      </c>
    </row>
    <row r="36" spans="1:6">
      <c r="A36" s="41">
        <v>10910020</v>
      </c>
      <c r="B36" s="42" t="s">
        <v>125</v>
      </c>
      <c r="C36" s="33" t="s">
        <v>54</v>
      </c>
      <c r="E36" s="37" t="s">
        <v>107</v>
      </c>
      <c r="F36" s="37" t="s">
        <v>108</v>
      </c>
    </row>
    <row r="37" spans="1:6">
      <c r="A37" s="41">
        <v>10910021</v>
      </c>
      <c r="B37" s="42" t="s">
        <v>126</v>
      </c>
      <c r="C37" s="33" t="s">
        <v>54</v>
      </c>
      <c r="E37" s="37" t="s">
        <v>107</v>
      </c>
      <c r="F37" s="37" t="s">
        <v>108</v>
      </c>
    </row>
    <row r="38" spans="1:6">
      <c r="A38" s="41">
        <v>10910022</v>
      </c>
      <c r="B38" s="42" t="s">
        <v>127</v>
      </c>
      <c r="C38" s="33" t="s">
        <v>54</v>
      </c>
      <c r="E38" s="37" t="s">
        <v>107</v>
      </c>
      <c r="F38" s="37" t="s">
        <v>108</v>
      </c>
    </row>
    <row r="39" spans="1:6">
      <c r="A39" s="41">
        <v>10910023</v>
      </c>
      <c r="B39" s="42" t="s">
        <v>128</v>
      </c>
      <c r="C39" s="33" t="s">
        <v>54</v>
      </c>
      <c r="E39" s="37" t="s">
        <v>107</v>
      </c>
      <c r="F39" s="37" t="s">
        <v>108</v>
      </c>
    </row>
    <row r="40" spans="1:6">
      <c r="A40" s="41">
        <v>10910024</v>
      </c>
      <c r="B40" s="42" t="s">
        <v>129</v>
      </c>
      <c r="C40" s="33" t="s">
        <v>54</v>
      </c>
      <c r="E40" s="37" t="s">
        <v>107</v>
      </c>
      <c r="F40" s="37" t="s">
        <v>108</v>
      </c>
    </row>
    <row r="41" spans="1:6">
      <c r="A41" s="41">
        <v>10910025</v>
      </c>
      <c r="B41" s="42" t="s">
        <v>130</v>
      </c>
      <c r="C41" s="33" t="s">
        <v>54</v>
      </c>
      <c r="E41" s="37" t="s">
        <v>107</v>
      </c>
      <c r="F41" s="37" t="s">
        <v>108</v>
      </c>
    </row>
    <row r="42" spans="1:6">
      <c r="A42" s="41">
        <v>10910026</v>
      </c>
      <c r="B42" s="42" t="s">
        <v>131</v>
      </c>
      <c r="C42" s="33" t="s">
        <v>54</v>
      </c>
      <c r="E42" s="38"/>
      <c r="F42" s="38"/>
    </row>
    <row r="43" spans="1:6">
      <c r="A43" s="41">
        <v>10910027</v>
      </c>
      <c r="B43" s="42" t="s">
        <v>132</v>
      </c>
      <c r="C43" s="33" t="s">
        <v>54</v>
      </c>
      <c r="E43" s="38"/>
      <c r="F43" s="38"/>
    </row>
    <row r="44" spans="1:6">
      <c r="A44" s="41">
        <v>10910091</v>
      </c>
      <c r="B44" s="42" t="s">
        <v>133</v>
      </c>
      <c r="C44" s="33" t="s">
        <v>54</v>
      </c>
      <c r="E44" s="37" t="s">
        <v>107</v>
      </c>
      <c r="F44" s="37" t="s">
        <v>108</v>
      </c>
    </row>
    <row r="45" spans="1:6">
      <c r="A45" s="41">
        <v>10920001</v>
      </c>
      <c r="B45" s="42" t="s">
        <v>134</v>
      </c>
      <c r="C45" s="33" t="s">
        <v>54</v>
      </c>
      <c r="E45" s="37" t="s">
        <v>135</v>
      </c>
      <c r="F45" s="37" t="s">
        <v>136</v>
      </c>
    </row>
    <row r="46" spans="1:6">
      <c r="A46" s="41">
        <v>10920002</v>
      </c>
      <c r="B46" s="42" t="s">
        <v>137</v>
      </c>
      <c r="C46" s="33" t="s">
        <v>54</v>
      </c>
      <c r="E46" s="37" t="s">
        <v>135</v>
      </c>
      <c r="F46" s="37" t="s">
        <v>136</v>
      </c>
    </row>
    <row r="47" spans="1:6">
      <c r="A47" s="41">
        <v>10920003</v>
      </c>
      <c r="B47" s="42" t="s">
        <v>138</v>
      </c>
      <c r="C47" s="33" t="s">
        <v>54</v>
      </c>
      <c r="E47" s="37" t="s">
        <v>139</v>
      </c>
      <c r="F47" s="37" t="s">
        <v>140</v>
      </c>
    </row>
    <row r="48" spans="1:6">
      <c r="A48" s="41">
        <v>10920004</v>
      </c>
      <c r="B48" s="42" t="s">
        <v>141</v>
      </c>
      <c r="C48" s="33" t="s">
        <v>54</v>
      </c>
      <c r="E48" s="37" t="s">
        <v>142</v>
      </c>
      <c r="F48" s="37" t="s">
        <v>143</v>
      </c>
    </row>
    <row r="49" spans="1:6">
      <c r="A49" s="41">
        <v>10920005</v>
      </c>
      <c r="B49" s="42" t="s">
        <v>144</v>
      </c>
      <c r="C49" s="33" t="s">
        <v>54</v>
      </c>
      <c r="E49" s="37" t="s">
        <v>139</v>
      </c>
      <c r="F49" s="37" t="s">
        <v>140</v>
      </c>
    </row>
    <row r="50" spans="1:6">
      <c r="A50" s="41">
        <v>10920006</v>
      </c>
      <c r="B50" s="42" t="s">
        <v>145</v>
      </c>
      <c r="C50" s="33" t="s">
        <v>54</v>
      </c>
      <c r="E50" s="37" t="s">
        <v>135</v>
      </c>
      <c r="F50" s="37" t="s">
        <v>136</v>
      </c>
    </row>
    <row r="51" spans="1:6">
      <c r="A51" s="41">
        <v>10920007</v>
      </c>
      <c r="B51" s="42" t="s">
        <v>146</v>
      </c>
      <c r="C51" s="33" t="s">
        <v>54</v>
      </c>
      <c r="E51" s="37" t="s">
        <v>135</v>
      </c>
      <c r="F51" s="37" t="s">
        <v>136</v>
      </c>
    </row>
    <row r="52" spans="1:6">
      <c r="A52" s="41">
        <v>10920008</v>
      </c>
      <c r="B52" s="42" t="s">
        <v>147</v>
      </c>
      <c r="C52" s="33" t="s">
        <v>54</v>
      </c>
      <c r="E52" s="37" t="s">
        <v>135</v>
      </c>
      <c r="F52" s="37" t="s">
        <v>136</v>
      </c>
    </row>
    <row r="53" spans="1:6">
      <c r="A53" s="41">
        <v>10920009</v>
      </c>
      <c r="B53" s="42" t="s">
        <v>148</v>
      </c>
      <c r="C53" s="33" t="s">
        <v>54</v>
      </c>
      <c r="E53" s="37" t="s">
        <v>135</v>
      </c>
      <c r="F53" s="37" t="s">
        <v>136</v>
      </c>
    </row>
    <row r="54" spans="1:6">
      <c r="A54" s="41">
        <v>10920010</v>
      </c>
      <c r="B54" s="42" t="s">
        <v>149</v>
      </c>
      <c r="C54" s="33" t="s">
        <v>54</v>
      </c>
      <c r="E54" s="37" t="s">
        <v>139</v>
      </c>
      <c r="F54" s="37" t="s">
        <v>140</v>
      </c>
    </row>
    <row r="55" spans="1:6">
      <c r="A55" s="41">
        <v>10920011</v>
      </c>
      <c r="B55" s="42" t="s">
        <v>4</v>
      </c>
      <c r="C55" s="33" t="s">
        <v>54</v>
      </c>
      <c r="E55" s="37" t="s">
        <v>150</v>
      </c>
      <c r="F55" s="37" t="s">
        <v>151</v>
      </c>
    </row>
    <row r="56" spans="1:6">
      <c r="A56" s="41">
        <v>10920012</v>
      </c>
      <c r="B56" s="42" t="s">
        <v>152</v>
      </c>
      <c r="C56" s="33" t="s">
        <v>54</v>
      </c>
      <c r="E56" s="37" t="s">
        <v>139</v>
      </c>
      <c r="F56" s="37" t="s">
        <v>140</v>
      </c>
    </row>
    <row r="57" spans="1:6">
      <c r="A57" s="41">
        <v>10920013</v>
      </c>
      <c r="B57" s="42" t="s">
        <v>153</v>
      </c>
      <c r="C57" s="33" t="s">
        <v>54</v>
      </c>
      <c r="E57" s="37" t="s">
        <v>139</v>
      </c>
      <c r="F57" s="37" t="s">
        <v>140</v>
      </c>
    </row>
    <row r="58" spans="1:6">
      <c r="A58" s="41">
        <v>10920014</v>
      </c>
      <c r="B58" s="42" t="s">
        <v>154</v>
      </c>
      <c r="C58" s="33" t="s">
        <v>54</v>
      </c>
      <c r="E58" s="38"/>
      <c r="F58" s="38"/>
    </row>
    <row r="59" spans="1:6">
      <c r="A59" s="41">
        <v>10930001</v>
      </c>
      <c r="B59" s="42" t="s">
        <v>155</v>
      </c>
      <c r="C59" s="33" t="s">
        <v>54</v>
      </c>
      <c r="E59" s="37" t="s">
        <v>91</v>
      </c>
      <c r="F59" s="37" t="s">
        <v>92</v>
      </c>
    </row>
    <row r="60" spans="1:6">
      <c r="A60" s="41">
        <v>10930006</v>
      </c>
      <c r="B60" s="42" t="s">
        <v>156</v>
      </c>
      <c r="C60" s="33" t="s">
        <v>54</v>
      </c>
      <c r="E60" s="38"/>
      <c r="F60" s="38"/>
    </row>
    <row r="61" spans="1:6">
      <c r="A61" s="41">
        <v>10930009</v>
      </c>
      <c r="B61" s="42" t="s">
        <v>157</v>
      </c>
      <c r="C61" s="33" t="s">
        <v>54</v>
      </c>
      <c r="E61" s="38"/>
      <c r="F61" s="38"/>
    </row>
    <row r="62" spans="1:6">
      <c r="A62" s="41">
        <v>10991001</v>
      </c>
      <c r="B62" s="42" t="s">
        <v>158</v>
      </c>
      <c r="C62" s="33" t="s">
        <v>54</v>
      </c>
      <c r="E62" s="37" t="s">
        <v>159</v>
      </c>
      <c r="F62" s="37" t="s">
        <v>160</v>
      </c>
    </row>
    <row r="63" spans="1:6">
      <c r="A63" s="41">
        <v>10991002</v>
      </c>
      <c r="B63" s="42" t="s">
        <v>161</v>
      </c>
      <c r="C63" s="33" t="s">
        <v>54</v>
      </c>
      <c r="E63" s="37" t="s">
        <v>162</v>
      </c>
      <c r="F63" s="37" t="s">
        <v>163</v>
      </c>
    </row>
    <row r="64" spans="1:6">
      <c r="A64" s="41">
        <v>10999001</v>
      </c>
      <c r="B64" s="42" t="s">
        <v>164</v>
      </c>
      <c r="C64" s="33" t="s">
        <v>54</v>
      </c>
      <c r="E64" s="37" t="s">
        <v>165</v>
      </c>
      <c r="F64" s="37" t="s">
        <v>166</v>
      </c>
    </row>
    <row r="65" spans="1:6">
      <c r="A65" s="41">
        <v>10999002</v>
      </c>
      <c r="B65" s="42" t="s">
        <v>167</v>
      </c>
      <c r="C65" s="33" t="s">
        <v>54</v>
      </c>
      <c r="E65" s="37" t="s">
        <v>168</v>
      </c>
      <c r="F65" s="37" t="s">
        <v>169</v>
      </c>
    </row>
    <row r="66" spans="1:6">
      <c r="A66" s="41">
        <v>12110001</v>
      </c>
      <c r="B66" s="42" t="s">
        <v>170</v>
      </c>
      <c r="C66" s="33" t="s">
        <v>54</v>
      </c>
      <c r="E66" s="37" t="s">
        <v>171</v>
      </c>
      <c r="F66" s="37" t="s">
        <v>172</v>
      </c>
    </row>
    <row r="67" spans="1:6">
      <c r="A67" s="41">
        <v>12110002</v>
      </c>
      <c r="B67" s="42" t="s">
        <v>5</v>
      </c>
      <c r="C67" s="33" t="s">
        <v>54</v>
      </c>
      <c r="E67" s="37" t="s">
        <v>171</v>
      </c>
      <c r="F67" s="37" t="s">
        <v>172</v>
      </c>
    </row>
    <row r="68" spans="1:6">
      <c r="A68" s="41">
        <v>12110003</v>
      </c>
      <c r="B68" s="42" t="s">
        <v>79</v>
      </c>
      <c r="C68" s="33" t="s">
        <v>54</v>
      </c>
      <c r="E68" s="37" t="s">
        <v>171</v>
      </c>
      <c r="F68" s="37" t="s">
        <v>173</v>
      </c>
    </row>
    <row r="69" spans="1:6">
      <c r="A69" s="41">
        <v>12110004</v>
      </c>
      <c r="B69" s="42" t="s">
        <v>6</v>
      </c>
      <c r="C69" s="33" t="s">
        <v>54</v>
      </c>
      <c r="E69" s="37" t="s">
        <v>171</v>
      </c>
      <c r="F69" s="37" t="s">
        <v>174</v>
      </c>
    </row>
    <row r="70" spans="1:6">
      <c r="A70" s="41">
        <v>12110005</v>
      </c>
      <c r="B70" s="42" t="s">
        <v>7</v>
      </c>
      <c r="C70" s="33" t="s">
        <v>54</v>
      </c>
      <c r="E70" s="37" t="s">
        <v>171</v>
      </c>
      <c r="F70" s="37" t="s">
        <v>174</v>
      </c>
    </row>
    <row r="71" spans="1:6">
      <c r="A71" s="41">
        <v>12120001</v>
      </c>
      <c r="B71" s="42" t="s">
        <v>175</v>
      </c>
      <c r="C71" s="33" t="s">
        <v>54</v>
      </c>
      <c r="E71" s="37" t="s">
        <v>176</v>
      </c>
      <c r="F71" s="37" t="s">
        <v>177</v>
      </c>
    </row>
    <row r="72" spans="1:6">
      <c r="A72" s="41">
        <v>12120002</v>
      </c>
      <c r="B72" s="42" t="s">
        <v>178</v>
      </c>
      <c r="C72" s="33" t="s">
        <v>54</v>
      </c>
      <c r="E72" s="37" t="s">
        <v>179</v>
      </c>
      <c r="F72" s="37" t="s">
        <v>180</v>
      </c>
    </row>
    <row r="73" spans="1:6">
      <c r="A73" s="41">
        <v>12120003</v>
      </c>
      <c r="B73" s="42" t="s">
        <v>7</v>
      </c>
      <c r="C73" s="33" t="s">
        <v>54</v>
      </c>
      <c r="E73" s="37" t="s">
        <v>176</v>
      </c>
      <c r="F73" s="37" t="s">
        <v>166</v>
      </c>
    </row>
    <row r="74" spans="1:6">
      <c r="A74" s="41">
        <v>12120004</v>
      </c>
      <c r="B74" s="42" t="s">
        <v>181</v>
      </c>
      <c r="C74" s="33" t="s">
        <v>54</v>
      </c>
      <c r="E74" s="38"/>
      <c r="F74" s="38"/>
    </row>
    <row r="75" spans="1:6">
      <c r="A75" s="41">
        <v>12130001</v>
      </c>
      <c r="B75" s="42" t="s">
        <v>8</v>
      </c>
      <c r="C75" s="33" t="s">
        <v>54</v>
      </c>
      <c r="E75" s="37" t="s">
        <v>182</v>
      </c>
      <c r="F75" s="37" t="s">
        <v>183</v>
      </c>
    </row>
    <row r="76" spans="1:6">
      <c r="A76" s="41">
        <v>12210001</v>
      </c>
      <c r="B76" s="42" t="s">
        <v>170</v>
      </c>
      <c r="C76" s="33" t="s">
        <v>54</v>
      </c>
      <c r="E76" s="37" t="s">
        <v>184</v>
      </c>
      <c r="F76" s="37" t="s">
        <v>172</v>
      </c>
    </row>
    <row r="77" spans="1:6">
      <c r="A77" s="41">
        <v>12210002</v>
      </c>
      <c r="B77" s="42" t="s">
        <v>185</v>
      </c>
      <c r="C77" s="33" t="s">
        <v>54</v>
      </c>
      <c r="E77" s="37" t="s">
        <v>184</v>
      </c>
      <c r="F77" s="37" t="s">
        <v>172</v>
      </c>
    </row>
    <row r="78" spans="1:6">
      <c r="A78" s="41">
        <v>12210003</v>
      </c>
      <c r="B78" s="42" t="s">
        <v>186</v>
      </c>
      <c r="C78" s="33" t="s">
        <v>54</v>
      </c>
      <c r="E78" s="37" t="s">
        <v>184</v>
      </c>
      <c r="F78" s="37" t="s">
        <v>173</v>
      </c>
    </row>
    <row r="79" spans="1:6">
      <c r="A79" s="41">
        <v>12210004</v>
      </c>
      <c r="B79" s="42" t="s">
        <v>6</v>
      </c>
      <c r="C79" s="33" t="s">
        <v>54</v>
      </c>
      <c r="E79" s="37" t="s">
        <v>184</v>
      </c>
      <c r="F79" s="37" t="s">
        <v>174</v>
      </c>
    </row>
    <row r="80" spans="1:6">
      <c r="A80" s="41">
        <v>12210005</v>
      </c>
      <c r="B80" s="42" t="s">
        <v>7</v>
      </c>
      <c r="C80" s="33" t="s">
        <v>54</v>
      </c>
      <c r="E80" s="37" t="s">
        <v>184</v>
      </c>
      <c r="F80" s="37" t="s">
        <v>174</v>
      </c>
    </row>
    <row r="81" spans="1:6">
      <c r="A81" s="41">
        <v>12310001</v>
      </c>
      <c r="B81" s="42" t="s">
        <v>170</v>
      </c>
      <c r="C81" s="33" t="s">
        <v>54</v>
      </c>
      <c r="E81" s="37" t="s">
        <v>187</v>
      </c>
      <c r="F81" s="37" t="s">
        <v>172</v>
      </c>
    </row>
    <row r="82" spans="1:6">
      <c r="A82" s="41">
        <v>12310002</v>
      </c>
      <c r="B82" s="42" t="s">
        <v>5</v>
      </c>
      <c r="C82" s="33" t="s">
        <v>54</v>
      </c>
      <c r="E82" s="37" t="s">
        <v>187</v>
      </c>
      <c r="F82" s="37" t="s">
        <v>172</v>
      </c>
    </row>
    <row r="83" spans="1:6">
      <c r="A83" s="41">
        <v>12310003</v>
      </c>
      <c r="B83" s="42" t="s">
        <v>79</v>
      </c>
      <c r="C83" s="33" t="s">
        <v>54</v>
      </c>
      <c r="E83" s="37" t="s">
        <v>187</v>
      </c>
      <c r="F83" s="37" t="s">
        <v>173</v>
      </c>
    </row>
    <row r="84" spans="1:6">
      <c r="A84" s="41">
        <v>12310004</v>
      </c>
      <c r="B84" s="42" t="s">
        <v>6</v>
      </c>
      <c r="C84" s="33" t="s">
        <v>54</v>
      </c>
      <c r="E84" s="37" t="s">
        <v>187</v>
      </c>
      <c r="F84" s="37" t="s">
        <v>174</v>
      </c>
    </row>
    <row r="85" spans="1:6">
      <c r="A85" s="41">
        <v>12310005</v>
      </c>
      <c r="B85" s="42" t="s">
        <v>7</v>
      </c>
      <c r="C85" s="33" t="s">
        <v>54</v>
      </c>
      <c r="E85" s="37" t="s">
        <v>187</v>
      </c>
      <c r="F85" s="37" t="s">
        <v>174</v>
      </c>
    </row>
    <row r="86" spans="1:6">
      <c r="A86" s="41">
        <v>12320001</v>
      </c>
      <c r="B86" s="42" t="s">
        <v>175</v>
      </c>
      <c r="C86" s="33" t="s">
        <v>54</v>
      </c>
      <c r="E86" s="37" t="s">
        <v>176</v>
      </c>
      <c r="F86" s="37" t="s">
        <v>177</v>
      </c>
    </row>
    <row r="87" spans="1:6">
      <c r="A87" s="41">
        <v>12320002</v>
      </c>
      <c r="B87" s="42" t="s">
        <v>188</v>
      </c>
      <c r="C87" s="33" t="s">
        <v>54</v>
      </c>
      <c r="E87" s="37" t="s">
        <v>189</v>
      </c>
      <c r="F87" s="37" t="s">
        <v>180</v>
      </c>
    </row>
    <row r="88" spans="1:6">
      <c r="A88" s="41">
        <v>12320003</v>
      </c>
      <c r="B88" s="42" t="s">
        <v>7</v>
      </c>
      <c r="C88" s="33" t="s">
        <v>54</v>
      </c>
      <c r="E88" s="37" t="s">
        <v>176</v>
      </c>
      <c r="F88" s="37" t="s">
        <v>166</v>
      </c>
    </row>
    <row r="89" spans="1:6">
      <c r="A89" s="41">
        <v>12330001</v>
      </c>
      <c r="B89" s="42" t="s">
        <v>8</v>
      </c>
      <c r="C89" s="33" t="s">
        <v>54</v>
      </c>
      <c r="E89" s="37" t="s">
        <v>190</v>
      </c>
      <c r="F89" s="37" t="s">
        <v>183</v>
      </c>
    </row>
    <row r="90" spans="1:6">
      <c r="A90" s="41">
        <v>13101001</v>
      </c>
      <c r="B90" s="42" t="s">
        <v>9</v>
      </c>
      <c r="C90" s="33" t="s">
        <v>54</v>
      </c>
      <c r="E90" s="59" t="s">
        <v>191</v>
      </c>
      <c r="F90" s="59" t="s">
        <v>192</v>
      </c>
    </row>
    <row r="91" spans="1:6">
      <c r="A91" s="41">
        <v>14103001</v>
      </c>
      <c r="B91" s="42" t="s">
        <v>193</v>
      </c>
      <c r="C91" s="43" t="s">
        <v>54</v>
      </c>
      <c r="E91" s="59" t="s">
        <v>194</v>
      </c>
      <c r="F91" s="59" t="s">
        <v>195</v>
      </c>
    </row>
    <row r="92" spans="1:6">
      <c r="A92" s="44">
        <v>15100002</v>
      </c>
      <c r="B92" s="45" t="s">
        <v>60</v>
      </c>
      <c r="C92" s="43">
        <f>'RE33(IRRBB)'!$M$10+15</f>
        <v>46073</v>
      </c>
      <c r="E92" s="59" t="s">
        <v>196</v>
      </c>
      <c r="F92" s="59" t="s">
        <v>197</v>
      </c>
    </row>
    <row r="93" spans="1:6">
      <c r="A93" s="41">
        <v>20110101</v>
      </c>
      <c r="B93" s="42" t="s">
        <v>61</v>
      </c>
      <c r="C93" s="43">
        <f>'RE33(IRRBB)'!$M$10+15</f>
        <v>46073</v>
      </c>
      <c r="E93" s="59" t="s">
        <v>198</v>
      </c>
      <c r="F93" s="59" t="s">
        <v>199</v>
      </c>
    </row>
    <row r="94" spans="1:6">
      <c r="A94" s="41">
        <v>20110102</v>
      </c>
      <c r="B94" s="42" t="s">
        <v>62</v>
      </c>
      <c r="C94" s="43">
        <f>'RE33(IRRBB)'!$M$10+15</f>
        <v>46073</v>
      </c>
      <c r="E94" s="37" t="s">
        <v>198</v>
      </c>
      <c r="F94" s="37" t="s">
        <v>199</v>
      </c>
    </row>
    <row r="95" spans="1:6">
      <c r="A95" s="41">
        <v>20110201</v>
      </c>
      <c r="B95" s="42" t="s">
        <v>63</v>
      </c>
      <c r="C95" s="43">
        <f>'RE33(IRRBB)'!$M$10+15</f>
        <v>46073</v>
      </c>
      <c r="E95" s="37" t="s">
        <v>200</v>
      </c>
      <c r="F95" s="37" t="s">
        <v>90</v>
      </c>
    </row>
    <row r="96" spans="1:6">
      <c r="A96" s="41">
        <v>20110202</v>
      </c>
      <c r="B96" s="42" t="s">
        <v>64</v>
      </c>
      <c r="C96" s="43">
        <f>'RE33(IRRBB)'!$M$10+15</f>
        <v>46073</v>
      </c>
      <c r="E96" s="37" t="s">
        <v>200</v>
      </c>
      <c r="F96" s="37" t="s">
        <v>90</v>
      </c>
    </row>
    <row r="97" spans="1:6">
      <c r="A97" s="41">
        <v>20111001</v>
      </c>
      <c r="B97" s="42" t="s">
        <v>65</v>
      </c>
      <c r="C97" s="43">
        <f>'RE33(IRRBB)'!$M$10+15</f>
        <v>46073</v>
      </c>
      <c r="E97" s="37" t="s">
        <v>200</v>
      </c>
      <c r="F97" s="37" t="s">
        <v>90</v>
      </c>
    </row>
    <row r="98" spans="1:6">
      <c r="A98" s="41">
        <v>20112001</v>
      </c>
      <c r="B98" s="42" t="s">
        <v>66</v>
      </c>
      <c r="C98" s="43">
        <f>'RE33(IRRBB)'!$M$10+15</f>
        <v>46073</v>
      </c>
      <c r="E98" s="37" t="s">
        <v>200</v>
      </c>
      <c r="F98" s="37" t="s">
        <v>90</v>
      </c>
    </row>
    <row r="99" spans="1:6">
      <c r="A99" s="41">
        <v>20112002</v>
      </c>
      <c r="B99" s="42" t="s">
        <v>67</v>
      </c>
      <c r="C99" s="43">
        <f>'RE33(IRRBB)'!$M$10+15</f>
        <v>46073</v>
      </c>
      <c r="E99" s="37" t="s">
        <v>200</v>
      </c>
      <c r="F99" s="37" t="s">
        <v>90</v>
      </c>
    </row>
    <row r="100" spans="1:6">
      <c r="A100" s="41">
        <v>20121001</v>
      </c>
      <c r="B100" s="42" t="s">
        <v>68</v>
      </c>
      <c r="C100" s="43">
        <f>'RE33(IRRBB)'!$M$10+15</f>
        <v>46073</v>
      </c>
      <c r="E100" s="37" t="s">
        <v>201</v>
      </c>
      <c r="F100" s="37" t="s">
        <v>202</v>
      </c>
    </row>
    <row r="101" spans="1:6">
      <c r="A101" s="41">
        <v>20121002</v>
      </c>
      <c r="B101" s="42" t="s">
        <v>69</v>
      </c>
      <c r="C101" s="43">
        <f>'RE33(IRRBB)'!$M$10+15</f>
        <v>46073</v>
      </c>
      <c r="E101" s="37" t="s">
        <v>201</v>
      </c>
      <c r="F101" s="37" t="s">
        <v>202</v>
      </c>
    </row>
    <row r="102" spans="1:6">
      <c r="A102" s="41">
        <v>20121003</v>
      </c>
      <c r="B102" s="42" t="s">
        <v>70</v>
      </c>
      <c r="C102" s="43">
        <f>'RE33(IRRBB)'!$M$10+15</f>
        <v>46073</v>
      </c>
      <c r="E102" s="37" t="s">
        <v>201</v>
      </c>
      <c r="F102" s="37" t="s">
        <v>202</v>
      </c>
    </row>
    <row r="103" spans="1:6">
      <c r="A103" s="41">
        <v>20121004</v>
      </c>
      <c r="B103" s="42" t="s">
        <v>71</v>
      </c>
      <c r="C103" s="43">
        <f>'RE33(IRRBB)'!$M$10+15</f>
        <v>46073</v>
      </c>
      <c r="E103" s="38"/>
      <c r="F103" s="38"/>
    </row>
    <row r="104" spans="1:6">
      <c r="A104" s="41">
        <v>20121005</v>
      </c>
      <c r="B104" s="42" t="s">
        <v>72</v>
      </c>
      <c r="C104" s="43">
        <f>'RE33(IRRBB)'!$M$10+15</f>
        <v>46073</v>
      </c>
      <c r="E104" s="38"/>
      <c r="F104" s="38"/>
    </row>
    <row r="105" spans="1:6">
      <c r="A105" s="41">
        <v>20121006</v>
      </c>
      <c r="B105" s="42" t="s">
        <v>73</v>
      </c>
      <c r="C105" s="43">
        <f>'RE33(IRRBB)'!$M$10+15</f>
        <v>46073</v>
      </c>
      <c r="E105" s="38"/>
      <c r="F105" s="38"/>
    </row>
    <row r="106" spans="1:6">
      <c r="A106" s="41">
        <v>20610001</v>
      </c>
      <c r="B106" s="42" t="s">
        <v>203</v>
      </c>
      <c r="C106" s="33" t="s">
        <v>54</v>
      </c>
      <c r="E106" s="37" t="s">
        <v>204</v>
      </c>
      <c r="F106" s="37" t="s">
        <v>205</v>
      </c>
    </row>
    <row r="107" spans="1:6">
      <c r="A107" s="41">
        <v>20610002</v>
      </c>
      <c r="B107" s="42" t="s">
        <v>206</v>
      </c>
      <c r="C107" s="33" t="s">
        <v>54</v>
      </c>
      <c r="E107" s="37" t="s">
        <v>204</v>
      </c>
      <c r="F107" s="37" t="s">
        <v>205</v>
      </c>
    </row>
    <row r="108" spans="1:6">
      <c r="A108" s="41">
        <v>20610009</v>
      </c>
      <c r="B108" s="42" t="s">
        <v>207</v>
      </c>
      <c r="C108" s="33" t="s">
        <v>54</v>
      </c>
      <c r="E108" s="37" t="s">
        <v>204</v>
      </c>
      <c r="F108" s="37" t="s">
        <v>205</v>
      </c>
    </row>
    <row r="109" spans="1:6">
      <c r="A109" s="41">
        <v>20910002</v>
      </c>
      <c r="B109" s="42" t="s">
        <v>208</v>
      </c>
      <c r="C109" s="33" t="s">
        <v>54</v>
      </c>
      <c r="E109" s="37" t="s">
        <v>209</v>
      </c>
      <c r="F109" s="37" t="s">
        <v>210</v>
      </c>
    </row>
    <row r="110" spans="1:6">
      <c r="A110" s="41">
        <v>20910003</v>
      </c>
      <c r="B110" s="42" t="s">
        <v>211</v>
      </c>
      <c r="C110" s="33" t="s">
        <v>54</v>
      </c>
      <c r="E110" s="37" t="s">
        <v>209</v>
      </c>
      <c r="F110" s="37" t="s">
        <v>210</v>
      </c>
    </row>
    <row r="111" spans="1:6">
      <c r="A111" s="41">
        <v>20910004</v>
      </c>
      <c r="B111" s="42" t="s">
        <v>212</v>
      </c>
      <c r="C111" s="33" t="s">
        <v>54</v>
      </c>
      <c r="E111" s="37" t="s">
        <v>209</v>
      </c>
      <c r="F111" s="37" t="s">
        <v>210</v>
      </c>
    </row>
    <row r="112" spans="1:6">
      <c r="A112" s="41">
        <v>20910006</v>
      </c>
      <c r="B112" s="42" t="s">
        <v>213</v>
      </c>
      <c r="C112" s="33" t="s">
        <v>54</v>
      </c>
      <c r="E112" s="37" t="s">
        <v>209</v>
      </c>
      <c r="F112" s="37" t="s">
        <v>210</v>
      </c>
    </row>
    <row r="113" spans="1:6">
      <c r="A113" s="41">
        <v>20910007</v>
      </c>
      <c r="B113" s="42" t="s">
        <v>214</v>
      </c>
      <c r="C113" s="33" t="s">
        <v>54</v>
      </c>
      <c r="E113" s="37" t="s">
        <v>209</v>
      </c>
      <c r="F113" s="37" t="s">
        <v>210</v>
      </c>
    </row>
    <row r="114" spans="1:6">
      <c r="A114" s="41">
        <v>20910008</v>
      </c>
      <c r="B114" s="42" t="s">
        <v>215</v>
      </c>
      <c r="C114" s="33" t="s">
        <v>54</v>
      </c>
      <c r="E114" s="37" t="s">
        <v>209</v>
      </c>
      <c r="F114" s="37" t="s">
        <v>210</v>
      </c>
    </row>
    <row r="115" spans="1:6">
      <c r="A115" s="41">
        <v>20910009</v>
      </c>
      <c r="B115" s="42" t="s">
        <v>216</v>
      </c>
      <c r="C115" s="33" t="s">
        <v>54</v>
      </c>
      <c r="E115" s="37" t="s">
        <v>209</v>
      </c>
      <c r="F115" s="37" t="s">
        <v>210</v>
      </c>
    </row>
    <row r="116" spans="1:6">
      <c r="A116" s="41">
        <v>20910010</v>
      </c>
      <c r="B116" s="42" t="s">
        <v>217</v>
      </c>
      <c r="C116" s="33" t="s">
        <v>54</v>
      </c>
      <c r="E116" s="37" t="s">
        <v>209</v>
      </c>
      <c r="F116" s="37" t="s">
        <v>210</v>
      </c>
    </row>
    <row r="117" spans="1:6">
      <c r="A117" s="41">
        <v>20910011</v>
      </c>
      <c r="B117" s="42" t="s">
        <v>218</v>
      </c>
      <c r="C117" s="33" t="s">
        <v>54</v>
      </c>
      <c r="E117" s="37" t="s">
        <v>209</v>
      </c>
      <c r="F117" s="37" t="s">
        <v>210</v>
      </c>
    </row>
    <row r="118" spans="1:6">
      <c r="A118" s="41">
        <v>20910012</v>
      </c>
      <c r="B118" s="42" t="s">
        <v>219</v>
      </c>
      <c r="C118" s="33" t="s">
        <v>54</v>
      </c>
      <c r="E118" s="38"/>
      <c r="F118" s="38"/>
    </row>
    <row r="119" spans="1:6">
      <c r="A119" s="41">
        <v>20910013</v>
      </c>
      <c r="B119" s="42" t="s">
        <v>220</v>
      </c>
      <c r="C119" s="33" t="s">
        <v>54</v>
      </c>
      <c r="E119" s="38"/>
      <c r="F119" s="38"/>
    </row>
    <row r="120" spans="1:6">
      <c r="A120" s="41">
        <v>20920001</v>
      </c>
      <c r="B120" s="42" t="s">
        <v>221</v>
      </c>
      <c r="C120" s="33" t="s">
        <v>54</v>
      </c>
      <c r="E120" s="37" t="s">
        <v>222</v>
      </c>
      <c r="F120" s="37" t="s">
        <v>223</v>
      </c>
    </row>
    <row r="121" spans="1:6">
      <c r="A121" s="41">
        <v>20920002</v>
      </c>
      <c r="B121" s="42" t="s">
        <v>224</v>
      </c>
      <c r="C121" s="33" t="s">
        <v>54</v>
      </c>
      <c r="E121" s="37" t="s">
        <v>222</v>
      </c>
      <c r="F121" s="37" t="s">
        <v>223</v>
      </c>
    </row>
    <row r="122" spans="1:6">
      <c r="A122" s="41">
        <v>20920003</v>
      </c>
      <c r="B122" s="42" t="s">
        <v>225</v>
      </c>
      <c r="C122" s="33" t="s">
        <v>54</v>
      </c>
      <c r="E122" s="37" t="s">
        <v>222</v>
      </c>
      <c r="F122" s="37" t="s">
        <v>223</v>
      </c>
    </row>
    <row r="123" spans="1:6">
      <c r="A123" s="41">
        <v>20920004</v>
      </c>
      <c r="B123" s="42" t="s">
        <v>226</v>
      </c>
      <c r="C123" s="33" t="s">
        <v>54</v>
      </c>
      <c r="E123" s="37" t="s">
        <v>222</v>
      </c>
      <c r="F123" s="37" t="s">
        <v>223</v>
      </c>
    </row>
    <row r="124" spans="1:6">
      <c r="A124" s="41">
        <v>20920005</v>
      </c>
      <c r="B124" s="42" t="s">
        <v>227</v>
      </c>
      <c r="C124" s="33" t="s">
        <v>54</v>
      </c>
      <c r="E124" s="37" t="s">
        <v>222</v>
      </c>
      <c r="F124" s="37" t="s">
        <v>223</v>
      </c>
    </row>
    <row r="125" spans="1:6">
      <c r="A125" s="41">
        <v>20920006</v>
      </c>
      <c r="B125" s="42" t="s">
        <v>228</v>
      </c>
      <c r="C125" s="33" t="s">
        <v>54</v>
      </c>
      <c r="E125" s="37" t="s">
        <v>222</v>
      </c>
      <c r="F125" s="37" t="s">
        <v>223</v>
      </c>
    </row>
    <row r="126" spans="1:6">
      <c r="A126" s="41">
        <v>20920007</v>
      </c>
      <c r="B126" s="42" t="s">
        <v>229</v>
      </c>
      <c r="C126" s="33" t="s">
        <v>54</v>
      </c>
      <c r="E126" s="37" t="s">
        <v>222</v>
      </c>
      <c r="F126" s="37" t="s">
        <v>223</v>
      </c>
    </row>
    <row r="127" spans="1:6">
      <c r="A127" s="41">
        <v>20920008</v>
      </c>
      <c r="B127" s="42" t="s">
        <v>230</v>
      </c>
      <c r="C127" s="33" t="s">
        <v>54</v>
      </c>
      <c r="E127" s="37" t="s">
        <v>222</v>
      </c>
      <c r="F127" s="37" t="s">
        <v>223</v>
      </c>
    </row>
    <row r="128" spans="1:6">
      <c r="A128" s="41">
        <v>20920009</v>
      </c>
      <c r="B128" s="42" t="s">
        <v>231</v>
      </c>
      <c r="C128" s="33" t="s">
        <v>54</v>
      </c>
      <c r="E128" s="37" t="s">
        <v>222</v>
      </c>
      <c r="F128" s="37" t="s">
        <v>223</v>
      </c>
    </row>
    <row r="129" spans="1:6">
      <c r="A129" s="41">
        <v>20920011</v>
      </c>
      <c r="B129" s="42" t="s">
        <v>232</v>
      </c>
      <c r="C129" s="33" t="s">
        <v>54</v>
      </c>
      <c r="E129" s="37" t="s">
        <v>222</v>
      </c>
      <c r="F129" s="37" t="s">
        <v>223</v>
      </c>
    </row>
    <row r="130" spans="1:6">
      <c r="A130" s="41">
        <v>20920012</v>
      </c>
      <c r="B130" s="42" t="s">
        <v>233</v>
      </c>
      <c r="C130" s="33" t="s">
        <v>54</v>
      </c>
      <c r="E130" s="37" t="s">
        <v>222</v>
      </c>
      <c r="F130" s="37" t="s">
        <v>223</v>
      </c>
    </row>
    <row r="131" spans="1:6">
      <c r="A131" s="41">
        <v>20920013</v>
      </c>
      <c r="B131" s="42" t="s">
        <v>234</v>
      </c>
      <c r="C131" s="33" t="s">
        <v>54</v>
      </c>
      <c r="E131" s="37" t="s">
        <v>222</v>
      </c>
      <c r="F131" s="37" t="s">
        <v>223</v>
      </c>
    </row>
    <row r="132" spans="1:6">
      <c r="A132" s="41">
        <v>20920014</v>
      </c>
      <c r="B132" s="42" t="s">
        <v>235</v>
      </c>
      <c r="C132" s="33" t="s">
        <v>54</v>
      </c>
      <c r="E132" s="37" t="s">
        <v>222</v>
      </c>
      <c r="F132" s="37" t="s">
        <v>223</v>
      </c>
    </row>
    <row r="133" spans="1:6">
      <c r="A133" s="41">
        <v>20920015</v>
      </c>
      <c r="B133" s="42" t="s">
        <v>236</v>
      </c>
      <c r="C133" s="33" t="s">
        <v>54</v>
      </c>
      <c r="E133" s="37" t="s">
        <v>222</v>
      </c>
      <c r="F133" s="37" t="s">
        <v>223</v>
      </c>
    </row>
    <row r="134" spans="1:6">
      <c r="A134" s="41">
        <v>20920016</v>
      </c>
      <c r="B134" s="42" t="s">
        <v>237</v>
      </c>
      <c r="C134" s="33" t="s">
        <v>54</v>
      </c>
      <c r="E134" s="37" t="s">
        <v>222</v>
      </c>
      <c r="F134" s="37" t="s">
        <v>223</v>
      </c>
    </row>
    <row r="135" spans="1:6">
      <c r="A135" s="41">
        <v>20920017</v>
      </c>
      <c r="B135" s="42" t="s">
        <v>238</v>
      </c>
      <c r="C135" s="33" t="s">
        <v>54</v>
      </c>
      <c r="E135" s="37" t="s">
        <v>222</v>
      </c>
      <c r="F135" s="37" t="s">
        <v>223</v>
      </c>
    </row>
    <row r="136" spans="1:6">
      <c r="A136" s="41">
        <v>20920018</v>
      </c>
      <c r="B136" s="42" t="s">
        <v>239</v>
      </c>
      <c r="C136" s="33" t="s">
        <v>54</v>
      </c>
      <c r="E136" s="37" t="s">
        <v>222</v>
      </c>
      <c r="F136" s="37" t="s">
        <v>223</v>
      </c>
    </row>
    <row r="137" spans="1:6">
      <c r="A137" s="41">
        <v>20920019</v>
      </c>
      <c r="B137" s="42" t="s">
        <v>240</v>
      </c>
      <c r="C137" s="33" t="s">
        <v>54</v>
      </c>
      <c r="E137" s="37" t="s">
        <v>222</v>
      </c>
      <c r="F137" s="37" t="s">
        <v>223</v>
      </c>
    </row>
    <row r="138" spans="1:6">
      <c r="A138" s="41">
        <v>20920021</v>
      </c>
      <c r="B138" s="42" t="s">
        <v>241</v>
      </c>
      <c r="C138" s="33" t="s">
        <v>54</v>
      </c>
      <c r="E138" s="37" t="s">
        <v>222</v>
      </c>
      <c r="F138" s="37" t="s">
        <v>223</v>
      </c>
    </row>
    <row r="139" spans="1:6">
      <c r="A139" s="41">
        <v>20920022</v>
      </c>
      <c r="B139" s="42" t="s">
        <v>242</v>
      </c>
      <c r="C139" s="33" t="s">
        <v>54</v>
      </c>
      <c r="E139" s="37" t="s">
        <v>222</v>
      </c>
      <c r="F139" s="37" t="s">
        <v>223</v>
      </c>
    </row>
    <row r="140" spans="1:6">
      <c r="A140" s="41">
        <v>20920023</v>
      </c>
      <c r="B140" s="42" t="s">
        <v>243</v>
      </c>
      <c r="C140" s="33" t="s">
        <v>54</v>
      </c>
      <c r="E140" s="37" t="s">
        <v>222</v>
      </c>
      <c r="F140" s="37" t="s">
        <v>223</v>
      </c>
    </row>
    <row r="141" spans="1:6">
      <c r="A141" s="41">
        <v>20920024</v>
      </c>
      <c r="B141" s="42" t="s">
        <v>244</v>
      </c>
      <c r="C141" s="33" t="s">
        <v>54</v>
      </c>
      <c r="E141" s="37" t="s">
        <v>222</v>
      </c>
      <c r="F141" s="37" t="s">
        <v>223</v>
      </c>
    </row>
    <row r="142" spans="1:6">
      <c r="A142" s="41">
        <v>20920025</v>
      </c>
      <c r="B142" s="42" t="s">
        <v>245</v>
      </c>
      <c r="C142" s="33" t="s">
        <v>54</v>
      </c>
      <c r="E142" s="37" t="s">
        <v>222</v>
      </c>
      <c r="F142" s="37" t="s">
        <v>223</v>
      </c>
    </row>
    <row r="143" spans="1:6">
      <c r="A143" s="41">
        <v>20920026</v>
      </c>
      <c r="B143" s="42" t="s">
        <v>246</v>
      </c>
      <c r="C143" s="33" t="s">
        <v>54</v>
      </c>
      <c r="E143" s="38"/>
      <c r="F143" s="38"/>
    </row>
    <row r="144" spans="1:6">
      <c r="A144" s="41">
        <v>20920027</v>
      </c>
      <c r="B144" s="42" t="s">
        <v>247</v>
      </c>
      <c r="C144" s="33" t="s">
        <v>54</v>
      </c>
      <c r="E144" s="38"/>
      <c r="F144" s="38"/>
    </row>
    <row r="145" spans="1:6">
      <c r="A145" s="41">
        <v>20930001</v>
      </c>
      <c r="B145" s="42" t="s">
        <v>248</v>
      </c>
      <c r="C145" s="33" t="s">
        <v>54</v>
      </c>
      <c r="E145" s="37" t="s">
        <v>249</v>
      </c>
      <c r="F145" s="37" t="s">
        <v>250</v>
      </c>
    </row>
    <row r="146" spans="1:6">
      <c r="A146" s="41">
        <v>20930006</v>
      </c>
      <c r="B146" s="42" t="s">
        <v>156</v>
      </c>
      <c r="C146" s="33" t="s">
        <v>54</v>
      </c>
      <c r="E146" s="37" t="s">
        <v>249</v>
      </c>
      <c r="F146" s="37" t="s">
        <v>251</v>
      </c>
    </row>
    <row r="147" spans="1:6">
      <c r="A147" s="41">
        <v>20930009</v>
      </c>
      <c r="B147" s="42" t="s">
        <v>157</v>
      </c>
      <c r="C147" s="33" t="s">
        <v>54</v>
      </c>
      <c r="E147" s="37" t="s">
        <v>249</v>
      </c>
      <c r="F147" s="37" t="s">
        <v>252</v>
      </c>
    </row>
    <row r="148" spans="1:6">
      <c r="A148" s="41">
        <v>20970001</v>
      </c>
      <c r="B148" s="42" t="s">
        <v>74</v>
      </c>
      <c r="C148" s="33" t="s">
        <v>54</v>
      </c>
      <c r="E148" s="37" t="s">
        <v>253</v>
      </c>
      <c r="F148" s="37" t="s">
        <v>254</v>
      </c>
    </row>
    <row r="149" spans="1:6">
      <c r="A149" s="41">
        <v>20970002</v>
      </c>
      <c r="B149" s="42" t="s">
        <v>75</v>
      </c>
      <c r="C149" s="33" t="s">
        <v>54</v>
      </c>
      <c r="E149" s="37" t="s">
        <v>253</v>
      </c>
      <c r="F149" s="37" t="s">
        <v>254</v>
      </c>
    </row>
    <row r="150" spans="1:6">
      <c r="A150" s="41">
        <v>20970003</v>
      </c>
      <c r="B150" s="42" t="s">
        <v>10</v>
      </c>
      <c r="C150" s="33" t="s">
        <v>54</v>
      </c>
      <c r="E150" s="37" t="s">
        <v>253</v>
      </c>
      <c r="F150" s="37" t="s">
        <v>254</v>
      </c>
    </row>
    <row r="151" spans="1:6">
      <c r="A151" s="41">
        <v>20970004</v>
      </c>
      <c r="B151" s="42" t="s">
        <v>11</v>
      </c>
      <c r="C151" s="33" t="s">
        <v>54</v>
      </c>
      <c r="E151" s="37" t="s">
        <v>532</v>
      </c>
      <c r="F151" s="37" t="s">
        <v>254</v>
      </c>
    </row>
    <row r="152" spans="1:6">
      <c r="A152" s="41">
        <v>20970005</v>
      </c>
      <c r="B152" s="42" t="s">
        <v>12</v>
      </c>
      <c r="C152" s="33" t="s">
        <v>54</v>
      </c>
      <c r="E152" s="37" t="s">
        <v>255</v>
      </c>
      <c r="F152" s="37" t="s">
        <v>166</v>
      </c>
    </row>
    <row r="153" spans="1:6">
      <c r="A153" s="41">
        <v>20980001</v>
      </c>
      <c r="B153" s="42" t="s">
        <v>76</v>
      </c>
      <c r="C153" s="33" t="s">
        <v>54</v>
      </c>
      <c r="E153" s="37" t="s">
        <v>256</v>
      </c>
      <c r="F153" s="37" t="s">
        <v>257</v>
      </c>
    </row>
    <row r="154" spans="1:6">
      <c r="A154" s="41">
        <v>20980002</v>
      </c>
      <c r="B154" s="42" t="s">
        <v>77</v>
      </c>
      <c r="C154" s="33" t="s">
        <v>54</v>
      </c>
      <c r="E154" s="37" t="s">
        <v>256</v>
      </c>
      <c r="F154" s="37" t="s">
        <v>257</v>
      </c>
    </row>
    <row r="155" spans="1:6">
      <c r="A155" s="41">
        <v>20990013</v>
      </c>
      <c r="B155" s="42" t="s">
        <v>81</v>
      </c>
      <c r="C155" s="33" t="s">
        <v>54</v>
      </c>
      <c r="E155" s="37" t="s">
        <v>258</v>
      </c>
      <c r="F155" s="37" t="s">
        <v>166</v>
      </c>
    </row>
    <row r="156" spans="1:6">
      <c r="A156" s="41">
        <v>20990014</v>
      </c>
      <c r="B156" s="42" t="s">
        <v>82</v>
      </c>
      <c r="C156" s="33" t="s">
        <v>54</v>
      </c>
      <c r="E156" s="37" t="s">
        <v>258</v>
      </c>
      <c r="F156" s="37" t="s">
        <v>166</v>
      </c>
    </row>
    <row r="157" spans="1:6">
      <c r="A157" s="41">
        <v>20990015</v>
      </c>
      <c r="B157" s="42" t="s">
        <v>83</v>
      </c>
      <c r="C157" s="33" t="s">
        <v>54</v>
      </c>
      <c r="E157" s="38"/>
      <c r="F157" s="38"/>
    </row>
    <row r="158" spans="1:6">
      <c r="A158" s="41">
        <v>20990016</v>
      </c>
      <c r="B158" s="42" t="s">
        <v>259</v>
      </c>
      <c r="C158" s="33" t="s">
        <v>54</v>
      </c>
      <c r="E158" s="38"/>
      <c r="F158" s="38"/>
    </row>
    <row r="159" spans="1:6">
      <c r="A159" s="41">
        <v>20990017</v>
      </c>
      <c r="B159" s="42" t="s">
        <v>84</v>
      </c>
      <c r="C159" s="33" t="s">
        <v>54</v>
      </c>
      <c r="E159" s="38"/>
      <c r="F159" s="38"/>
    </row>
    <row r="160" spans="1:6">
      <c r="A160" s="48">
        <v>20990018</v>
      </c>
      <c r="B160" s="49" t="s">
        <v>501</v>
      </c>
      <c r="C160" s="33" t="s">
        <v>54</v>
      </c>
      <c r="E160" s="50"/>
      <c r="F160" s="50"/>
    </row>
    <row r="161" spans="1:6">
      <c r="A161" s="41">
        <v>23100101</v>
      </c>
      <c r="B161" s="42" t="s">
        <v>80</v>
      </c>
      <c r="C161" s="33" t="s">
        <v>54</v>
      </c>
      <c r="E161" s="37" t="s">
        <v>260</v>
      </c>
      <c r="F161" s="37" t="s">
        <v>261</v>
      </c>
    </row>
    <row r="162" spans="1:6">
      <c r="A162" s="41">
        <v>23200001</v>
      </c>
      <c r="B162" s="42" t="s">
        <v>13</v>
      </c>
      <c r="C162" s="33" t="s">
        <v>54</v>
      </c>
      <c r="E162" s="37" t="s">
        <v>262</v>
      </c>
      <c r="F162" s="37" t="s">
        <v>263</v>
      </c>
    </row>
    <row r="163" spans="1:6">
      <c r="A163" s="41">
        <v>24103001</v>
      </c>
      <c r="B163" s="42" t="s">
        <v>193</v>
      </c>
      <c r="C163" s="43" t="s">
        <v>54</v>
      </c>
      <c r="E163" s="37" t="s">
        <v>264</v>
      </c>
      <c r="F163" s="37" t="s">
        <v>265</v>
      </c>
    </row>
    <row r="164" spans="1:6">
      <c r="A164" s="41">
        <v>25100001</v>
      </c>
      <c r="B164" s="42" t="s">
        <v>44</v>
      </c>
      <c r="C164" s="33" t="s">
        <v>54</v>
      </c>
      <c r="E164" s="38"/>
      <c r="F164" s="38"/>
    </row>
    <row r="165" spans="1:6">
      <c r="A165" s="41">
        <v>25100002</v>
      </c>
      <c r="B165" s="42" t="s">
        <v>78</v>
      </c>
      <c r="C165" s="43">
        <f>'RE33(IRRBB)'!$M$10+15</f>
        <v>46073</v>
      </c>
      <c r="E165" s="37" t="s">
        <v>266</v>
      </c>
      <c r="F165" s="37" t="s">
        <v>197</v>
      </c>
    </row>
    <row r="166" spans="1:6">
      <c r="A166" s="60">
        <v>28810002</v>
      </c>
      <c r="B166" s="61" t="s">
        <v>629</v>
      </c>
      <c r="C166" s="33" t="s">
        <v>54</v>
      </c>
      <c r="E166" s="38"/>
      <c r="F166" s="38"/>
    </row>
    <row r="167" spans="1:6">
      <c r="A167" s="41">
        <v>28810019</v>
      </c>
      <c r="B167" s="42" t="s">
        <v>496</v>
      </c>
      <c r="C167" s="33" t="s">
        <v>54</v>
      </c>
      <c r="E167" s="38"/>
      <c r="F167" s="38"/>
    </row>
    <row r="168" spans="1:6">
      <c r="A168" s="46">
        <v>28900001</v>
      </c>
      <c r="B168" s="47" t="s">
        <v>267</v>
      </c>
      <c r="C168" s="33" t="s">
        <v>54</v>
      </c>
      <c r="E168" s="38"/>
      <c r="F168" s="38"/>
    </row>
    <row r="169" spans="1:6">
      <c r="A169" s="46">
        <v>30000001</v>
      </c>
      <c r="B169" s="47" t="s">
        <v>497</v>
      </c>
      <c r="C169" s="33" t="s">
        <v>54</v>
      </c>
      <c r="E169" s="37" t="s">
        <v>266</v>
      </c>
      <c r="F169" s="37" t="s">
        <v>268</v>
      </c>
    </row>
    <row r="170" spans="1:6" ht="18" thickBot="1">
      <c r="A170" s="41"/>
      <c r="B170" s="42"/>
      <c r="C170" s="34"/>
    </row>
    <row r="171" spans="1:6" ht="18" thickTop="1"/>
  </sheetData>
  <autoFilter ref="A2:C170" xr:uid="{00000000-0009-0000-0000-000004000000}">
    <sortState xmlns:xlrd2="http://schemas.microsoft.com/office/spreadsheetml/2017/richdata2" ref="A3:C170">
      <sortCondition ref="A2:A170"/>
    </sortState>
  </autoFilter>
  <phoneticPr fontId="1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85"/>
  <sheetViews>
    <sheetView zoomScale="115" zoomScaleNormal="115" workbookViewId="0">
      <selection activeCell="G93" sqref="G93:G94"/>
    </sheetView>
  </sheetViews>
  <sheetFormatPr defaultColWidth="9" defaultRowHeight="17.350000000000001"/>
  <cols>
    <col min="1" max="1" width="9" style="71"/>
    <col min="2" max="2" width="11.33203125" style="71" customWidth="1"/>
    <col min="3" max="3" width="52.33203125" style="71" customWidth="1"/>
    <col min="4" max="4" width="22.77734375" style="71" bestFit="1" customWidth="1"/>
    <col min="5" max="10" width="17.44140625" style="71" customWidth="1"/>
    <col min="11" max="16384" width="9" style="71"/>
  </cols>
  <sheetData>
    <row r="1" spans="2:7" ht="18" thickBot="1"/>
    <row r="2" spans="2:7" ht="18" thickBot="1">
      <c r="B2" s="72" t="s">
        <v>661</v>
      </c>
      <c r="C2" s="73" t="s">
        <v>763</v>
      </c>
      <c r="D2" s="300" t="s">
        <v>662</v>
      </c>
      <c r="E2" s="300"/>
      <c r="F2" s="300"/>
      <c r="G2" s="300"/>
    </row>
    <row r="3" spans="2:7" ht="18" thickBot="1">
      <c r="C3" s="75" t="s">
        <v>663</v>
      </c>
      <c r="D3" s="301" t="s">
        <v>664</v>
      </c>
      <c r="E3" s="301"/>
      <c r="F3" s="301"/>
      <c r="G3" s="301"/>
    </row>
    <row r="4" spans="2:7" ht="32.700000000000003" thickBot="1">
      <c r="C4" s="73" t="s">
        <v>665</v>
      </c>
      <c r="D4" s="300" t="s">
        <v>666</v>
      </c>
      <c r="E4" s="300"/>
      <c r="F4" s="300"/>
      <c r="G4" s="300"/>
    </row>
    <row r="5" spans="2:7" ht="64.5" customHeight="1" thickBot="1">
      <c r="C5" s="73" t="s">
        <v>668</v>
      </c>
      <c r="D5" s="300" t="s">
        <v>669</v>
      </c>
      <c r="E5" s="300"/>
      <c r="F5" s="300"/>
      <c r="G5" s="300"/>
    </row>
    <row r="6" spans="2:7" ht="57" customHeight="1" thickBot="1">
      <c r="C6" s="73" t="s">
        <v>670</v>
      </c>
      <c r="D6" s="300" t="s">
        <v>671</v>
      </c>
      <c r="E6" s="300"/>
      <c r="F6" s="300"/>
      <c r="G6" s="300"/>
    </row>
    <row r="7" spans="2:7" ht="75" customHeight="1" thickBot="1">
      <c r="C7" s="73" t="s">
        <v>672</v>
      </c>
      <c r="D7" s="300" t="s">
        <v>673</v>
      </c>
      <c r="E7" s="300"/>
      <c r="F7" s="300"/>
      <c r="G7" s="300"/>
    </row>
    <row r="8" spans="2:7" ht="18" thickBot="1">
      <c r="C8" s="75" t="s">
        <v>674</v>
      </c>
      <c r="D8" s="302" t="s">
        <v>675</v>
      </c>
      <c r="E8" s="302"/>
      <c r="F8" s="302"/>
      <c r="G8" s="302"/>
    </row>
    <row r="9" spans="2:7" ht="18" thickBot="1">
      <c r="C9" s="75" t="s">
        <v>676</v>
      </c>
      <c r="D9" s="301" t="s">
        <v>664</v>
      </c>
      <c r="E9" s="301"/>
      <c r="F9" s="301"/>
      <c r="G9" s="301"/>
    </row>
    <row r="10" spans="2:7" ht="18" thickBot="1">
      <c r="C10" s="77" t="s">
        <v>677</v>
      </c>
      <c r="D10" s="303" t="s">
        <v>664</v>
      </c>
      <c r="E10" s="303"/>
      <c r="F10" s="303"/>
      <c r="G10" s="303"/>
    </row>
    <row r="11" spans="2:7" ht="88.5" customHeight="1" thickBot="1">
      <c r="C11" s="75" t="s">
        <v>678</v>
      </c>
      <c r="D11" s="302" t="s">
        <v>679</v>
      </c>
      <c r="E11" s="302"/>
      <c r="F11" s="302"/>
      <c r="G11" s="302"/>
    </row>
    <row r="12" spans="2:7" ht="73.5" customHeight="1" thickBot="1">
      <c r="C12" s="75" t="s">
        <v>680</v>
      </c>
      <c r="D12" s="302" t="s">
        <v>681</v>
      </c>
      <c r="E12" s="302"/>
      <c r="F12" s="302"/>
      <c r="G12" s="302"/>
    </row>
    <row r="13" spans="2:7" ht="18" thickBot="1">
      <c r="C13" s="73" t="s">
        <v>682</v>
      </c>
      <c r="D13" s="304" t="s">
        <v>683</v>
      </c>
      <c r="E13" s="304"/>
      <c r="F13" s="304"/>
      <c r="G13" s="304"/>
    </row>
    <row r="14" spans="2:7" ht="54.85" customHeight="1" thickBot="1">
      <c r="C14" s="73" t="s">
        <v>684</v>
      </c>
      <c r="D14" s="304" t="s">
        <v>685</v>
      </c>
      <c r="E14" s="304"/>
      <c r="F14" s="304"/>
      <c r="G14" s="304"/>
    </row>
    <row r="15" spans="2:7" ht="81.849999999999994" customHeight="1" thickBot="1">
      <c r="C15" s="75" t="s">
        <v>686</v>
      </c>
      <c r="D15" s="302" t="s">
        <v>687</v>
      </c>
      <c r="E15" s="302"/>
      <c r="F15" s="302"/>
      <c r="G15" s="302"/>
    </row>
    <row r="16" spans="2:7" ht="117" customHeight="1" thickBot="1">
      <c r="C16" s="77" t="s">
        <v>688</v>
      </c>
      <c r="D16" s="303" t="s">
        <v>689</v>
      </c>
      <c r="E16" s="303"/>
      <c r="F16" s="303"/>
      <c r="G16" s="303"/>
    </row>
    <row r="17" spans="2:7" ht="121.5" customHeight="1" thickBot="1">
      <c r="C17" s="73" t="s">
        <v>690</v>
      </c>
      <c r="D17" s="304" t="s">
        <v>691</v>
      </c>
      <c r="E17" s="304"/>
      <c r="F17" s="304"/>
      <c r="G17" s="304"/>
    </row>
    <row r="18" spans="2:7" ht="45" customHeight="1" thickBot="1">
      <c r="C18" s="73" t="s">
        <v>692</v>
      </c>
      <c r="D18" s="300" t="s">
        <v>693</v>
      </c>
      <c r="E18" s="300"/>
      <c r="F18" s="300"/>
      <c r="G18" s="300"/>
    </row>
    <row r="19" spans="2:7" ht="18" thickBot="1">
      <c r="C19" s="75" t="s">
        <v>694</v>
      </c>
      <c r="D19" s="302" t="s">
        <v>695</v>
      </c>
      <c r="E19" s="302"/>
      <c r="F19" s="302"/>
      <c r="G19" s="302"/>
    </row>
    <row r="20" spans="2:7" ht="18" thickBot="1">
      <c r="C20" s="73" t="s">
        <v>696</v>
      </c>
      <c r="D20" s="304" t="s">
        <v>764</v>
      </c>
      <c r="E20" s="304"/>
      <c r="F20" s="304"/>
      <c r="G20" s="304"/>
    </row>
    <row r="23" spans="2:7" ht="18" thickBot="1"/>
    <row r="24" spans="2:7" ht="33.85" customHeight="1" thickBot="1">
      <c r="B24" s="72" t="s">
        <v>697</v>
      </c>
      <c r="C24" s="75" t="s">
        <v>698</v>
      </c>
      <c r="D24" s="301" t="s">
        <v>699</v>
      </c>
      <c r="E24" s="301"/>
      <c r="F24" s="301"/>
      <c r="G24" s="301"/>
    </row>
    <row r="25" spans="2:7" ht="35.35" customHeight="1" thickBot="1">
      <c r="C25" s="78" t="s">
        <v>700</v>
      </c>
      <c r="D25" s="300" t="s">
        <v>701</v>
      </c>
      <c r="E25" s="300"/>
      <c r="F25" s="300"/>
      <c r="G25" s="300"/>
    </row>
    <row r="26" spans="2:7" ht="18" thickBot="1">
      <c r="C26" s="78" t="s">
        <v>702</v>
      </c>
      <c r="D26" s="300" t="s">
        <v>703</v>
      </c>
      <c r="E26" s="300"/>
      <c r="F26" s="300"/>
      <c r="G26" s="300"/>
    </row>
    <row r="27" spans="2:7" ht="103.5" customHeight="1" thickBot="1">
      <c r="C27" s="79" t="s">
        <v>704</v>
      </c>
      <c r="D27" s="305" t="s">
        <v>705</v>
      </c>
      <c r="E27" s="305"/>
      <c r="F27" s="305"/>
      <c r="G27" s="305"/>
    </row>
    <row r="28" spans="2:7" ht="126.85" customHeight="1" thickBot="1">
      <c r="C28" s="78" t="s">
        <v>706</v>
      </c>
      <c r="D28" s="300" t="s">
        <v>707</v>
      </c>
      <c r="E28" s="300"/>
      <c r="F28" s="300"/>
      <c r="G28" s="300"/>
    </row>
    <row r="29" spans="2:7" ht="32.35" customHeight="1" thickBot="1">
      <c r="C29" s="80" t="s">
        <v>708</v>
      </c>
      <c r="D29" s="301" t="s">
        <v>709</v>
      </c>
      <c r="E29" s="301"/>
      <c r="F29" s="301"/>
      <c r="G29" s="301"/>
    </row>
    <row r="30" spans="2:7" ht="18" thickBot="1">
      <c r="C30" s="78" t="s">
        <v>710</v>
      </c>
      <c r="D30" s="300" t="s">
        <v>711</v>
      </c>
      <c r="E30" s="300"/>
      <c r="F30" s="300"/>
      <c r="G30" s="300"/>
    </row>
    <row r="31" spans="2:7" ht="18" thickBot="1">
      <c r="C31" s="80" t="s">
        <v>712</v>
      </c>
      <c r="D31" s="301" t="s">
        <v>713</v>
      </c>
      <c r="E31" s="301"/>
      <c r="F31" s="301"/>
      <c r="G31" s="301"/>
    </row>
    <row r="32" spans="2:7" ht="95.35" customHeight="1" thickBot="1">
      <c r="C32" s="78" t="s">
        <v>714</v>
      </c>
      <c r="D32" s="300" t="s">
        <v>715</v>
      </c>
      <c r="E32" s="300"/>
      <c r="F32" s="300"/>
      <c r="G32" s="300"/>
    </row>
    <row r="33" spans="2:7" ht="18" thickBot="1">
      <c r="C33" s="80" t="s">
        <v>716</v>
      </c>
      <c r="D33" s="301" t="s">
        <v>664</v>
      </c>
      <c r="E33" s="301"/>
      <c r="F33" s="301"/>
      <c r="G33" s="301"/>
    </row>
    <row r="34" spans="2:7" ht="18" thickBot="1">
      <c r="C34" s="75" t="s">
        <v>717</v>
      </c>
      <c r="D34" s="301" t="s">
        <v>718</v>
      </c>
      <c r="E34" s="301"/>
      <c r="F34" s="301"/>
      <c r="G34" s="301"/>
    </row>
    <row r="35" spans="2:7" ht="42" customHeight="1" thickBot="1">
      <c r="C35" s="73" t="s">
        <v>719</v>
      </c>
      <c r="D35" s="300" t="s">
        <v>720</v>
      </c>
      <c r="E35" s="300"/>
      <c r="F35" s="300"/>
      <c r="G35" s="300"/>
    </row>
    <row r="41" spans="2:7" ht="18" thickBot="1"/>
    <row r="42" spans="2:7" ht="70" thickBot="1">
      <c r="B42" s="81" t="s">
        <v>721</v>
      </c>
      <c r="C42" s="75" t="s">
        <v>722</v>
      </c>
      <c r="D42" s="301" t="s">
        <v>723</v>
      </c>
      <c r="E42" s="301"/>
      <c r="F42" s="301"/>
      <c r="G42" s="301"/>
    </row>
    <row r="43" spans="2:7" ht="36.85" customHeight="1" thickBot="1">
      <c r="C43" s="75" t="s">
        <v>724</v>
      </c>
      <c r="D43" s="301" t="s">
        <v>725</v>
      </c>
      <c r="E43" s="301"/>
      <c r="F43" s="301"/>
      <c r="G43" s="301"/>
    </row>
    <row r="44" spans="2:7" ht="18" thickBot="1">
      <c r="C44" s="75" t="s">
        <v>726</v>
      </c>
      <c r="D44" s="301" t="s">
        <v>727</v>
      </c>
      <c r="E44" s="301"/>
      <c r="F44" s="301"/>
      <c r="G44" s="301"/>
    </row>
    <row r="45" spans="2:7" ht="18" thickBot="1">
      <c r="C45" s="75" t="s">
        <v>728</v>
      </c>
      <c r="D45" s="301" t="s">
        <v>729</v>
      </c>
      <c r="E45" s="301"/>
      <c r="F45" s="301"/>
      <c r="G45" s="301"/>
    </row>
    <row r="46" spans="2:7" ht="18" thickBot="1">
      <c r="C46" s="75" t="s">
        <v>730</v>
      </c>
      <c r="D46" s="301" t="s">
        <v>731</v>
      </c>
      <c r="E46" s="301"/>
      <c r="F46" s="301"/>
      <c r="G46" s="301"/>
    </row>
    <row r="47" spans="2:7" ht="18" thickBot="1">
      <c r="C47" s="75" t="s">
        <v>732</v>
      </c>
      <c r="D47" s="301" t="s">
        <v>733</v>
      </c>
      <c r="E47" s="301"/>
      <c r="F47" s="301"/>
      <c r="G47" s="301"/>
    </row>
    <row r="48" spans="2:7" ht="18" thickBot="1">
      <c r="C48" s="75" t="s">
        <v>734</v>
      </c>
      <c r="D48" s="301" t="s">
        <v>735</v>
      </c>
      <c r="E48" s="301"/>
      <c r="F48" s="301"/>
      <c r="G48" s="301"/>
    </row>
    <row r="49" spans="2:10" ht="147.85" customHeight="1" thickBot="1">
      <c r="C49" s="77" t="s">
        <v>736</v>
      </c>
      <c r="D49" s="303" t="s">
        <v>737</v>
      </c>
      <c r="E49" s="303"/>
      <c r="F49" s="303"/>
      <c r="G49" s="303"/>
    </row>
    <row r="52" spans="2:10">
      <c r="E52" s="99">
        <v>0.03</v>
      </c>
    </row>
    <row r="54" spans="2:10" ht="18" thickBot="1">
      <c r="C54" s="76" t="s">
        <v>738</v>
      </c>
    </row>
    <row r="55" spans="2:10" ht="17.350000000000001" customHeight="1" thickBot="1">
      <c r="B55" s="103" t="s">
        <v>788</v>
      </c>
      <c r="C55" s="100"/>
      <c r="D55" s="82" t="s">
        <v>739</v>
      </c>
      <c r="E55" s="83" t="s">
        <v>740</v>
      </c>
      <c r="F55" s="83" t="s">
        <v>741</v>
      </c>
      <c r="G55" s="83" t="s">
        <v>742</v>
      </c>
      <c r="H55" s="83" t="s">
        <v>743</v>
      </c>
      <c r="I55" s="83" t="s">
        <v>744</v>
      </c>
      <c r="J55" s="83" t="s">
        <v>745</v>
      </c>
    </row>
    <row r="56" spans="2:10" ht="18" thickBot="1">
      <c r="B56" s="306" t="s">
        <v>785</v>
      </c>
      <c r="C56" s="101">
        <v>1</v>
      </c>
      <c r="D56" s="98" t="s">
        <v>746</v>
      </c>
      <c r="E56" s="97">
        <v>0</v>
      </c>
      <c r="F56" s="85">
        <v>0</v>
      </c>
      <c r="G56" s="85">
        <v>0</v>
      </c>
      <c r="H56" s="85">
        <v>0</v>
      </c>
      <c r="I56" s="85">
        <v>0</v>
      </c>
      <c r="J56" s="85">
        <v>0</v>
      </c>
    </row>
    <row r="57" spans="2:10" ht="18" thickBot="1">
      <c r="B57" s="306"/>
      <c r="C57" s="101">
        <v>2</v>
      </c>
      <c r="D57" s="98" t="s">
        <v>747</v>
      </c>
      <c r="E57" s="97">
        <v>0.12</v>
      </c>
      <c r="F57" s="85">
        <v>-0.12</v>
      </c>
      <c r="G57" s="85">
        <v>-0.11</v>
      </c>
      <c r="H57" s="85">
        <v>0.14000000000000001</v>
      </c>
      <c r="I57" s="85">
        <v>0.18</v>
      </c>
      <c r="J57" s="85">
        <v>-0.18</v>
      </c>
    </row>
    <row r="58" spans="2:10" ht="18" thickBot="1">
      <c r="B58" s="306"/>
      <c r="C58" s="101">
        <v>3</v>
      </c>
      <c r="D58" s="98" t="s">
        <v>748</v>
      </c>
      <c r="E58" s="97">
        <v>0.36</v>
      </c>
      <c r="F58" s="85">
        <v>-0.36</v>
      </c>
      <c r="G58" s="85">
        <v>-0.33</v>
      </c>
      <c r="H58" s="85">
        <v>0.41</v>
      </c>
      <c r="I58" s="85">
        <v>0.52</v>
      </c>
      <c r="J58" s="85">
        <v>-0.52</v>
      </c>
    </row>
    <row r="59" spans="2:10" ht="18" thickBot="1">
      <c r="B59" s="306"/>
      <c r="C59" s="101">
        <v>4</v>
      </c>
      <c r="D59" s="98" t="s">
        <v>749</v>
      </c>
      <c r="E59" s="97">
        <v>0.6</v>
      </c>
      <c r="F59" s="85">
        <v>-0.6</v>
      </c>
      <c r="G59" s="85">
        <v>-0.53</v>
      </c>
      <c r="H59" s="85">
        <v>0.67</v>
      </c>
      <c r="I59" s="85">
        <v>0.85</v>
      </c>
      <c r="J59" s="85">
        <v>-0.85</v>
      </c>
    </row>
    <row r="60" spans="2:10" ht="18" thickBot="1">
      <c r="B60" s="306"/>
      <c r="C60" s="101">
        <v>5</v>
      </c>
      <c r="D60" s="98" t="s">
        <v>750</v>
      </c>
      <c r="E60" s="97">
        <v>1.07</v>
      </c>
      <c r="F60" s="85">
        <v>-1.07</v>
      </c>
      <c r="G60" s="85">
        <v>-0.89</v>
      </c>
      <c r="H60" s="85">
        <v>1.1299999999999999</v>
      </c>
      <c r="I60" s="85">
        <v>1.46</v>
      </c>
      <c r="J60" s="85">
        <v>-1.46</v>
      </c>
    </row>
    <row r="61" spans="2:10" ht="18" thickBot="1">
      <c r="B61" s="306"/>
      <c r="C61" s="101">
        <v>6</v>
      </c>
      <c r="D61" s="98" t="s">
        <v>751</v>
      </c>
      <c r="E61" s="97">
        <v>1.79</v>
      </c>
      <c r="F61" s="85">
        <v>-1.79</v>
      </c>
      <c r="G61" s="85">
        <v>-1.33</v>
      </c>
      <c r="H61" s="85">
        <v>1.73</v>
      </c>
      <c r="I61" s="85">
        <v>2.29</v>
      </c>
      <c r="J61" s="85">
        <v>-2.29</v>
      </c>
    </row>
    <row r="62" spans="2:10" ht="18" thickBot="1">
      <c r="B62" s="306"/>
      <c r="C62" s="101">
        <v>7</v>
      </c>
      <c r="D62" s="98" t="s">
        <v>752</v>
      </c>
      <c r="E62" s="97">
        <v>2.5</v>
      </c>
      <c r="F62" s="85">
        <v>-2.5</v>
      </c>
      <c r="G62" s="85">
        <v>-1.66</v>
      </c>
      <c r="H62" s="85">
        <v>2.21</v>
      </c>
      <c r="I62" s="85">
        <v>3.01</v>
      </c>
      <c r="J62" s="85">
        <v>-3.01</v>
      </c>
    </row>
    <row r="63" spans="2:10" ht="18" thickBot="1">
      <c r="B63" s="306"/>
      <c r="C63" s="101">
        <v>8</v>
      </c>
      <c r="D63" s="84" t="s">
        <v>753</v>
      </c>
      <c r="E63" s="85">
        <v>4.1500000000000004</v>
      </c>
      <c r="F63" s="85">
        <v>-4.1500000000000004</v>
      </c>
      <c r="G63" s="85">
        <v>-2</v>
      </c>
      <c r="H63" s="85">
        <v>2.9</v>
      </c>
      <c r="I63" s="85">
        <v>4.28</v>
      </c>
      <c r="J63" s="85">
        <v>-4.28</v>
      </c>
    </row>
    <row r="64" spans="2:10" ht="18" thickBot="1">
      <c r="B64" s="307" t="s">
        <v>786</v>
      </c>
      <c r="C64" s="101">
        <v>9</v>
      </c>
      <c r="D64" s="84" t="s">
        <v>754</v>
      </c>
      <c r="E64" s="85">
        <v>6.74</v>
      </c>
      <c r="F64" s="85">
        <v>-6.74</v>
      </c>
      <c r="G64" s="85">
        <v>-1.64</v>
      </c>
      <c r="H64" s="85">
        <v>3.08</v>
      </c>
      <c r="I64" s="85">
        <v>5.41</v>
      </c>
      <c r="J64" s="85">
        <v>-5.41</v>
      </c>
    </row>
    <row r="65" spans="2:15" ht="18" thickBot="1">
      <c r="B65" s="307"/>
      <c r="C65" s="101">
        <v>10</v>
      </c>
      <c r="D65" s="84" t="s">
        <v>755</v>
      </c>
      <c r="E65" s="85">
        <v>9.2100000000000009</v>
      </c>
      <c r="F65" s="85">
        <v>-9.2100000000000009</v>
      </c>
      <c r="G65" s="85">
        <v>-0.52</v>
      </c>
      <c r="H65" s="85">
        <v>2.46</v>
      </c>
      <c r="I65" s="85">
        <v>5.76</v>
      </c>
      <c r="J65" s="85">
        <v>-5.76</v>
      </c>
    </row>
    <row r="66" spans="2:15" ht="18" thickBot="1">
      <c r="B66" s="307"/>
      <c r="C66" s="101">
        <v>11</v>
      </c>
      <c r="D66" s="84" t="s">
        <v>756</v>
      </c>
      <c r="E66" s="85">
        <v>11.56</v>
      </c>
      <c r="F66" s="85">
        <v>-11.56</v>
      </c>
      <c r="G66" s="85">
        <v>1.03</v>
      </c>
      <c r="H66" s="85">
        <v>1.38</v>
      </c>
      <c r="I66" s="85">
        <v>5.63</v>
      </c>
      <c r="J66" s="85">
        <v>-5.63</v>
      </c>
    </row>
    <row r="67" spans="2:15" ht="18" thickBot="1">
      <c r="B67" s="307"/>
      <c r="C67" s="101">
        <v>12</v>
      </c>
      <c r="D67" s="84" t="s">
        <v>757</v>
      </c>
      <c r="E67" s="85">
        <v>15.23</v>
      </c>
      <c r="F67" s="85">
        <v>-15.23</v>
      </c>
      <c r="G67" s="85">
        <v>3.78</v>
      </c>
      <c r="H67" s="85">
        <v>-0.65</v>
      </c>
      <c r="I67" s="85">
        <v>5.0999999999999996</v>
      </c>
      <c r="J67" s="85">
        <v>-5.0999999999999996</v>
      </c>
    </row>
    <row r="68" spans="2:15" ht="18" thickBot="1">
      <c r="B68" s="308" t="s">
        <v>787</v>
      </c>
      <c r="C68" s="101">
        <v>13</v>
      </c>
      <c r="D68" s="84" t="s">
        <v>758</v>
      </c>
      <c r="E68" s="85">
        <v>19.89</v>
      </c>
      <c r="F68" s="85">
        <v>-19.89</v>
      </c>
      <c r="G68" s="85">
        <v>8.19</v>
      </c>
      <c r="H68" s="85">
        <v>-4.16</v>
      </c>
      <c r="I68" s="85">
        <v>3.56</v>
      </c>
      <c r="J68" s="85">
        <v>-3.56</v>
      </c>
    </row>
    <row r="69" spans="2:15" ht="18" thickBot="1">
      <c r="B69" s="308"/>
      <c r="C69" s="101">
        <v>14</v>
      </c>
      <c r="D69" s="84" t="s">
        <v>759</v>
      </c>
      <c r="E69" s="85">
        <v>26.75</v>
      </c>
      <c r="F69" s="85">
        <v>-26.75</v>
      </c>
      <c r="G69" s="85">
        <v>14.2</v>
      </c>
      <c r="H69" s="85">
        <v>-8.82</v>
      </c>
      <c r="I69" s="85">
        <v>1.76</v>
      </c>
      <c r="J69" s="85">
        <v>-1.76</v>
      </c>
    </row>
    <row r="70" spans="2:15" ht="18" thickBot="1">
      <c r="B70" s="308"/>
      <c r="C70" s="101">
        <v>15</v>
      </c>
      <c r="D70" s="84" t="s">
        <v>760</v>
      </c>
      <c r="E70" s="85">
        <v>33.64</v>
      </c>
      <c r="F70" s="85">
        <v>-33.64</v>
      </c>
      <c r="G70" s="85">
        <v>19.52</v>
      </c>
      <c r="H70" s="85">
        <v>-12.78</v>
      </c>
      <c r="I70" s="85">
        <v>0.64</v>
      </c>
      <c r="J70" s="85">
        <v>-0.64</v>
      </c>
    </row>
    <row r="71" spans="2:15" ht="18" thickBot="1">
      <c r="B71" s="308"/>
      <c r="C71" s="101">
        <v>16</v>
      </c>
      <c r="D71" s="84" t="s">
        <v>761</v>
      </c>
      <c r="E71" s="85">
        <v>39.04</v>
      </c>
      <c r="F71" s="85">
        <v>-39.04</v>
      </c>
      <c r="G71" s="85">
        <v>23.2</v>
      </c>
      <c r="H71" s="85">
        <v>-15.39</v>
      </c>
      <c r="I71" s="85">
        <v>0.21</v>
      </c>
      <c r="J71" s="85">
        <v>-0.21</v>
      </c>
    </row>
    <row r="72" spans="2:15" ht="18" thickBot="1">
      <c r="B72" s="102"/>
      <c r="C72" s="101">
        <v>17</v>
      </c>
      <c r="D72" s="84" t="s">
        <v>762</v>
      </c>
      <c r="E72" s="85">
        <v>0</v>
      </c>
      <c r="F72" s="85">
        <v>0</v>
      </c>
      <c r="G72" s="85">
        <v>0</v>
      </c>
      <c r="H72" s="85">
        <v>0</v>
      </c>
      <c r="I72" s="85">
        <v>0</v>
      </c>
      <c r="J72" s="85">
        <v>0</v>
      </c>
    </row>
    <row r="74" spans="2:15">
      <c r="C74" s="74" t="s">
        <v>773</v>
      </c>
    </row>
    <row r="76" spans="2:15">
      <c r="C76" s="76" t="s">
        <v>667</v>
      </c>
    </row>
    <row r="77" spans="2:15" ht="59.35" customHeight="1">
      <c r="C77" s="309" t="s">
        <v>774</v>
      </c>
      <c r="D77" s="310"/>
      <c r="E77" s="310"/>
      <c r="F77" s="310"/>
      <c r="G77" s="310"/>
      <c r="H77" s="310"/>
      <c r="I77" s="310"/>
      <c r="J77" s="310"/>
      <c r="K77" s="310"/>
      <c r="L77" s="310"/>
      <c r="M77" s="310"/>
      <c r="N77" s="310"/>
      <c r="O77" s="310"/>
    </row>
    <row r="82" spans="2:10">
      <c r="B82" s="88"/>
      <c r="C82" s="88"/>
      <c r="D82" s="88"/>
      <c r="E82" s="88" t="s">
        <v>766</v>
      </c>
      <c r="F82" s="88"/>
    </row>
    <row r="83" spans="2:10">
      <c r="B83" s="88"/>
      <c r="C83" s="88"/>
      <c r="D83" s="88"/>
      <c r="E83" s="88" t="s">
        <v>767</v>
      </c>
      <c r="F83" s="88"/>
    </row>
    <row r="84" spans="2:10">
      <c r="B84" s="88"/>
      <c r="C84" s="88"/>
      <c r="D84" s="88"/>
      <c r="E84" s="88"/>
      <c r="F84" s="88"/>
      <c r="G84" s="88"/>
      <c r="H84" s="88"/>
      <c r="I84" s="89" t="s">
        <v>765</v>
      </c>
      <c r="J84" s="88"/>
    </row>
    <row r="85" spans="2:10">
      <c r="B85" s="90" t="s">
        <v>768</v>
      </c>
      <c r="C85" s="90" t="s">
        <v>769</v>
      </c>
      <c r="D85" s="90" t="s">
        <v>770</v>
      </c>
      <c r="E85" s="90" t="s">
        <v>771</v>
      </c>
      <c r="F85" s="90" t="s">
        <v>772</v>
      </c>
    </row>
  </sheetData>
  <mergeCells count="43">
    <mergeCell ref="B56:B63"/>
    <mergeCell ref="B64:B67"/>
    <mergeCell ref="B68:B71"/>
    <mergeCell ref="C77:O77"/>
    <mergeCell ref="D20:G20"/>
    <mergeCell ref="D49:G49"/>
    <mergeCell ref="D48:G48"/>
    <mergeCell ref="D47:G47"/>
    <mergeCell ref="D46:G46"/>
    <mergeCell ref="D45:G45"/>
    <mergeCell ref="D44:G44"/>
    <mergeCell ref="D43:G43"/>
    <mergeCell ref="D42:G42"/>
    <mergeCell ref="D19:G19"/>
    <mergeCell ref="D18:G18"/>
    <mergeCell ref="D17:G17"/>
    <mergeCell ref="D35:G35"/>
    <mergeCell ref="D34:G34"/>
    <mergeCell ref="D33:G33"/>
    <mergeCell ref="D32:G32"/>
    <mergeCell ref="D31:G31"/>
    <mergeCell ref="D30:G30"/>
    <mergeCell ref="D29:G29"/>
    <mergeCell ref="D28:G28"/>
    <mergeCell ref="D27:G27"/>
    <mergeCell ref="D26:G26"/>
    <mergeCell ref="D25:G25"/>
    <mergeCell ref="D24:G24"/>
    <mergeCell ref="D16:G16"/>
    <mergeCell ref="D15:G15"/>
    <mergeCell ref="D14:G14"/>
    <mergeCell ref="D13:G13"/>
    <mergeCell ref="D12:G12"/>
    <mergeCell ref="D11:G11"/>
    <mergeCell ref="D10:G10"/>
    <mergeCell ref="D9:G9"/>
    <mergeCell ref="D8:G8"/>
    <mergeCell ref="D7:G7"/>
    <mergeCell ref="D6:G6"/>
    <mergeCell ref="D5:G5"/>
    <mergeCell ref="D4:G4"/>
    <mergeCell ref="D3:G3"/>
    <mergeCell ref="D2:G2"/>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0"/>
  <sheetViews>
    <sheetView zoomScale="90" zoomScaleNormal="90" workbookViewId="0">
      <selection activeCell="J35" sqref="J35"/>
    </sheetView>
  </sheetViews>
  <sheetFormatPr defaultColWidth="9" defaultRowHeight="17.350000000000001"/>
  <cols>
    <col min="1" max="1" width="2.33203125" style="6" customWidth="1"/>
    <col min="2" max="2" width="13.88671875" style="6" customWidth="1"/>
    <col min="3" max="3" width="50.6640625" style="6" bestFit="1" customWidth="1"/>
    <col min="4" max="4" width="14" style="6" bestFit="1" customWidth="1"/>
    <col min="5" max="5" width="19.33203125" style="6" customWidth="1"/>
    <col min="6" max="16384" width="9" style="6"/>
  </cols>
  <sheetData>
    <row r="1" spans="2:6" ht="31.35">
      <c r="B1" s="3" t="s">
        <v>27</v>
      </c>
      <c r="C1" s="3"/>
      <c r="D1" s="15"/>
      <c r="E1" s="15"/>
      <c r="F1" s="15"/>
    </row>
    <row r="2" spans="2:6" ht="10.5" customHeight="1">
      <c r="B2" s="15"/>
      <c r="C2" s="15"/>
      <c r="D2" s="15"/>
      <c r="E2" s="15"/>
      <c r="F2" s="15"/>
    </row>
    <row r="3" spans="2:6">
      <c r="B3" s="16" t="s">
        <v>17</v>
      </c>
      <c r="C3" s="16" t="s">
        <v>28</v>
      </c>
      <c r="D3" s="16" t="s">
        <v>29</v>
      </c>
      <c r="E3" s="16" t="s">
        <v>30</v>
      </c>
      <c r="F3" s="15"/>
    </row>
    <row r="4" spans="2:6">
      <c r="B4" s="17"/>
      <c r="C4" s="10"/>
      <c r="D4" s="10"/>
      <c r="E4" s="10"/>
      <c r="F4" s="15"/>
    </row>
    <row r="5" spans="2:6">
      <c r="B5" s="17"/>
      <c r="C5" s="10"/>
      <c r="D5" s="10"/>
      <c r="E5" s="10"/>
      <c r="F5" s="15"/>
    </row>
    <row r="6" spans="2:6">
      <c r="B6" s="17"/>
      <c r="C6" s="10"/>
      <c r="D6" s="10"/>
      <c r="E6" s="10"/>
      <c r="F6" s="15"/>
    </row>
    <row r="7" spans="2:6">
      <c r="B7" s="17"/>
      <c r="C7" s="10"/>
      <c r="D7" s="10"/>
      <c r="E7" s="10"/>
      <c r="F7" s="15"/>
    </row>
    <row r="8" spans="2:6">
      <c r="B8" s="18"/>
      <c r="C8" s="10"/>
      <c r="D8" s="10"/>
      <c r="E8" s="10"/>
      <c r="F8" s="15"/>
    </row>
    <row r="9" spans="2:6">
      <c r="B9" s="17"/>
      <c r="C9" s="10"/>
      <c r="D9" s="10"/>
      <c r="E9" s="10"/>
      <c r="F9" s="15"/>
    </row>
    <row r="10" spans="2:6">
      <c r="B10" s="17"/>
      <c r="C10" s="10"/>
      <c r="D10" s="10"/>
      <c r="E10" s="10"/>
      <c r="F10" s="15"/>
    </row>
  </sheetData>
  <phoneticPr fontId="10"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Reviews</vt:lpstr>
      <vt:lpstr>RE33(IRRBB)</vt:lpstr>
      <vt:lpstr>Summary_IRRBB</vt:lpstr>
      <vt:lpstr>IRBB Weighting factors</vt:lpstr>
      <vt:lpstr>Repricing Maturity Adj.</vt:lpstr>
      <vt:lpstr>IRRBB Mapping</vt:lpstr>
      <vt:lpstr>Change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이하영</cp:lastModifiedBy>
  <cp:lastPrinted>2022-02-04T00:43:01Z</cp:lastPrinted>
  <dcterms:created xsi:type="dcterms:W3CDTF">2020-12-30T04:08:49Z</dcterms:created>
  <dcterms:modified xsi:type="dcterms:W3CDTF">2026-02-05T23:00:24Z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NywgIm5vZGUxIiA6IHsiZHNkIjoiMDEwMDAwMDAwMDAwMzI2NyIsImxvZ1RpbWUiOiIyMDI1LTExLTAzVDA0OjE4OjAyWiIsInBJRCI6MSwicHJvY2Vzc0lkIjoyMjk0NCwicHJvY2Vzc05hbWUiOiJFWENFTC5FWEUiLCJ0cmFjZUlkIjoiOUVGMTlERTVDQTlGNDA1RDgyMDVBN0Q2Rjk4NTVBMUQiLCJ1c2VyQ29kZSI6IjIzNjIwNDEwIn0sIm5vZGUyIiA6IHsiZHNkIjoiMDAwMDAwMDAwMDAwMDAwMCIsImxvZ1RpbWUiOiIyMDI1LTExLTAzVDA2OjIxOjQyWiIsInBJRCI6MSwicHJvY2Vzc0lkIjoyMjk0NCwicHJvY2Vzc05hbWUiOiJFWENFTC5FWEUiLCJ0cmFjZUlkIjoiMjlEQzFGNDBGMURGQ0M2ODdFQTg3QUU5MjM0Rjk2NTIiLCJ1c2VyQ29kZSI6IiJ9LCJub2RlMyIgOiB7ImRzZCI6IjAxMDAwMDAwMDAwMDMyNjciLCJsb2dUaW1lIjoiMjAyNS0xMS0wNFQwNTo0MTo0NVoiLCJwSUQiOjEsInByb2Nlc3NJZCI6MTY0NDgsInByb2Nlc3NOYW1lIjoiRVhDRUwuRVhFIiwidHJhY2VJZCI6IjQxNkQ2RUVCQjMzMDQ0RUJCMjBDQTQ0RDg2N0NGQUQ2IiwidXNlckNvZGUiOiIyMjYyMTEzOSJ9LCJub2RlNCIgOiB7ImRzZCI6IjAxMDAwMDAwMDAwMDMyNjciLCJsb2dUaW1lIjoiMjAyNS0xMS0wNFQwNzoxNzoxMVoiLCJwSUQiOjEsInByb2Nlc3NJZCI6MjkyODgsInByb2Nlc3NOYW1lIjoiRVhDRUwuRVhFIiwidHJhY2VJZCI6IkU0RkMyQzI3MjZDNDQzOTc4N0UzRDhGMkYxNjgyOTYwIiwidXNlckNvZGUiOiIyMjYyMTEzOSJ9LCJub2RlNSIgOiB7ICJ1c2VyQ29kZSIgOiAiIiwgInRyYWNlSWQiIDogIjU3OTdDNDVBMDhERjZGQzZEMThDMTFFMTBGRjJBMjhCIiwgImRzZCIgOiAiMDAwMDAwMDAwMDAwMDAwMCIsICJwSUQiIDogIjIwNDgiLCAibG9nVGltZSIgOiAiMjAyNS0xMS0wNFQwNzoyMzoxMFoiIH19</vt:lpwstr>
  </property>
  <property fmtid="{D5CDD505-2E9C-101B-9397-08002B2CF9AE}" pid="3" name="FDRClass">
    <vt:lpwstr>0</vt:lpwstr>
  </property>
  <property fmtid="{D5CDD505-2E9C-101B-9397-08002B2CF9AE}" pid="4" name="FDRSet">
    <vt:lpwstr>manual</vt:lpwstr>
  </property>
</Properties>
</file>